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META Data" sheetId="1" state="visible" r:id="rId3"/>
    <sheet name="Simulations" sheetId="2" state="visible" r:id="rId4"/>
    <sheet name="Aero Forces" sheetId="3" state="visible" r:id="rId5"/>
    <sheet name="Surface Data (Test 2a)" sheetId="4" state="hidden" r:id="rId6"/>
    <sheet name="Surface Data (Test 2b)" sheetId="5" state="hidden" r:id="rId7"/>
    <sheet name="Force Plots" sheetId="6" state="visible" r:id="rId8"/>
    <sheet name="Convergence Plots" sheetId="7" state="visible" r:id="rId9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tatusRange" vbProcedure="false">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<sst xmlns="http://schemas.openxmlformats.org/spreadsheetml/2006/main" count="333" uniqueCount="212">
  <si>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</si>
  <si>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</si>
  <si>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</si>
  <si>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</si>
  <si>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</si>
  <si>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</si>
  <si>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Software Track</t>
  </si>
  <si>
    <t xml:space="preserve">Hardware Track</t>
  </si>
  <si>
    <t xml:space="preserve">Identification</t>
  </si>
  <si>
    <t xml:space="preserve">Participant ID (Participant List):</t>
  </si>
  <si>
    <t xml:space="preserve">01</t>
  </si>
  <si>
    <t xml:space="preserve">Participants List</t>
  </si>
  <si>
    <t xml:space="preserve">Lastname:</t>
  </si>
  <si>
    <t xml:space="preserve">Olenik</t>
  </si>
  <si>
    <t xml:space="preserve">Doe</t>
  </si>
  <si>
    <t xml:space="preserve">Firstname:</t>
  </si>
  <si>
    <t xml:space="preserve">Gregor</t>
  </si>
  <si>
    <t xml:space="preserve">John</t>
  </si>
  <si>
    <t xml:space="preserve">Affiliation:</t>
  </si>
  <si>
    <t xml:space="preserve">Technical University of Munich</t>
  </si>
  <si>
    <t xml:space="preserve">Company</t>
  </si>
  <si>
    <t xml:space="preserve">Email:</t>
  </si>
  <si>
    <t xml:space="preserve">gregor.olenik@tum.de</t>
  </si>
  <si>
    <t xml:space="preserve">john.doe@company.com</t>
  </si>
  <si>
    <t xml:space="preserve">Date:</t>
  </si>
  <si>
    <t xml:space="preserve">Legend Suffix:</t>
  </si>
  <si>
    <t xml:space="preserve">olenla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</si>
  <si>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</si>
  <si>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</si>
  <si>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</si>
  <si>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</si>
  <si>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</si>
  <si>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</si>
  <si>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</si>
  <si>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</si>
  <si>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</si>
  <si>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</si>
  <si>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</si>
  <si>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</si>
  <si>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</si>
  <si>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Coarse</t>
  </si>
  <si>
    <t xml:space="preserve">Medium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</si>
  <si>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</si>
  <si>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</si>
  <si>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</si>
  <si>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</si>
  <si>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</si>
  <si>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</si>
  <si>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</si>
  <si>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</si>
  <si>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</si>
  <si>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</si>
  <si>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</si>
  <si>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</si>
  <si>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</si>
  <si>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</si>
  <si>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</si>
  <si>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</si>
  <si>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</si>
  <si>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</si>
  <si>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</si>
  <si>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</si>
  <si>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</si>
  <si>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</si>
  <si>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</si>
  <si>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</si>
  <si>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</si>
  <si>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</si>
  <si>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</si>
  <si>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</si>
  <si>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</si>
  <si>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</si>
  <si>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</si>
  <si>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</si>
  <si>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</si>
  <si>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</si>
  <si>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</si>
  <si>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</si>
  <si>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</si>
  <si>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</si>
  <si>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</si>
  <si>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</si>
  <si>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</si>
  <si>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</si>
  <si>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</si>
  <si>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</si>
  <si>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</si>
  <si>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</si>
  <si>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</si>
  <si>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</si>
  <si>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</si>
  <si>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</si>
  <si>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</si>
  <si>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</si>
  <si>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</si>
  <si>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</si>
  <si>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</si>
  <si>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</si>
  <si>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</si>
  <si>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</si>
  <si>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</si>
  <si>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</si>
  <si>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</si>
  <si>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</si>
  <si>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</si>
  <si>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</si>
  <si>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</si>
  <si>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</si>
  <si>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</si>
  <si>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</si>
  <si>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</si>
  <si>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</si>
  <si>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</si>
  <si>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</si>
  <si>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</si>
  <si>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#8</t>
  </si>
  <si>
    <t xml:space="preserve">Multilevel Scotch</t>
  </si>
  <si>
    <t xml:space="preserve">Scotch</t>
  </si>
  <si>
    <t xml:space="preserve">RCM</t>
  </si>
  <si>
    <t xml:space="preserve">Hardware:</t>
  </si>
  <si>
    <t xml:space="preserve">AMD EPYC 7302</t>
  </si>
  <si>
    <t xml:space="preserve">MI100</t>
  </si>
  <si>
    <t xml:space="preserve">512GB</t>
  </si>
  <si>
    <t xml:space="preserve">128MB</t>
  </si>
  <si>
    <t xml:space="preserve">ZFS</t>
  </si>
  <si>
    <t xml:space="preserve">Aerodynamics Forces</t>
  </si>
  <si>
    <t xml:space="preserve">Simulation Convergence (Fastest, Simulation #XX)
(history)</t>
  </si>
  <si>
    <t xml:space="preserve">Simulation Convergence (Most-energy-efficient, Simulation #XX)
(history)</t>
  </si>
  <si>
    <t xml:space="preserve">Time [iter]</t>
  </si>
  <si>
    <t xml:space="preserve">Wall-clock time [s]</t>
  </si>
  <si>
    <r>
      <rPr>
        <sz val="10"/>
        <color theme="1"/>
        <rFont val="Arial"/>
        <family val="0"/>
        <charset val="1"/>
      </rPr>
      <t xml:space="preserve">C</t>
    </r>
    <r>
      <rPr>
        <vertAlign val="subscript"/>
        <sz val="10"/>
        <color theme="1"/>
        <rFont val="Arial"/>
        <family val="0"/>
        <charset val="1"/>
      </rPr>
      <t xml:space="preserve">D</t>
    </r>
    <r>
      <rPr>
        <sz val="10"/>
        <color theme="1"/>
        <rFont val="Arial"/>
        <family val="0"/>
        <charset val="1"/>
      </rPr>
      <t xml:space="preserve"> [-]</t>
    </r>
  </si>
  <si>
    <r>
      <rPr>
        <sz val="10"/>
        <color theme="1"/>
        <rFont val="Arial"/>
        <family val="0"/>
        <charset val="1"/>
      </rPr>
      <t xml:space="preserve">C</t>
    </r>
    <r>
      <rPr>
        <vertAlign val="subscript"/>
        <sz val="10"/>
        <color theme="1"/>
        <rFont val="Arial"/>
        <family val="0"/>
        <charset val="1"/>
      </rPr>
      <t xml:space="preserve">L</t>
    </r>
    <r>
      <rPr>
        <sz val="10"/>
        <color theme="1"/>
        <rFont val="Arial"/>
        <family val="0"/>
        <charset val="1"/>
      </rPr>
      <t xml:space="preserve"> [-]</t>
    </r>
  </si>
  <si>
    <r>
      <rPr>
        <sz val="10"/>
        <color theme="1"/>
        <rFont val="Arial"/>
        <family val="0"/>
        <charset val="1"/>
      </rPr>
      <t xml:space="preserve">C</t>
    </r>
    <r>
      <rPr>
        <vertAlign val="subscript"/>
        <sz val="10"/>
        <color theme="1"/>
        <rFont val="Aria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 [-]</t>
    </r>
  </si>
  <si>
    <t xml:space="preserve">Required input:</t>
  </si>
  <si>
    <r>
      <rPr>
        <sz val="10"/>
        <color theme="1"/>
        <rFont val="Arial"/>
        <family val="0"/>
        <charset val="1"/>
      </rPr>
      <t xml:space="preserve">1) Mean Aerodynamic forces (C</t>
    </r>
    <r>
      <rPr>
        <sz val="8"/>
        <color theme="1"/>
        <rFont val="Arial"/>
        <family val="0"/>
        <charset val="1"/>
      </rPr>
      <t xml:space="preserve">D</t>
    </r>
    <r>
      <rPr>
        <sz val="10"/>
        <color theme="1"/>
        <rFont val="Arial"/>
        <family val="0"/>
        <charset val="1"/>
      </rPr>
      <t xml:space="preserve">; C</t>
    </r>
    <r>
      <rPr>
        <sz val="8"/>
        <color theme="1"/>
        <rFont val="Arial"/>
        <family val="0"/>
        <charset val="1"/>
      </rPr>
      <t xml:space="preserve">L</t>
    </r>
    <r>
      <rPr>
        <sz val="10"/>
        <color theme="1"/>
        <rFont val="Arial"/>
        <family val="0"/>
        <charset val="1"/>
      </rPr>
      <t xml:space="preserve">; C</t>
    </r>
    <r>
      <rPr>
        <sz val="8"/>
        <color theme="1"/>
        <rFont val="Aria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)</t>
    </r>
  </si>
  <si>
    <t xml:space="preserve">mandatory for SW/HW track</t>
  </si>
  <si>
    <r>
      <rPr>
        <sz val="10"/>
        <color theme="1"/>
        <rFont val="Arial"/>
        <family val="0"/>
        <charset val="1"/>
      </rPr>
      <t xml:space="preserve">2) Convergence of Aerodynamic forces (C</t>
    </r>
    <r>
      <rPr>
        <sz val="8"/>
        <color theme="1"/>
        <rFont val="Arial"/>
        <family val="0"/>
        <charset val="1"/>
      </rPr>
      <t xml:space="preserve">D</t>
    </r>
    <r>
      <rPr>
        <sz val="10"/>
        <color theme="1"/>
        <rFont val="Arial"/>
        <family val="0"/>
        <charset val="1"/>
      </rPr>
      <t xml:space="preserve">; C</t>
    </r>
    <r>
      <rPr>
        <sz val="8"/>
        <color theme="1"/>
        <rFont val="Arial"/>
        <family val="0"/>
        <charset val="1"/>
      </rPr>
      <t xml:space="preserve">L</t>
    </r>
    <r>
      <rPr>
        <sz val="10"/>
        <color theme="1"/>
        <rFont val="Arial"/>
        <family val="0"/>
        <charset val="1"/>
      </rPr>
      <t xml:space="preserve">; C</t>
    </r>
    <r>
      <rPr>
        <sz val="8"/>
        <color theme="1"/>
        <rFont val="Aria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</si>
  <si>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</si>
  <si>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</si>
  <si>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</si>
  <si>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</si>
  <si>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color theme="1"/>
        <rFont val="Arial"/>
        <family val="0"/>
        <charset val="1"/>
      </rPr>
      <t xml:space="preserve">C</t>
    </r>
    <r>
      <rPr>
        <b val="true"/>
        <vertAlign val="subscript"/>
        <sz val="10"/>
        <color theme="1"/>
        <rFont val="Arial"/>
        <family val="0"/>
        <charset val="1"/>
      </rPr>
      <t xml:space="preserve">D</t>
    </r>
  </si>
  <si>
    <r>
      <rPr>
        <b val="true"/>
        <sz val="10"/>
        <color theme="1"/>
        <rFont val="Arial"/>
        <family val="0"/>
        <charset val="1"/>
      </rPr>
      <t xml:space="preserve">C</t>
    </r>
    <r>
      <rPr>
        <b val="true"/>
        <vertAlign val="subscript"/>
        <sz val="10"/>
        <color theme="1"/>
        <rFont val="Arial"/>
        <family val="0"/>
        <charset val="1"/>
      </rPr>
      <t xml:space="preserve">L</t>
    </r>
  </si>
  <si>
    <r>
      <rPr>
        <b val="true"/>
        <sz val="10"/>
        <color theme="1"/>
        <rFont val="Arial"/>
        <family val="0"/>
        <charset val="1"/>
      </rPr>
      <t xml:space="preserve">C</t>
    </r>
    <r>
      <rPr>
        <b val="true"/>
        <vertAlign val="subscript"/>
        <sz val="10"/>
        <color theme="1"/>
        <rFont val="Arial"/>
        <family val="0"/>
        <charset val="1"/>
      </rPr>
      <t xml:space="preserve">S</t>
    </r>
  </si>
  <si>
    <r>
      <rPr>
        <b val="true"/>
        <sz val="10"/>
        <color theme="1"/>
        <rFont val="Arial"/>
        <family val="0"/>
        <charset val="1"/>
      </rPr>
      <t xml:space="preserve">AVERAGE
</t>
    </r>
    <r>
      <rPr>
        <sz val="10"/>
        <color theme="1"/>
        <rFont val="Arial"/>
        <family val="0"/>
        <charset val="1"/>
      </rPr>
      <t xml:space="preserve"> - </t>
    </r>
    <r>
      <rPr>
        <sz val="8"/>
        <color theme="1"/>
        <rFont val="Arial"/>
        <family val="0"/>
        <charset val="1"/>
      </rPr>
      <t xml:space="preserve">based on participant best practice</t>
    </r>
  </si>
  <si>
    <r>
      <rPr>
        <sz val="10"/>
        <color theme="1"/>
        <rFont val="Arial"/>
        <family val="0"/>
        <charset val="1"/>
      </rPr>
      <t xml:space="preserve">Standardized </t>
    </r>
    <r>
      <rPr>
        <b val="true"/>
        <sz val="10"/>
        <color theme="1"/>
        <rFont val="Arial"/>
        <family val="0"/>
        <charset val="1"/>
      </rPr>
      <t xml:space="preserve">Meancalc</t>
    </r>
    <r>
      <rPr>
        <sz val="10"/>
        <color theme="1"/>
        <rFont val="Arial"/>
        <family val="0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</si>
  <si>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</si>
  <si>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</si>
  <si>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</si>
  <si>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</si>
  <si>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</si>
  <si>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</si>
  <si>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</si>
  <si>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</si>
  <si>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color theme="1"/>
        <rFont val="Arial"/>
        <family val="0"/>
        <charset val="1"/>
      </rPr>
      <t xml:space="preserve">    - Run Meancalc for each of the aerodynamic forces (C</t>
    </r>
    <r>
      <rPr>
        <vertAlign val="subscript"/>
        <sz val="10"/>
        <color theme="1"/>
        <rFont val="Arial"/>
        <family val="0"/>
        <charset val="1"/>
      </rPr>
      <t xml:space="preserve">D</t>
    </r>
    <r>
      <rPr>
        <sz val="10"/>
        <color theme="1"/>
        <rFont val="Arial"/>
        <family val="0"/>
        <charset val="1"/>
      </rPr>
      <t xml:space="preserve">, C</t>
    </r>
    <r>
      <rPr>
        <vertAlign val="subscript"/>
        <sz val="10"/>
        <color theme="1"/>
        <rFont val="Arial"/>
        <family val="0"/>
        <charset val="1"/>
      </rPr>
      <t xml:space="preserve">L</t>
    </r>
    <r>
      <rPr>
        <sz val="10"/>
        <color theme="1"/>
        <rFont val="Arial"/>
        <family val="0"/>
        <charset val="1"/>
      </rPr>
      <t xml:space="preserve">, C</t>
    </r>
    <r>
      <rPr>
        <vertAlign val="subscript"/>
        <sz val="10"/>
        <color theme="1"/>
        <rFont val="Aria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)</t>
    </r>
  </si>
  <si>
    <t xml:space="preserve">    - Capture Meancalc output in table below</t>
  </si>
  <si>
    <r>
      <rPr>
        <b val="true"/>
        <sz val="10"/>
        <color theme="1"/>
        <rFont val="Arial"/>
        <family val="0"/>
        <charset val="1"/>
      </rPr>
      <t xml:space="preserve">Total timesteps </t>
    </r>
    <r>
      <rPr>
        <sz val="10"/>
        <color theme="1"/>
        <rFont val="Arial"/>
        <family val="0"/>
        <charset val="1"/>
      </rPr>
      <t xml:space="preserve">[nread]</t>
    </r>
  </si>
  <si>
    <r>
      <rPr>
        <b val="true"/>
        <sz val="10"/>
        <color theme="1"/>
        <rFont val="Arial"/>
        <family val="0"/>
        <charset val="1"/>
      </rPr>
      <t xml:space="preserve">Averaging start timestep </t>
    </r>
    <r>
      <rPr>
        <sz val="10"/>
        <color theme="1"/>
        <rFont val="Arial"/>
        <family val="0"/>
        <charset val="1"/>
      </rPr>
      <t xml:space="preserve">[nskip]</t>
    </r>
  </si>
  <si>
    <r>
      <rPr>
        <b val="true"/>
        <sz val="10"/>
        <color theme="1"/>
        <rFont val="Arial"/>
        <family val="0"/>
        <charset val="1"/>
      </rPr>
      <t xml:space="preserve">Averaging samples </t>
    </r>
    <r>
      <rPr>
        <sz val="10"/>
        <color theme="1"/>
        <rFont val="Arial"/>
        <family val="0"/>
        <charset val="1"/>
      </rPr>
      <t xml:space="preserve">[nused]</t>
    </r>
  </si>
  <si>
    <r>
      <rPr>
        <b val="true"/>
        <sz val="10"/>
        <color theme="1"/>
        <rFont val="Arial"/>
        <family val="0"/>
        <charset val="1"/>
      </rPr>
      <t xml:space="preserve">Mean value </t>
    </r>
    <r>
      <rPr>
        <sz val="10"/>
        <color theme="1"/>
        <rFont val="Symbol"/>
        <family val="0"/>
        <charset val="1"/>
      </rPr>
      <t xml:space="preserve">m</t>
    </r>
  </si>
  <si>
    <r>
      <rPr>
        <b val="true"/>
        <sz val="10"/>
        <color theme="1"/>
        <rFont val="Arial"/>
        <family val="0"/>
        <charset val="1"/>
      </rPr>
      <t xml:space="preserve">Error Mean Value </t>
    </r>
    <r>
      <rPr>
        <sz val="10"/>
        <color theme="1"/>
        <rFont val="Symbo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(</t>
    </r>
    <r>
      <rPr>
        <sz val="10"/>
        <color theme="1"/>
        <rFont val="Symbol"/>
        <family val="0"/>
        <charset val="1"/>
      </rPr>
      <t xml:space="preserve">m</t>
    </r>
    <r>
      <rPr>
        <sz val="10"/>
        <color theme="1"/>
        <rFont val="Arial"/>
        <family val="0"/>
        <charset val="1"/>
      </rPr>
      <t xml:space="preserve">)</t>
    </r>
  </si>
  <si>
    <r>
      <rPr>
        <b val="true"/>
        <sz val="10"/>
        <color theme="1"/>
        <rFont val="Arial"/>
        <family val="0"/>
        <charset val="1"/>
      </rPr>
      <t xml:space="preserve">95% conf. int. on mean </t>
    </r>
    <r>
      <rPr>
        <sz val="10"/>
        <color theme="1"/>
        <rFont val="Arial"/>
        <family val="0"/>
        <charset val="1"/>
      </rPr>
      <t xml:space="preserve">2*</t>
    </r>
    <r>
      <rPr>
        <sz val="10"/>
        <color theme="1"/>
        <rFont val="Symbo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(</t>
    </r>
    <r>
      <rPr>
        <sz val="10"/>
        <color theme="1"/>
        <rFont val="Symbol"/>
        <family val="0"/>
        <charset val="1"/>
      </rPr>
      <t xml:space="preserve">m</t>
    </r>
    <r>
      <rPr>
        <sz val="10"/>
        <color theme="1"/>
        <rFont val="Arial"/>
        <family val="0"/>
        <charset val="1"/>
      </rPr>
      <t xml:space="preserve">)</t>
    </r>
  </si>
  <si>
    <r>
      <rPr>
        <b val="true"/>
        <sz val="10"/>
        <color theme="1"/>
        <rFont val="Arial"/>
        <family val="0"/>
        <charset val="1"/>
      </rPr>
      <t xml:space="preserve">Standard deviation </t>
    </r>
    <r>
      <rPr>
        <sz val="10"/>
        <color theme="1"/>
        <rFont val="Arial"/>
        <family val="0"/>
        <charset val="1"/>
      </rPr>
      <t xml:space="preserve">s</t>
    </r>
  </si>
  <si>
    <r>
      <rPr>
        <b val="true"/>
        <sz val="10"/>
        <color theme="1"/>
        <rFont val="Arial"/>
        <family val="0"/>
        <charset val="1"/>
      </rPr>
      <t xml:space="preserve">Error Standard Deviation </t>
    </r>
    <r>
      <rPr>
        <sz val="10"/>
        <color theme="1"/>
        <rFont val="Symbol"/>
        <family val="0"/>
        <charset val="1"/>
      </rPr>
      <t xml:space="preserve">s</t>
    </r>
    <r>
      <rPr>
        <sz val="10"/>
        <color theme="1"/>
        <rFont val="Arial"/>
        <family val="0"/>
        <charset val="1"/>
      </rPr>
      <t xml:space="preserve">(s)</t>
    </r>
  </si>
  <si>
    <r>
      <rPr>
        <sz val="10"/>
        <color theme="1"/>
        <rFont val="Arial"/>
        <family val="0"/>
        <charset val="1"/>
      </rPr>
      <t xml:space="preserve">Input picture of </t>
    </r>
    <r>
      <rPr>
        <b val="true"/>
        <sz val="10"/>
        <color theme="1"/>
        <rFont val="Arial"/>
        <family val="0"/>
        <charset val="1"/>
      </rPr>
      <t xml:space="preserve">Meancalc</t>
    </r>
    <r>
      <rPr>
        <sz val="10"/>
        <color theme="1"/>
        <rFont val="Arial"/>
        <family val="0"/>
        <charset val="1"/>
      </rPr>
      <t xml:space="preserve"> anaylsis of aerodynamic drag C</t>
    </r>
    <r>
      <rPr>
        <vertAlign val="subscript"/>
        <sz val="10"/>
        <color theme="1"/>
        <rFont val="Arial"/>
        <family val="0"/>
        <charset val="1"/>
      </rPr>
      <t xml:space="preserve">D</t>
    </r>
    <r>
      <rPr>
        <sz val="10"/>
        <color theme="1"/>
        <rFont val="Arial"/>
        <family val="0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</si>
  <si>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</si>
  <si>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</si>
  <si>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</si>
  <si>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theme="1"/>
        <rFont val="Symbol"/>
        <family val="0"/>
        <charset val="1"/>
      </rPr>
      <t xml:space="preserve">D</t>
    </r>
    <r>
      <rPr>
        <sz val="16"/>
        <color theme="1"/>
        <rFont val="Arial"/>
        <family val="0"/>
        <charset val="1"/>
      </rPr>
      <t xml:space="preserve">Cp[-]</t>
    </r>
  </si>
  <si>
    <t xml:space="preserve">Cf [-]</t>
  </si>
  <si>
    <r>
      <rPr>
        <sz val="16"/>
        <color theme="1"/>
        <rFont val="Symbol"/>
        <family val="0"/>
        <charset val="1"/>
      </rPr>
      <t xml:space="preserve">D</t>
    </r>
    <r>
      <rPr>
        <sz val="16"/>
        <color theme="1"/>
        <rFont val="Arial"/>
        <family val="0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</si>
  <si>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</si>
  <si>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</si>
  <si>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</si>
  <si>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</si>
  <si>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</si>
  <si>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</si>
  <si>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</si>
  <si>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theme="1"/>
        <rFont val="Arial"/>
        <family val="0"/>
        <charset val="1"/>
      </rPr>
      <t xml:space="preserve">CFD - CFD</t>
    </r>
    <r>
      <rPr>
        <vertAlign val="subscript"/>
        <sz val="16"/>
        <color theme="1"/>
        <rFont val="Arial"/>
        <family val="0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</si>
  <si>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</si>
  <si>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</si>
  <si>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</si>
  <si>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</si>
  <si>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</si>
  <si>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</si>
  <si>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</si>
  <si>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</si>
  <si>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</si>
  <si>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theme="1"/>
        <rFont val="Calibri"/>
        <family val="0"/>
        <charset val="1"/>
      </rPr>
      <t xml:space="preserve">C-Pillar
</t>
    </r>
    <r>
      <rPr>
        <sz val="14"/>
        <color theme="1"/>
        <rFont val="Calibri"/>
        <family val="0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</si>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</sst>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@"/>
    <numFmt numFmtId="166" formatCode="yyyy\-mm\-dd"/>
    <numFmt numFmtId="167" formatCode="m/d/yyyy"/>
    <numFmt numFmtId="168" formatCode="#,##0.00"/>
    <numFmt numFmtId="169" formatCode="0.00E+00"/>
    <numFmt numFmtId="170" formatCode="0.0000"/>
    <numFmt numFmtId="171" formatCode="0.000"/>
    <numFmt numFmtId="172" formatCode="0.0"/>
    <numFmt numFmtId="173" formatCode="0"/>
    <numFmt numFmtId="174" formatCode="0.00000"/>
    <numFmt numFmtId="175" formatCode="0.00"/>
    <numFmt numFmtId="176" formatCode="#,##0_ ;\-#,##0\ "/>
  </numFmts>
  <fonts count="39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"/>
      <family val="0"/>
      <charset val="1"/>
    </font>
    <font>
      <sz val="10"/>
      <color rgb="FFBFBFBF"/>
      <name val="Arial"/>
      <family val="0"/>
      <charset val="1"/>
    </font>
    <font>
      <sz val="9"/>
      <color rgb="FFBFBFBF"/>
      <name val="Arial"/>
      <family val="0"/>
      <charset val="1"/>
    </font>
    <font>
      <b val="true"/>
      <u val="single"/>
      <sz val="12"/>
      <color theme="1"/>
      <name val="Arial"/>
      <family val="0"/>
      <charset val="1"/>
    </font>
    <font>
      <b val="true"/>
      <sz val="10"/>
      <color theme="1"/>
      <name val="Arial"/>
      <family val="0"/>
      <charset val="1"/>
    </font>
    <font>
      <sz val="9"/>
      <color theme="1"/>
      <name val="Arial"/>
      <family val="0"/>
      <charset val="1"/>
    </font>
    <font>
      <u val="single"/>
      <sz val="10"/>
      <color theme="10"/>
      <name val="Arial"/>
      <family val="0"/>
      <charset val="1"/>
    </font>
    <font>
      <sz val="10"/>
      <color theme="0"/>
      <name val="Arial"/>
      <family val="0"/>
      <charset val="1"/>
    </font>
    <font>
      <u val="single"/>
      <sz val="10"/>
      <color theme="1"/>
      <name val="Arial"/>
      <family val="0"/>
      <charset val="1"/>
    </font>
    <font>
      <sz val="10"/>
      <color rgb="FF0000FF"/>
      <name val="Arial"/>
      <family val="0"/>
      <charset val="1"/>
    </font>
    <font>
      <u val="single"/>
      <sz val="9"/>
      <color theme="10"/>
      <name val="Arial"/>
      <family val="0"/>
      <charset val="1"/>
    </font>
    <font>
      <b val="true"/>
      <sz val="20"/>
      <color theme="1"/>
      <name val="Arial"/>
      <family val="0"/>
      <charset val="1"/>
    </font>
    <font>
      <vertAlign val="subscript"/>
      <sz val="10"/>
      <color theme="1"/>
      <name val="Arial"/>
      <family val="0"/>
      <charset val="1"/>
    </font>
    <font>
      <b val="true"/>
      <u val="single"/>
      <sz val="10"/>
      <color theme="1"/>
      <name val="Arial"/>
      <family val="0"/>
      <charset val="1"/>
    </font>
    <font>
      <sz val="11"/>
      <color rgb="FF000000"/>
      <name val="Calibri"/>
      <family val="0"/>
      <charset val="1"/>
    </font>
    <font>
      <sz val="8"/>
      <color theme="1"/>
      <name val="Arial"/>
      <family val="0"/>
      <charset val="1"/>
    </font>
    <font>
      <b val="true"/>
      <vertAlign val="subscript"/>
      <sz val="10"/>
      <color theme="1"/>
      <name val="Arial"/>
      <family val="0"/>
      <charset val="1"/>
    </font>
    <font>
      <sz val="10"/>
      <color theme="1"/>
      <name val="Noto Sans Symbols"/>
      <family val="0"/>
      <charset val="1"/>
    </font>
    <font>
      <u val="single"/>
      <sz val="7"/>
      <color theme="10"/>
      <name val="Arial"/>
      <family val="0"/>
      <charset val="1"/>
    </font>
    <font>
      <sz val="8"/>
      <color rgb="FFFF0000"/>
      <name val="Arial"/>
      <family val="0"/>
      <charset val="1"/>
    </font>
    <font>
      <sz val="10"/>
      <color theme="1"/>
      <name val="Symbol"/>
      <family val="0"/>
      <charset val="1"/>
    </font>
    <font>
      <sz val="9"/>
      <color theme="1"/>
      <name val="Calibri"/>
      <family val="0"/>
      <charset val="1"/>
    </font>
    <font>
      <sz val="16"/>
      <color theme="1"/>
      <name val="Arial"/>
      <family val="0"/>
      <charset val="1"/>
    </font>
    <font>
      <sz val="16"/>
      <color theme="1"/>
      <name val="Symbol"/>
      <family val="0"/>
      <charset val="1"/>
    </font>
    <font>
      <vertAlign val="subscript"/>
      <sz val="16"/>
      <color theme="1"/>
      <name val="Arial"/>
      <family val="0"/>
      <charset val="1"/>
    </font>
    <font>
      <sz val="16"/>
      <color theme="1"/>
      <name val="Calibri"/>
      <family val="0"/>
      <charset val="1"/>
    </font>
    <font>
      <sz val="10"/>
      <color theme="1"/>
      <name val="Calibri"/>
      <family val="0"/>
      <charset val="1"/>
    </font>
    <font>
      <sz val="12"/>
      <color theme="1"/>
      <name val="Calibri"/>
      <family val="0"/>
      <charset val="1"/>
    </font>
    <font>
      <sz val="14"/>
      <color theme="1"/>
      <name val="Calibri"/>
      <family val="0"/>
      <charset val="1"/>
    </font>
    <font>
      <b val="true"/>
      <sz val="28"/>
      <color theme="1"/>
      <name val="Arial"/>
      <family val="0"/>
      <charset val="1"/>
    </font>
    <font>
      <sz val="33"/>
      <color rgb="FF757575"/>
      <name val="Calibri"/>
      <family val="2"/>
    </font>
    <font>
      <sz val="28"/>
      <color rgb="FF000000"/>
      <name val="Calibri"/>
      <family val="2"/>
    </font>
    <font>
      <sz val="10"/>
      <color rgb="FF000000"/>
      <name val="Arial"/>
      <family val="2"/>
    </font>
    <font>
      <b val="true"/>
      <sz val="20"/>
      <color theme="1"/>
      <name val="Calibri"/>
      <family val="0"/>
    </font>
    <font>
      <sz val="11"/>
      <color theme="1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8D8D8"/>
        <bgColor rgb="FFD9D9D9"/>
      </patternFill>
    </fill>
    <fill>
      <patternFill patternType="solid">
        <fgColor rgb="FFE5B8B7"/>
        <bgColor rgb="FFFABF8F"/>
      </patternFill>
    </fill>
    <fill>
      <patternFill patternType="solid">
        <fgColor rgb="FFFABF8F"/>
        <bgColor rgb="FFE5B8B7"/>
      </patternFill>
    </fill>
    <fill>
      <patternFill patternType="solid">
        <fgColor rgb="FFF2F2F2"/>
        <bgColor rgb="FFFFFFFF"/>
      </patternFill>
    </fill>
    <fill>
      <patternFill patternType="solid">
        <fgColor rgb="FFA5A5A5"/>
        <bgColor rgb="FFBFBFBF"/>
      </patternFill>
    </fill>
    <fill>
      <patternFill patternType="solid">
        <fgColor rgb="FFBFBFBF"/>
        <bgColor rgb="FFE5B8B7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 diagonalUp="false" diagonalDown="false">
      <left/>
      <right style="thin">
        <color theme="1"/>
      </right>
      <top style="thin">
        <color theme="1"/>
      </top>
      <bottom style="thin">
        <color theme="1"/>
      </bottom>
      <diagonal/>
    </border>
    <border diagonalUp="false" diagonalDown="false">
      <left style="thin">
        <color theme="1"/>
      </left>
      <right/>
      <top style="thin">
        <color theme="1"/>
      </top>
      <bottom style="thin">
        <color theme="1"/>
      </bottom>
      <diagonal/>
    </border>
    <border diagonalUp="false" diagonalDown="false">
      <left/>
      <right/>
      <top/>
      <bottom style="thin">
        <color theme="1"/>
      </bottom>
      <diagonal/>
    </border>
    <border diagonalUp="false" diagonalDown="false">
      <left/>
      <right/>
      <top style="thin">
        <color theme="1"/>
      </top>
      <bottom style="thin">
        <color theme="1"/>
      </bottom>
      <diagonal/>
    </border>
    <border diagonalUp="false" diagonalDown="false">
      <left style="medium">
        <color theme="1"/>
      </left>
      <right style="medium">
        <color theme="1"/>
      </right>
      <top style="medium">
        <color theme="1"/>
      </top>
      <bottom/>
      <diagonal/>
    </border>
    <border diagonalUp="false" diagonalDown="false">
      <left style="medium">
        <color theme="1"/>
      </left>
      <right/>
      <top/>
      <bottom style="medium">
        <color theme="1"/>
      </bottom>
      <diagonal/>
    </border>
    <border diagonalUp="false" diagonalDown="false">
      <left/>
      <right/>
      <top/>
      <bottom style="medium">
        <color theme="1"/>
      </bottom>
      <diagonal/>
    </border>
    <border diagonalUp="false" diagonalDown="false">
      <left/>
      <right style="medium">
        <color theme="1"/>
      </right>
      <top/>
      <bottom style="medium">
        <color theme="1"/>
      </bottom>
      <diagonal/>
    </border>
    <border diagonalUp="false" diagonalDown="false"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 diagonalUp="false" diagonalDown="false">
      <left style="medium">
        <color theme="1"/>
      </left>
      <right/>
      <top style="medium">
        <color theme="1"/>
      </top>
      <bottom/>
      <diagonal/>
    </border>
    <border diagonalUp="false" diagonalDown="false">
      <left/>
      <right/>
      <top style="medium">
        <color theme="1"/>
      </top>
      <bottom/>
      <diagonal/>
    </border>
    <border diagonalUp="false" diagonalDown="false">
      <left/>
      <right style="medium">
        <color theme="1"/>
      </right>
      <top style="medium">
        <color theme="1"/>
      </top>
      <bottom/>
      <diagonal/>
    </border>
    <border diagonalUp="false" diagonalDown="false">
      <left/>
      <right style="medium">
        <color theme="1"/>
      </right>
      <top/>
      <bottom/>
      <diagonal/>
    </border>
    <border diagonalUp="false" diagonalDown="false">
      <left style="medium">
        <color theme="1"/>
      </left>
      <right/>
      <top/>
      <bottom/>
      <diagonal/>
    </border>
    <border diagonalUp="false" diagonalDown="false">
      <left style="medium">
        <color theme="1"/>
      </left>
      <right/>
      <top/>
      <bottom style="thin">
        <color theme="1"/>
      </bottom>
      <diagonal/>
    </border>
    <border diagonalUp="false" diagonalDown="false"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 diagonalUp="false" diagonalDown="false">
      <left/>
      <right style="medium">
        <color theme="1"/>
      </right>
      <top style="medium">
        <color theme="1"/>
      </top>
      <bottom style="thin">
        <color theme="1"/>
      </bottom>
      <diagonal/>
    </border>
    <border diagonalUp="false" diagonalDown="false">
      <left style="medium">
        <color theme="1"/>
      </left>
      <right style="medium">
        <color theme="1"/>
      </right>
      <top style="thin">
        <color theme="1"/>
      </top>
      <bottom/>
      <diagonal/>
    </border>
    <border diagonalUp="false" diagonalDown="false">
      <left/>
      <right style="thin">
        <color theme="1"/>
      </right>
      <top style="thin">
        <color theme="1"/>
      </top>
      <bottom/>
      <diagonal/>
    </border>
    <border diagonalUp="false" diagonalDown="false">
      <left style="thin">
        <color theme="1"/>
      </left>
      <right style="thin">
        <color theme="1"/>
      </right>
      <top style="thin">
        <color theme="1"/>
      </top>
      <bottom/>
      <diagonal/>
    </border>
    <border diagonalUp="false" diagonalDown="false">
      <left style="thin">
        <color theme="1"/>
      </left>
      <right style="medium">
        <color theme="1"/>
      </right>
      <top style="thin">
        <color theme="1"/>
      </top>
      <bottom/>
      <diagonal/>
    </border>
    <border diagonalUp="false" diagonalDown="false">
      <left/>
      <right style="thin">
        <color theme="1"/>
      </right>
      <top style="medium">
        <color theme="1"/>
      </top>
      <bottom style="medium">
        <color theme="1"/>
      </bottom>
      <diagonal/>
    </border>
    <border diagonalUp="false" diagonalDown="false"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 diagonalUp="false" diagonalDown="false"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 diagonalUp="false" diagonalDown="false">
      <left style="medium">
        <color theme="1"/>
      </left>
      <right/>
      <top style="medium">
        <color theme="1"/>
      </top>
      <bottom style="medium">
        <color theme="1"/>
      </bottom>
      <diagonal/>
    </border>
    <border diagonalUp="false" diagonalDown="false">
      <left/>
      <right/>
      <top style="medium">
        <color theme="1"/>
      </top>
      <bottom style="medium">
        <color theme="1"/>
      </bottom>
      <diagonal/>
    </border>
    <border diagonalUp="false" diagonalDown="false">
      <left/>
      <right style="medium">
        <color theme="1"/>
      </right>
      <top style="medium">
        <color theme="1"/>
      </top>
      <bottom style="medium">
        <color theme="1"/>
      </bottom>
      <diagonal/>
    </border>
    <border diagonalUp="false" diagonalDown="false">
      <left style="medium">
        <color theme="1"/>
      </left>
      <right style="medium">
        <color theme="1"/>
      </right>
      <top/>
      <bottom/>
      <diagonal/>
    </border>
    <border diagonalUp="false" diagonalDown="false">
      <left style="medium">
        <color theme="1"/>
      </left>
      <right style="medium">
        <color theme="1"/>
      </right>
      <top/>
      <bottom style="medium">
        <color theme="1"/>
      </bottom>
      <diagonal/>
    </border>
    <border diagonalUp="false" diagonalDown="false"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 diagonalUp="false" diagonalDown="false"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 diagonalUp="false" diagonalDown="false"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 diagonalUp="false" diagonalDown="false"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 diagonalUp="false" diagonalDown="false">
      <left/>
      <right style="thin">
        <color theme="1"/>
      </right>
      <top style="medium">
        <color theme="1"/>
      </top>
      <bottom/>
      <diagonal/>
    </border>
    <border diagonalUp="false" diagonalDown="false">
      <left style="thin">
        <color theme="1"/>
      </left>
      <right/>
      <top style="medium">
        <color theme="1"/>
      </top>
      <bottom style="medium">
        <color theme="1"/>
      </bottom>
      <diagonal/>
    </border>
    <border diagonalUp="false" diagonalDown="false">
      <left/>
      <right style="thin">
        <color theme="1"/>
      </right>
      <top/>
      <bottom style="thin">
        <color theme="1"/>
      </bottom>
      <diagonal/>
    </border>
    <border diagonalUp="false" diagonalDown="false">
      <left style="thin">
        <color theme="1"/>
      </left>
      <right style="thin">
        <color theme="1"/>
      </right>
      <top/>
      <bottom style="thin">
        <color theme="1"/>
      </bottom>
      <diagonal/>
    </border>
    <border diagonalUp="false" diagonalDown="false">
      <left style="thin">
        <color theme="1"/>
      </left>
      <right/>
      <top/>
      <bottom style="thin">
        <color theme="1"/>
      </bottom>
      <diagonal/>
    </border>
    <border diagonalUp="false" diagonalDown="false">
      <left style="medium">
        <color theme="1"/>
      </left>
      <right style="medium">
        <color theme="1"/>
      </right>
      <top/>
      <bottom style="thin">
        <color theme="1"/>
      </bottom>
      <diagonal/>
    </border>
    <border diagonalUp="false" diagonalDown="false">
      <left style="medium">
        <color theme="1"/>
      </left>
      <right style="thin">
        <color theme="1"/>
      </right>
      <top/>
      <bottom style="thin">
        <color theme="1"/>
      </bottom>
      <diagonal/>
    </border>
    <border diagonalUp="false" diagonalDown="false">
      <left style="thin">
        <color theme="1"/>
      </left>
      <right style="medium">
        <color theme="1"/>
      </right>
      <top/>
      <bottom style="thin">
        <color theme="1"/>
      </bottom>
      <diagonal/>
    </border>
    <border diagonalUp="false" diagonalDown="false">
      <left style="medium">
        <color theme="1"/>
      </left>
      <right/>
      <top style="thin">
        <color theme="1"/>
      </top>
      <bottom style="thin">
        <color theme="1"/>
      </bottom>
      <diagonal/>
    </border>
    <border diagonalUp="false" diagonalDown="false"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 diagonalUp="false" diagonalDown="false"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 diagonalUp="false" diagonalDown="false">
      <left style="medium">
        <color theme="1"/>
      </left>
      <right/>
      <top style="medium">
        <color theme="1"/>
      </top>
      <bottom style="thin">
        <color theme="1"/>
      </bottom>
      <diagonal/>
    </border>
    <border diagonalUp="false" diagonalDown="false">
      <left/>
      <right style="thin">
        <color theme="1"/>
      </right>
      <top style="medium">
        <color theme="1"/>
      </top>
      <bottom style="thin">
        <color theme="1"/>
      </bottom>
      <diagonal/>
    </border>
    <border diagonalUp="false" diagonalDown="false">
      <left/>
      <right/>
      <top style="medium">
        <color theme="1"/>
      </top>
      <bottom style="thin">
        <color theme="1"/>
      </bottom>
      <diagonal/>
    </border>
    <border diagonalUp="false" diagonalDown="false"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 diagonalUp="false" diagonalDown="false">
      <left style="thin">
        <color theme="1"/>
      </left>
      <right/>
      <top style="medium">
        <color theme="1"/>
      </top>
      <bottom style="thin">
        <color theme="1"/>
      </bottom>
      <diagonal/>
    </border>
    <border diagonalUp="false" diagonalDown="false">
      <left style="medium">
        <color theme="1"/>
      </left>
      <right/>
      <top style="thin">
        <color theme="1"/>
      </top>
      <bottom style="medium">
        <color theme="1"/>
      </bottom>
      <diagonal/>
    </border>
    <border diagonalUp="false" diagonalDown="false">
      <left/>
      <right style="thin">
        <color theme="1"/>
      </right>
      <top style="thin">
        <color theme="1"/>
      </top>
      <bottom style="medium">
        <color theme="1"/>
      </bottom>
      <diagonal/>
    </border>
    <border diagonalUp="false" diagonalDown="false"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 diagonalUp="false" diagonalDown="false">
      <left style="thin">
        <color theme="1"/>
      </left>
      <right/>
      <top style="thin">
        <color theme="1"/>
      </top>
      <bottom style="medium">
        <color theme="1"/>
      </bottom>
      <diagonal/>
    </border>
    <border diagonalUp="false" diagonalDown="false"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 diagonalUp="false" diagonalDown="false"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 diagonalUp="false" diagonalDown="false">
      <left style="medium">
        <color theme="1"/>
      </left>
      <right style="thin">
        <color theme="1"/>
      </right>
      <top/>
      <bottom style="medium">
        <color theme="1"/>
      </bottom>
      <diagonal/>
    </border>
    <border diagonalUp="false" diagonalDown="false">
      <left style="thin">
        <color theme="1"/>
      </left>
      <right style="medium">
        <color theme="1"/>
      </right>
      <top/>
      <bottom style="medium">
        <color theme="1"/>
      </bottom>
      <diagonal/>
    </border>
    <border diagonalUp="false" diagonalDown="false">
      <left style="medium">
        <color theme="1"/>
      </left>
      <right style="thin">
        <color theme="1"/>
      </right>
      <top style="thin">
        <color theme="1"/>
      </top>
      <bottom/>
      <diagonal/>
    </border>
    <border diagonalUp="false" diagonalDown="false">
      <left style="thin">
        <color theme="1"/>
      </left>
      <right/>
      <top style="thin">
        <color theme="1"/>
      </top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3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8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4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3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4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12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0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6" fontId="4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4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9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4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9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" fillId="6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5" fontId="4" fillId="2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4" fillId="2" borderId="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4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8" fontId="4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15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3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8" fontId="18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9" fontId="18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5" borderId="1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5" borderId="1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4" fillId="5" borderId="1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4" fillId="5" borderId="1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1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5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5" borderId="1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4" fillId="5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9" fontId="4" fillId="5" borderId="1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5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17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8" fillId="3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19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8" fillId="3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1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4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5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5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2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27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28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1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1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1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0" borderId="1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0" fontId="4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1" fontId="4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2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2" fontId="4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2" fillId="2" borderId="1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3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9" fillId="2" borderId="2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9" fillId="2" borderId="29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6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4" fillId="2" borderId="15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4" fillId="2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4" fontId="4" fillId="2" borderId="1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4" fillId="2" borderId="29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3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8" fillId="3" borderId="1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3" fontId="4" fillId="5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4" fillId="5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3" borderId="3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0" fontId="4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4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5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3" borderId="3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4" fillId="5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4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25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5" fontId="26" fillId="7" borderId="1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27" fillId="7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5" fillId="7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26" fillId="7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26" fillId="7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26" fillId="7" borderId="3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19" fillId="7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19" fillId="7" borderId="2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19" fillId="7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9" fillId="3" borderId="30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0" fillId="8" borderId="1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3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3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4" fillId="5" borderId="3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3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2" borderId="4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4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4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8" borderId="4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4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2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4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3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8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4" fillId="2" borderId="3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4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8" borderId="4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4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4" fillId="5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30" fillId="8" borderId="1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3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3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3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30" fillId="8" borderId="4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30" fillId="8" borderId="5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2" borderId="3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3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6" fontId="30" fillId="8" borderId="4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2" borderId="1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29" fillId="3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6" fontId="31" fillId="3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9" fillId="3" borderId="31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0" fillId="8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8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8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8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8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25" fillId="7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9" fillId="7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71" fontId="4" fillId="5" borderId="5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5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5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5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5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5" borderId="6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2" borderId="1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3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31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9" fontId="31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71" fontId="31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26"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>
          <bgColor rgb="FFFABF8F"/>
        </patternFill>
      </fill>
    </dxf>
    <dxf>
      <fill>
        <patternFill/>
      </fill>
    </dxf>
    <dxf>
      <fill>
        <patternFill/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128"/>
      <rgbColor rgb="FF800080"/>
      <rgbColor rgb="FF008080"/>
      <rgbColor rgb="FFBFBFBF"/>
      <rgbColor rgb="FF757575"/>
      <rgbColor rgb="FFA5A5A5"/>
      <rgbColor rgb="FFC0504D"/>
      <rgbColor rgb="FFF2F2F2"/>
      <rgbColor rgb="FFF2DBDB"/>
      <rgbColor rgb="FF660066"/>
      <rgbColor rgb="FFFF8080"/>
      <rgbColor rgb="FF0066CC"/>
      <rgbColor rgb="FFD8D8D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BD4B4"/>
      <rgbColor rgb="FF99CCFF"/>
      <rgbColor rgb="FFE5B8B7"/>
      <rgbColor rgb="FFCC99FF"/>
      <rgbColor rgb="FFFABF8F"/>
      <rgbColor rgb="FF4F81BD"/>
      <rgbColor rgb="FF33CCCC"/>
      <rgbColor rgb="FF9BBB59"/>
      <rgbColor rgb="FFFFCC00"/>
      <rgbColor rgb="FFFF9900"/>
      <rgbColor rgb="FFFF6600"/>
      <rgbColor rgb="FF366092"/>
      <rgbColor rgb="FF8B8B8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3300" strike="noStrike" u="none">
                <a:solidFill>
                  <a:srgbClr val="757575"/>
                </a:solidFill>
                <a:uFillTx/>
                <a:latin typeface="Calibri"/>
                <a:ea typeface="Arial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Pt>
            <c:idx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1"/>
            <c:spPr>
              <a:solidFill>
                <a:srgbClr val="c0504d"/>
              </a:solidFill>
              <a:ln w="0">
                <a:noFill/>
              </a:ln>
            </c:spPr>
          </c:dPt>
          <c:dPt>
            <c:idx val="2"/>
            <c:spPr>
              <a:solidFill>
                <a:srgbClr val="9bbb59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150"/>
        <c:overlap val="0"/>
        <c:axId val="43954534"/>
        <c:axId val="11178423"/>
      </c:barChart>
      <c:catAx>
        <c:axId val="4395453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sz="2800" strike="noStrike" u="non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</a:p>
        </c:txPr>
        <c:crossAx val="11178423"/>
        <c:crosses val="autoZero"/>
        <c:auto val="1"/>
        <c:lblAlgn val="ctr"/>
        <c:lblOffset val="100"/>
        <c:noMultiLvlLbl val="0"/>
      </c:catAx>
      <c:valAx>
        <c:axId val="11178423"/>
        <c:scaling>
          <c:orientation val="minMax"/>
        </c:scaling>
        <c:delete val="0"/>
        <c:axPos val="l"/>
        <c:numFmt formatCode="0.0000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4395453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xMode val="edge"/>
          <c:yMode val="edge"/>
          <c:x val="0.943876988241523"/>
          <c:y val="0"/>
          <c:w val="0.054997904211432"/>
          <c:h val="0.0448179271708684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Pt>
            <c:idx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1"/>
            <c:spPr>
              <a:solidFill>
                <a:srgbClr val="c0504d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150"/>
        <c:overlap val="0"/>
        <c:axId val="45898548"/>
        <c:axId val="20003917"/>
      </c:barChart>
      <c:catAx>
        <c:axId val="458985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20003917"/>
        <c:crosses val="autoZero"/>
        <c:auto val="1"/>
        <c:lblAlgn val="ctr"/>
        <c:lblOffset val="100"/>
        <c:noMultiLvlLbl val="0"/>
      </c:catAx>
      <c:valAx>
        <c:axId val="20003917"/>
        <c:scaling>
          <c:orientation val="minMax"/>
        </c:scaling>
        <c:delete val="0"/>
        <c:axPos val="l"/>
        <c:numFmt formatCode="0.0000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45898548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3300" strike="noStrike" u="none">
                <a:solidFill>
                  <a:srgbClr val="757575"/>
                </a:solidFill>
                <a:uFillTx/>
                <a:latin typeface="Calibri"/>
                <a:ea typeface="Arial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Pt>
            <c:idx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1"/>
            <c:spPr>
              <a:solidFill>
                <a:srgbClr val="c0504d"/>
              </a:solidFill>
              <a:ln w="0">
                <a:noFill/>
              </a:ln>
            </c:spPr>
          </c:dPt>
          <c:dPt>
            <c:idx val="2"/>
            <c:spPr>
              <a:solidFill>
                <a:srgbClr val="9bbb59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  <c:pt idx="0">
                  <c:v>0.2687989</c:v>
                </c:pt>
                <c:pt idx="1">
                  <c:v>0.08482921</c:v>
                </c:pt>
                <c:pt idx="2">
                  <c:v>0.02316761</c:v>
                </c:pt>
              </c:numCache>
            </c:numRef>
          </c:val>
        </c:ser>
        <c:gapWidth val="150"/>
        <c:overlap val="0"/>
        <c:axId val="84726111"/>
        <c:axId val="65566314"/>
      </c:barChart>
      <c:catAx>
        <c:axId val="8472611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sz="2800" strike="noStrike" u="non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</a:p>
        </c:txPr>
        <c:crossAx val="65566314"/>
        <c:crosses val="autoZero"/>
        <c:auto val="1"/>
        <c:lblAlgn val="ctr"/>
        <c:lblOffset val="100"/>
        <c:noMultiLvlLbl val="0"/>
      </c:catAx>
      <c:valAx>
        <c:axId val="65566314"/>
        <c:scaling>
          <c:orientation val="minMax"/>
        </c:scaling>
        <c:delete val="0"/>
        <c:axPos val="l"/>
        <c:numFmt formatCode="0.0000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8472611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xMode val="edge"/>
          <c:yMode val="edge"/>
          <c:x val="0.943876988241523"/>
          <c:y val="0"/>
          <c:w val="0.054997904211432"/>
          <c:h val="0.0455868089233754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Pt>
            <c:idx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1"/>
            <c:spPr>
              <a:solidFill>
                <a:srgbClr val="c0504d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150"/>
        <c:overlap val="0"/>
        <c:axId val="1164620"/>
        <c:axId val="37415198"/>
      </c:barChart>
      <c:catAx>
        <c:axId val="11646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37415198"/>
        <c:crosses val="autoZero"/>
        <c:auto val="1"/>
        <c:lblAlgn val="ctr"/>
        <c:lblOffset val="100"/>
        <c:noMultiLvlLbl val="0"/>
      </c:catAx>
      <c:valAx>
        <c:axId val="37415198"/>
        <c:scaling>
          <c:orientation val="minMax"/>
        </c:scaling>
        <c:delete val="0"/>
        <c:axPos val="l"/>
        <c:numFmt formatCode="0.0000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1164620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1.png"/><Relationship Id="rId6" Type="http://schemas.openxmlformats.org/officeDocument/2006/relationships/image" Target="../media/image2.png"/><Relationship Id="rId7" Type="http://schemas.openxmlformats.org/officeDocument/2006/relationships/image" Target="../media/image3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76320</xdr:colOff>
      <xdr:row>5</xdr:row>
      <xdr:rowOff>66600</xdr:rowOff>
    </xdr:from>
    <xdr:to>
      <xdr:col>25</xdr:col>
      <xdr:colOff>69840</xdr:colOff>
      <xdr:row>51</xdr:row>
      <xdr:rowOff>94320</xdr:rowOff>
    </xdr:to>
    <xdr:graphicFrame>
      <xdr:nvGraphicFramePr>
        <xdr:cNvPr id="0" name="Chart 1"/>
        <xdr:cNvGraphicFramePr/>
      </xdr:nvGraphicFramePr>
      <xdr:xfrm>
        <a:off x="2547720" y="1485720"/>
        <a:ext cx="12968640" cy="747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95400</xdr:rowOff>
    </xdr:from>
    <xdr:to>
      <xdr:col>27</xdr:col>
      <xdr:colOff>263160</xdr:colOff>
      <xdr:row>3</xdr:row>
      <xdr:rowOff>294840</xdr:rowOff>
    </xdr:to>
    <xdr:graphicFrame>
      <xdr:nvGraphicFramePr>
        <xdr:cNvPr id="1" name="Chart 2"/>
        <xdr:cNvGraphicFramePr/>
      </xdr:nvGraphicFramePr>
      <xdr:xfrm>
        <a:off x="627120" y="723960"/>
        <a:ext cx="16318080" cy="513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29</xdr:col>
      <xdr:colOff>276120</xdr:colOff>
      <xdr:row>5</xdr:row>
      <xdr:rowOff>47520</xdr:rowOff>
    </xdr:from>
    <xdr:to>
      <xdr:col>46</xdr:col>
      <xdr:colOff>459720</xdr:colOff>
      <xdr:row>51</xdr:row>
      <xdr:rowOff>84600</xdr:rowOff>
    </xdr:to>
    <xdr:graphicFrame>
      <xdr:nvGraphicFramePr>
        <xdr:cNvPr id="2" name="Chart 3"/>
        <xdr:cNvGraphicFramePr/>
      </xdr:nvGraphicFramePr>
      <xdr:xfrm>
        <a:off x="18194040" y="1466640"/>
        <a:ext cx="12730320" cy="7485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142920</xdr:colOff>
      <xdr:row>61</xdr:row>
      <xdr:rowOff>0</xdr:rowOff>
    </xdr:from>
    <xdr:to>
      <xdr:col>17</xdr:col>
      <xdr:colOff>575280</xdr:colOff>
      <xdr:row>64</xdr:row>
      <xdr:rowOff>9000</xdr:rowOff>
    </xdr:to>
    <xdr:sp>
      <xdr:nvSpPr>
        <xdr:cNvPr id="3" name="Shape 3">
          <a:hlinkClick r:id="rId4"/>
        </xdr:cNvPr>
        <xdr:cNvSpPr/>
      </xdr:nvSpPr>
      <xdr:spPr>
        <a:xfrm>
          <a:off x="6321600" y="10487160"/>
          <a:ext cx="4757040" cy="494640"/>
        </a:xfrm>
        <a:prstGeom prst="rect">
          <a:avLst/>
        </a:prstGeom>
        <a:solidFill>
          <a:srgbClr val="ffffff"/>
        </a:solidFill>
        <a:ln w="9525">
          <a:solidFill>
            <a:srgbClr val="bababa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 anchor="ctr">
          <a:noAutofit/>
        </a:bodyPr>
        <a:p>
          <a:pPr>
            <a:lnSpc>
              <a:spcPct val="100000"/>
            </a:lnSpc>
            <a:tabLst>
              <a:tab algn="l" pos="0"/>
            </a:tabLst>
          </a:pPr>
          <a:r>
            <a:rPr b="1" lang="en-US" sz="2000" strike="noStrike" u="none">
              <a:solidFill>
                <a:schemeClr val="dk1"/>
              </a:solidFill>
              <a:effectLst/>
              <a:uFillTx/>
              <a:latin typeface="Calibri"/>
              <a:ea typeface="Calibri"/>
            </a:rPr>
            <a:t>Reference Results (AutoCFD4): Case_2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33</xdr:col>
      <xdr:colOff>162000</xdr:colOff>
      <xdr:row>61</xdr:row>
      <xdr:rowOff>0</xdr:rowOff>
    </xdr:from>
    <xdr:to>
      <xdr:col>40</xdr:col>
      <xdr:colOff>700920</xdr:colOff>
      <xdr:row>64</xdr:row>
      <xdr:rowOff>9000</xdr:rowOff>
    </xdr:to>
    <xdr:sp>
      <xdr:nvSpPr>
        <xdr:cNvPr id="4" name="Shape 4"/>
        <xdr:cNvSpPr/>
      </xdr:nvSpPr>
      <xdr:spPr>
        <a:xfrm>
          <a:off x="20951280" y="10487160"/>
          <a:ext cx="5714640" cy="494640"/>
        </a:xfrm>
        <a:prstGeom prst="rect">
          <a:avLst/>
        </a:prstGeom>
        <a:solidFill>
          <a:srgbClr val="ffffff"/>
        </a:solidFill>
        <a:ln w="9525">
          <a:solidFill>
            <a:srgbClr val="bababa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 anchor="ctr">
          <a:noAutofit/>
        </a:bodyPr>
        <a:p>
          <a:pPr>
            <a:lnSpc>
              <a:spcPct val="100000"/>
            </a:lnSpc>
            <a:tabLst>
              <a:tab algn="l" pos="0"/>
            </a:tabLst>
          </a:pPr>
          <a:r>
            <a:rPr b="1" lang="en-US" sz="2000" strike="noStrike" u="none">
              <a:solidFill>
                <a:schemeClr val="dk1"/>
              </a:solidFill>
              <a:effectLst/>
              <a:uFillTx/>
              <a:latin typeface="Calibri"/>
              <a:ea typeface="Calibri"/>
            </a:rPr>
            <a:t>Reference Results (OHC-1): Baseline Setup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1</xdr:col>
      <xdr:colOff>447840</xdr:colOff>
      <xdr:row>52</xdr:row>
      <xdr:rowOff>95400</xdr:rowOff>
    </xdr:from>
    <xdr:to>
      <xdr:col>29</xdr:col>
      <xdr:colOff>340920</xdr:colOff>
      <xdr:row>79</xdr:row>
      <xdr:rowOff>113760</xdr:rowOff>
    </xdr:to>
    <xdr:pic>
      <xdr:nvPicPr>
        <xdr:cNvPr id="5" name="image3.png" descr=""/>
        <xdr:cNvPicPr/>
      </xdr:nvPicPr>
      <xdr:blipFill>
        <a:blip r:embed="rId5"/>
        <a:stretch/>
      </xdr:blipFill>
      <xdr:spPr>
        <a:xfrm>
          <a:off x="1065600" y="9125280"/>
          <a:ext cx="17193240" cy="4390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123840</xdr:rowOff>
    </xdr:from>
    <xdr:to>
      <xdr:col>29</xdr:col>
      <xdr:colOff>321840</xdr:colOff>
      <xdr:row>100</xdr:row>
      <xdr:rowOff>122760</xdr:rowOff>
    </xdr:to>
    <xdr:pic>
      <xdr:nvPicPr>
        <xdr:cNvPr id="6" name="image2.png" descr=""/>
        <xdr:cNvPicPr/>
      </xdr:nvPicPr>
      <xdr:blipFill>
        <a:blip r:embed="rId6"/>
        <a:stretch/>
      </xdr:blipFill>
      <xdr:spPr>
        <a:xfrm>
          <a:off x="1074960" y="12553920"/>
          <a:ext cx="17164800" cy="43711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314280</xdr:colOff>
      <xdr:row>94</xdr:row>
      <xdr:rowOff>104760</xdr:rowOff>
    </xdr:from>
    <xdr:to>
      <xdr:col>29</xdr:col>
      <xdr:colOff>331200</xdr:colOff>
      <xdr:row>119</xdr:row>
      <xdr:rowOff>104040</xdr:rowOff>
    </xdr:to>
    <xdr:pic>
      <xdr:nvPicPr>
        <xdr:cNvPr id="7" name="image1.png" descr=""/>
        <xdr:cNvPicPr/>
      </xdr:nvPicPr>
      <xdr:blipFill>
        <a:blip r:embed="rId7"/>
        <a:stretch/>
      </xdr:blipFill>
      <xdr:spPr>
        <a:xfrm>
          <a:off x="932040" y="15935400"/>
          <a:ext cx="17317080" cy="40474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2</xdr:row>
      <xdr:rowOff>95400</xdr:rowOff>
    </xdr:from>
    <xdr:to>
      <xdr:col>27</xdr:col>
      <xdr:colOff>263160</xdr:colOff>
      <xdr:row>4</xdr:row>
      <xdr:rowOff>123480</xdr:rowOff>
    </xdr:to>
    <xdr:graphicFrame>
      <xdr:nvGraphicFramePr>
        <xdr:cNvPr id="8" name="Chart 4"/>
        <xdr:cNvGraphicFramePr/>
      </xdr:nvGraphicFramePr>
      <xdr:xfrm>
        <a:off x="627120" y="438480"/>
        <a:ext cx="16318080" cy="370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_1" displayName="Table_1" ref="AG106:AR109" headerRowCount="1" totalsRowCount="0" totalsRowShown="0"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 pitchFamily="0" charset="1"/>
        <a:ea typeface="Arial" pitchFamily="0" charset="1"/>
        <a:cs typeface="Arial" pitchFamily="0" charset="1"/>
      </a:majorFont>
      <a:minorFont>
        <a:latin typeface="Arial" pitchFamily="0" charset="1"/>
        <a:ea typeface="Arial" pitchFamily="0" charset="1"/>
        <a:cs typeface="Arial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docs.google.com/spreadsheets/d/1G804IutYCe7Aqb4J5zwgZi2eP8QUAMOdGVyB8v-5FkQ/edit?usp=sharing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mailto:john.doe@company.com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https://clicktime.symantec.com/3982Hry2SGPik9QMjXUjD4k6xU?u=https%3A%2F%2Fmeancalc.app.upstream-cfd.com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F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Q9" activeCellId="0" sqref="Q9"/>
    </sheetView>
  </sheetViews>
  <sheetFormatPr defaultColWidth="12.66796875" defaultRowHeight="15" customHeight="true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1" width="28"/>
    <col collapsed="false" customWidth="true" hidden="false" outlineLevel="0" max="4" min="4" style="1" width="29.33"/>
    <col collapsed="false" customWidth="true" hidden="false" outlineLevel="0" max="5" min="5" style="1" width="2.67"/>
    <col collapsed="false" customWidth="true" hidden="false" outlineLevel="0" max="6" min="6" style="1" width="29.78"/>
    <col collapsed="false" customWidth="true" hidden="false" outlineLevel="0" max="7" min="7" style="1" width="5.33"/>
    <col collapsed="false" customWidth="true" hidden="true" outlineLevel="0" max="8" min="8" style="1" width="16.11"/>
    <col collapsed="false" customWidth="true" hidden="true" outlineLevel="0" max="9" min="9" style="1" width="15.44"/>
    <col collapsed="false" customWidth="true" hidden="true" outlineLevel="0" max="10" min="10" style="1" width="13.11"/>
    <col collapsed="false" customWidth="true" hidden="true" outlineLevel="0" max="11" min="11" style="1" width="11.67"/>
    <col collapsed="false" customWidth="true" hidden="true" outlineLevel="0" max="12" min="12" style="1" width="9.11"/>
    <col collapsed="false" customWidth="true" hidden="true" outlineLevel="0" max="15" min="13" style="1" width="6.44"/>
    <col collapsed="false" customWidth="true" hidden="true" outlineLevel="0" max="16" min="16" style="1" width="6.67"/>
    <col collapsed="false" customWidth="true" hidden="false" outlineLevel="0" max="17" min="17" style="1" width="7.67"/>
    <col collapsed="false" customWidth="true" hidden="false" outlineLevel="0" max="18" min="18" style="1" width="8.76"/>
    <col collapsed="false" customWidth="true" hidden="false" outlineLevel="0" max="19" min="19" style="1" width="15.33"/>
    <col collapsed="false" customWidth="true" hidden="false" outlineLevel="0" max="20" min="20" style="1" width="18.79"/>
    <col collapsed="false" customWidth="true" hidden="false" outlineLevel="0" max="26" min="21" style="1" width="9.11"/>
    <col collapsed="false" customWidth="true" hidden="false" outlineLevel="0" max="32" min="27" style="1" width="8.76"/>
  </cols>
  <sheetData>
    <row r="1" customFormat="false" ht="12.75" hidden="false" customHeight="true" outlineLevel="0" collapsed="false">
      <c r="A1" s="2"/>
      <c r="B1" s="2"/>
      <c r="C1" s="3"/>
      <c r="D1" s="2"/>
      <c r="E1" s="4"/>
      <c r="F1" s="4"/>
      <c r="G1" s="4"/>
      <c r="H1" s="5"/>
      <c r="I1" s="5"/>
      <c r="J1" s="5"/>
      <c r="K1" s="5"/>
      <c r="L1" s="5"/>
      <c r="M1" s="5"/>
      <c r="N1" s="5"/>
      <c r="O1" s="5"/>
      <c r="P1" s="5"/>
      <c r="Q1" s="4"/>
      <c r="R1" s="4"/>
      <c r="S1" s="4"/>
      <c r="T1" s="4"/>
      <c r="U1" s="4"/>
      <c r="V1" s="4"/>
      <c r="W1" s="4"/>
      <c r="X1" s="4"/>
      <c r="Y1" s="2"/>
      <c r="Z1" s="2"/>
      <c r="AA1" s="2"/>
      <c r="AB1" s="2"/>
      <c r="AC1" s="2"/>
      <c r="AD1" s="2"/>
      <c r="AE1" s="2"/>
      <c r="AF1" s="2"/>
    </row>
    <row r="2" customFormat="false" ht="12.75" hidden="false" customHeight="true" outlineLevel="0" collapsed="false">
      <c r="A2" s="2"/>
      <c r="B2" s="6" t="s">
        <v>0</v>
      </c>
      <c r="C2" s="3"/>
      <c r="D2" s="7"/>
      <c r="E2" s="4"/>
      <c r="F2" s="4"/>
      <c r="G2" s="4"/>
      <c r="H2" s="5"/>
      <c r="I2" s="5"/>
      <c r="J2" s="5"/>
      <c r="K2" s="5"/>
      <c r="L2" s="5"/>
      <c r="M2" s="5"/>
      <c r="N2" s="5"/>
      <c r="O2" s="5"/>
      <c r="P2" s="5"/>
      <c r="Q2" s="4"/>
      <c r="R2" s="4"/>
      <c r="S2" s="4"/>
      <c r="T2" s="4"/>
      <c r="U2" s="4"/>
      <c r="V2" s="4"/>
      <c r="W2" s="4"/>
      <c r="X2" s="4"/>
      <c r="Y2" s="2"/>
      <c r="Z2" s="2"/>
      <c r="AA2" s="2"/>
      <c r="AB2" s="2"/>
      <c r="AC2" s="2"/>
      <c r="AD2" s="2"/>
      <c r="AE2" s="2"/>
      <c r="AF2" s="2"/>
    </row>
    <row r="3" customFormat="false" ht="12.75" hidden="false" customHeight="true" outlineLevel="0" collapsed="false">
      <c r="A3" s="2"/>
      <c r="B3" s="4"/>
      <c r="C3" s="4"/>
      <c r="D3" s="8"/>
      <c r="E3" s="4"/>
      <c r="F3" s="4"/>
      <c r="G3" s="4"/>
      <c r="H3" s="5"/>
      <c r="I3" s="5"/>
      <c r="J3" s="5"/>
      <c r="K3" s="5"/>
      <c r="L3" s="5"/>
      <c r="M3" s="5"/>
      <c r="N3" s="5"/>
      <c r="O3" s="5"/>
      <c r="P3" s="5"/>
      <c r="Q3" s="4"/>
      <c r="R3" s="4"/>
      <c r="S3" s="4"/>
      <c r="T3" s="4"/>
      <c r="U3" s="4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customFormat="false" ht="27" hidden="false" customHeight="true" outlineLevel="0" collapsed="false">
      <c r="A4" s="2"/>
      <c r="B4" s="9" t="s">
        <v>1</v>
      </c>
      <c r="C4" s="9"/>
      <c r="D4" s="10" t="s">
        <v>2</v>
      </c>
      <c r="E4" s="2"/>
      <c r="F4" s="11" t="s">
        <v>3</v>
      </c>
      <c r="G4" s="7"/>
      <c r="H4" s="12" t="s">
        <v>4</v>
      </c>
      <c r="I4" s="12"/>
      <c r="J4" s="12"/>
      <c r="K4" s="12"/>
      <c r="L4" s="12"/>
      <c r="M4" s="12"/>
      <c r="N4" s="12"/>
      <c r="O4" s="12"/>
      <c r="P4" s="12"/>
      <c r="Q4" s="7"/>
      <c r="R4" s="4"/>
      <c r="S4" s="4"/>
      <c r="T4" s="4"/>
      <c r="U4" s="4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customFormat="false" ht="12.75" hidden="false" customHeight="true" outlineLevel="0" collapsed="false">
      <c r="A5" s="2"/>
      <c r="B5" s="13"/>
      <c r="C5" s="13"/>
      <c r="D5" s="7"/>
      <c r="E5" s="2"/>
      <c r="F5" s="7"/>
      <c r="G5" s="7"/>
      <c r="H5" s="14"/>
      <c r="I5" s="14"/>
      <c r="J5" s="14"/>
      <c r="K5" s="14"/>
      <c r="L5" s="14"/>
      <c r="M5" s="14"/>
      <c r="N5" s="14"/>
      <c r="O5" s="14"/>
      <c r="P5" s="14"/>
      <c r="Q5" s="7"/>
      <c r="R5" s="4"/>
      <c r="S5" s="4"/>
      <c r="T5" s="4"/>
      <c r="U5" s="4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customFormat="false" ht="12.75" hidden="false" customHeight="true" outlineLevel="0" collapsed="false">
      <c r="A6" s="2"/>
      <c r="B6" s="15" t="s">
        <v>5</v>
      </c>
      <c r="C6" s="15"/>
      <c r="D6" s="16" t="s">
        <v>6</v>
      </c>
      <c r="E6" s="2"/>
      <c r="F6" s="17" t="s">
        <v>7</v>
      </c>
      <c r="G6" s="7"/>
      <c r="H6" s="2" t="s">
        <v>7</v>
      </c>
      <c r="I6" s="2" t="s">
        <v>6</v>
      </c>
      <c r="J6" s="2"/>
      <c r="K6" s="2"/>
      <c r="L6" s="14"/>
      <c r="M6" s="14"/>
      <c r="N6" s="14"/>
      <c r="O6" s="14"/>
      <c r="P6" s="14"/>
      <c r="Q6" s="7"/>
      <c r="R6" s="4"/>
      <c r="S6" s="4"/>
      <c r="T6" s="4"/>
      <c r="U6" s="4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customFormat="false" ht="12.75" hidden="false" customHeight="true" outlineLevel="0" collapsed="false">
      <c r="A7" s="2"/>
      <c r="B7" s="2"/>
      <c r="C7" s="2"/>
      <c r="D7" s="7"/>
      <c r="E7" s="2"/>
      <c r="F7" s="4"/>
      <c r="G7" s="4"/>
      <c r="H7" s="5"/>
      <c r="I7" s="5"/>
      <c r="J7" s="5"/>
      <c r="K7" s="5"/>
      <c r="L7" s="5"/>
      <c r="M7" s="5"/>
      <c r="N7" s="5"/>
      <c r="O7" s="5"/>
      <c r="P7" s="5"/>
      <c r="Q7" s="4"/>
      <c r="R7" s="4"/>
      <c r="S7" s="4"/>
      <c r="T7" s="4"/>
      <c r="U7" s="4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customFormat="false" ht="12.75" hidden="false" customHeight="true" outlineLevel="0" collapsed="false">
      <c r="A8" s="2"/>
      <c r="B8" s="18" t="s">
        <v>8</v>
      </c>
      <c r="C8" s="18"/>
      <c r="D8" s="19"/>
      <c r="E8" s="2"/>
      <c r="F8" s="20"/>
      <c r="G8" s="2"/>
      <c r="H8" s="21"/>
      <c r="I8" s="21"/>
      <c r="J8" s="21"/>
      <c r="K8" s="21"/>
      <c r="L8" s="21"/>
      <c r="M8" s="21"/>
      <c r="N8" s="21"/>
      <c r="O8" s="21"/>
      <c r="P8" s="21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3"/>
      <c r="AD8" s="2"/>
      <c r="AE8" s="2"/>
      <c r="AF8" s="2"/>
    </row>
    <row r="9" customFormat="false" ht="12.75" hidden="false" customHeight="true" outlineLevel="0" collapsed="false">
      <c r="A9" s="2"/>
      <c r="B9" s="22" t="s">
        <v>9</v>
      </c>
      <c r="C9" s="22"/>
      <c r="D9" s="16"/>
      <c r="F9" s="23" t="s">
        <v>10</v>
      </c>
      <c r="G9" s="2"/>
      <c r="H9" s="24" t="s">
        <v>11</v>
      </c>
      <c r="I9" s="25"/>
      <c r="J9" s="25"/>
      <c r="K9" s="25"/>
      <c r="L9" s="25"/>
      <c r="M9" s="25"/>
      <c r="N9" s="25"/>
      <c r="O9" s="25"/>
      <c r="P9" s="25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3"/>
      <c r="AD9" s="2"/>
      <c r="AE9" s="2"/>
      <c r="AF9" s="2"/>
    </row>
    <row r="10" customFormat="false" ht="12.75" hidden="false" customHeight="true" outlineLevel="0" collapsed="false">
      <c r="A10" s="2"/>
      <c r="B10" s="15" t="s">
        <v>12</v>
      </c>
      <c r="C10" s="15"/>
      <c r="D10" s="26" t="s">
        <v>13</v>
      </c>
      <c r="E10" s="2"/>
      <c r="F10" s="27" t="s">
        <v>14</v>
      </c>
      <c r="G10" s="3"/>
      <c r="H10" s="14"/>
      <c r="I10" s="14"/>
      <c r="J10" s="14"/>
      <c r="K10" s="14"/>
      <c r="L10" s="14"/>
      <c r="M10" s="14"/>
      <c r="N10" s="14"/>
      <c r="O10" s="14"/>
      <c r="P10" s="14"/>
      <c r="Q10" s="3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3"/>
      <c r="AD10" s="2"/>
      <c r="AE10" s="2"/>
      <c r="AF10" s="2"/>
    </row>
    <row r="11" customFormat="false" ht="12.75" hidden="false" customHeight="true" outlineLevel="0" collapsed="false">
      <c r="A11" s="2"/>
      <c r="B11" s="15" t="s">
        <v>15</v>
      </c>
      <c r="C11" s="15"/>
      <c r="D11" s="26" t="s">
        <v>16</v>
      </c>
      <c r="E11" s="2"/>
      <c r="F11" s="28" t="s">
        <v>17</v>
      </c>
      <c r="G11" s="3"/>
      <c r="H11" s="14"/>
      <c r="I11" s="14"/>
      <c r="J11" s="14"/>
      <c r="K11" s="14"/>
      <c r="L11" s="14"/>
      <c r="M11" s="14"/>
      <c r="N11" s="14"/>
      <c r="O11" s="14"/>
      <c r="P11" s="14"/>
      <c r="Q11" s="3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3"/>
      <c r="AD11" s="2"/>
      <c r="AE11" s="2"/>
      <c r="AF11" s="2"/>
    </row>
    <row r="12" customFormat="false" ht="12.75" hidden="false" customHeight="true" outlineLevel="0" collapsed="false">
      <c r="A12" s="2"/>
      <c r="B12" s="15" t="s">
        <v>18</v>
      </c>
      <c r="C12" s="15"/>
      <c r="D12" s="26" t="s">
        <v>19</v>
      </c>
      <c r="E12" s="2"/>
      <c r="F12" s="28" t="s">
        <v>20</v>
      </c>
      <c r="G12" s="3"/>
      <c r="H12" s="14"/>
      <c r="I12" s="14"/>
      <c r="J12" s="14"/>
      <c r="K12" s="14"/>
      <c r="L12" s="14"/>
      <c r="M12" s="14"/>
      <c r="N12" s="14"/>
      <c r="O12" s="14"/>
      <c r="P12" s="14"/>
      <c r="Q12" s="3"/>
      <c r="R12" s="2"/>
      <c r="S12" s="29"/>
      <c r="T12" s="29"/>
      <c r="U12" s="29"/>
      <c r="V12" s="29"/>
      <c r="W12" s="29"/>
      <c r="X12" s="2"/>
      <c r="Y12" s="2"/>
      <c r="Z12" s="2"/>
      <c r="AA12" s="2"/>
      <c r="AB12" s="2"/>
      <c r="AC12" s="30"/>
      <c r="AD12" s="2"/>
      <c r="AE12" s="2"/>
      <c r="AF12" s="2"/>
    </row>
    <row r="13" customFormat="false" ht="12.75" hidden="false" customHeight="true" outlineLevel="0" collapsed="false">
      <c r="A13" s="2"/>
      <c r="B13" s="15" t="s">
        <v>21</v>
      </c>
      <c r="C13" s="15"/>
      <c r="D13" s="31" t="s">
        <v>22</v>
      </c>
      <c r="E13" s="2"/>
      <c r="F13" s="32" t="s">
        <v>23</v>
      </c>
      <c r="G13" s="33"/>
      <c r="H13" s="34"/>
      <c r="I13" s="34"/>
      <c r="J13" s="34"/>
      <c r="K13" s="34"/>
      <c r="L13" s="34"/>
      <c r="M13" s="34"/>
      <c r="N13" s="34"/>
      <c r="O13" s="34"/>
      <c r="P13" s="34"/>
      <c r="Q13" s="33"/>
      <c r="R13" s="2"/>
      <c r="S13" s="29"/>
      <c r="T13" s="29"/>
      <c r="U13" s="29"/>
      <c r="V13" s="29"/>
      <c r="W13" s="29"/>
      <c r="X13" s="2"/>
      <c r="Y13" s="2"/>
      <c r="Z13" s="2"/>
      <c r="AA13" s="2"/>
      <c r="AB13" s="2"/>
      <c r="AC13" s="3"/>
      <c r="AD13" s="2"/>
      <c r="AE13" s="2"/>
      <c r="AF13" s="2"/>
    </row>
    <row r="14" customFormat="false" ht="12.75" hidden="false" customHeight="true" outlineLevel="0" collapsed="false">
      <c r="A14" s="2"/>
      <c r="B14" s="15" t="s">
        <v>24</v>
      </c>
      <c r="C14" s="15"/>
      <c r="D14" s="35" t="n">
        <v>45830</v>
      </c>
      <c r="E14" s="2"/>
      <c r="F14" s="36" t="n">
        <v>45792</v>
      </c>
      <c r="G14" s="37"/>
      <c r="H14" s="38"/>
      <c r="I14" s="38"/>
      <c r="J14" s="38"/>
      <c r="K14" s="38"/>
      <c r="L14" s="38"/>
      <c r="M14" s="38"/>
      <c r="N14" s="38"/>
      <c r="O14" s="38"/>
      <c r="P14" s="38"/>
      <c r="Q14" s="37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3"/>
      <c r="AD14" s="2"/>
      <c r="AE14" s="2"/>
      <c r="AF14" s="2"/>
    </row>
    <row r="15" customFormat="false" ht="12.75" hidden="false" customHeight="true" outlineLevel="0" collapsed="false">
      <c r="A15" s="2"/>
      <c r="B15" s="15" t="s">
        <v>25</v>
      </c>
      <c r="C15" s="15"/>
      <c r="D15" s="26" t="s">
        <v>26</v>
      </c>
      <c r="E15" s="2"/>
      <c r="F15" s="28" t="s">
        <v>27</v>
      </c>
      <c r="G15" s="3"/>
      <c r="H15" s="14"/>
      <c r="I15" s="14"/>
      <c r="J15" s="14"/>
      <c r="K15" s="14"/>
      <c r="L15" s="14"/>
      <c r="M15" s="14"/>
      <c r="N15" s="14"/>
      <c r="O15" s="14"/>
      <c r="P15" s="14"/>
      <c r="Q15" s="3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3"/>
      <c r="AD15" s="2"/>
      <c r="AE15" s="2"/>
      <c r="AF15" s="2"/>
    </row>
    <row r="16" customFormat="false" ht="12.75" hidden="false" customHeight="true" outlineLevel="0" collapsed="false">
      <c r="A16" s="2"/>
      <c r="B16" s="15" t="s">
        <v>28</v>
      </c>
      <c r="C16" s="15"/>
      <c r="D16" s="39" t="str">
        <f aca="false">"ID"&amp;D9&amp;"_"&amp;D19&amp;"_"&amp;D15</f>
        <v>ID_OpenFOAM_olenla</v>
      </c>
      <c r="E16" s="2"/>
      <c r="F16" s="40" t="str">
        <f aca="false">"ID"&amp;F9&amp;"_"&amp;F19&amp;"_"&amp;F15</f>
        <v>ID01_OpenFOAM_v1</v>
      </c>
      <c r="G16" s="3"/>
      <c r="H16" s="14"/>
      <c r="I16" s="14"/>
      <c r="J16" s="14"/>
      <c r="K16" s="14"/>
      <c r="L16" s="14"/>
      <c r="M16" s="14"/>
      <c r="N16" s="14"/>
      <c r="O16" s="14"/>
      <c r="P16" s="14"/>
      <c r="Q16" s="3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customFormat="false" ht="12.75" hidden="false" customHeight="true" outlineLevel="0" collapsed="false">
      <c r="A17" s="2"/>
      <c r="B17" s="2"/>
      <c r="C17" s="3"/>
      <c r="D17" s="7"/>
      <c r="E17" s="2"/>
      <c r="F17" s="2"/>
      <c r="G17" s="2"/>
      <c r="H17" s="41"/>
      <c r="I17" s="41"/>
      <c r="J17" s="41"/>
      <c r="K17" s="41"/>
      <c r="L17" s="41"/>
      <c r="M17" s="41"/>
      <c r="N17" s="41"/>
      <c r="O17" s="41"/>
      <c r="P17" s="41"/>
      <c r="Q17" s="2"/>
      <c r="R17" s="2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"/>
      <c r="AD17" s="2"/>
      <c r="AE17" s="2"/>
      <c r="AF17" s="2"/>
    </row>
    <row r="18" customFormat="false" ht="12.75" hidden="false" customHeight="true" outlineLevel="0" collapsed="false">
      <c r="A18" s="2"/>
      <c r="B18" s="18" t="s">
        <v>29</v>
      </c>
      <c r="C18" s="18"/>
      <c r="D18" s="19"/>
      <c r="E18" s="2"/>
      <c r="F18" s="20"/>
      <c r="G18" s="2"/>
      <c r="H18" s="21"/>
      <c r="I18" s="21"/>
      <c r="J18" s="21"/>
      <c r="K18" s="21"/>
      <c r="L18" s="21"/>
      <c r="M18" s="21"/>
      <c r="N18" s="21"/>
      <c r="O18" s="21"/>
      <c r="P18" s="21"/>
      <c r="Q18" s="2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"/>
      <c r="AD18" s="2"/>
      <c r="AE18" s="2"/>
      <c r="AF18" s="2"/>
    </row>
    <row r="19" customFormat="false" ht="12.75" hidden="false" customHeight="true" outlineLevel="0" collapsed="false">
      <c r="A19" s="2"/>
      <c r="B19" s="42" t="s">
        <v>29</v>
      </c>
      <c r="C19" s="42"/>
      <c r="D19" s="26" t="s">
        <v>30</v>
      </c>
      <c r="E19" s="2"/>
      <c r="F19" s="43" t="s">
        <v>30</v>
      </c>
      <c r="G19" s="2"/>
      <c r="H19" s="2" t="s">
        <v>30</v>
      </c>
      <c r="I19" s="2" t="s">
        <v>31</v>
      </c>
      <c r="J19" s="44"/>
      <c r="K19" s="44"/>
      <c r="L19" s="44"/>
      <c r="M19" s="44"/>
      <c r="N19" s="44"/>
      <c r="O19" s="44"/>
      <c r="P19" s="44"/>
      <c r="Q19" s="2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"/>
      <c r="AD19" s="2"/>
      <c r="AE19" s="2"/>
      <c r="AF19" s="2"/>
    </row>
    <row r="20" customFormat="false" ht="12.75" hidden="false" customHeight="true" outlineLevel="0" collapsed="false">
      <c r="A20" s="2"/>
      <c r="B20" s="15" t="s">
        <v>32</v>
      </c>
      <c r="C20" s="15"/>
      <c r="D20" s="26" t="s">
        <v>33</v>
      </c>
      <c r="E20" s="2"/>
      <c r="F20" s="2" t="s">
        <v>33</v>
      </c>
      <c r="G20" s="2"/>
      <c r="H20" s="2" t="s">
        <v>33</v>
      </c>
      <c r="I20" s="2" t="s">
        <v>34</v>
      </c>
      <c r="J20" s="41" t="s">
        <v>31</v>
      </c>
      <c r="K20" s="41"/>
      <c r="L20" s="41"/>
      <c r="M20" s="41"/>
      <c r="N20" s="41"/>
      <c r="O20" s="41"/>
      <c r="P20" s="41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customFormat="false" ht="12.75" hidden="false" customHeight="true" outlineLevel="0" collapsed="false">
      <c r="A21" s="2"/>
      <c r="B21" s="15" t="s">
        <v>35</v>
      </c>
      <c r="C21" s="15"/>
      <c r="D21" s="45"/>
      <c r="E21" s="2"/>
      <c r="F21" s="46"/>
      <c r="G21" s="2"/>
      <c r="H21" s="2"/>
      <c r="I21" s="2"/>
      <c r="J21" s="2"/>
      <c r="K21" s="2"/>
      <c r="L21" s="2"/>
      <c r="M21" s="2"/>
      <c r="N21" s="2"/>
      <c r="O21" s="2"/>
      <c r="P21" s="41"/>
      <c r="Q21" s="47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customFormat="false" ht="12.75" hidden="false" customHeight="true" outlineLevel="0" collapsed="false">
      <c r="A22" s="2"/>
      <c r="B22" s="15" t="s">
        <v>36</v>
      </c>
      <c r="C22" s="15"/>
      <c r="D22" s="16" t="s">
        <v>37</v>
      </c>
      <c r="E22" s="2"/>
      <c r="F22" s="48" t="s">
        <v>37</v>
      </c>
      <c r="G22" s="47"/>
      <c r="H22" s="47"/>
      <c r="I22" s="47"/>
      <c r="J22" s="47"/>
      <c r="K22" s="47"/>
      <c r="L22" s="47"/>
      <c r="M22" s="47"/>
      <c r="N22" s="47"/>
      <c r="O22" s="47"/>
      <c r="P22" s="49"/>
      <c r="Q22" s="47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customFormat="false" ht="12.75" hidden="false" customHeight="true" outlineLevel="0" collapsed="false">
      <c r="A23" s="2"/>
      <c r="B23" s="2"/>
      <c r="C23" s="50"/>
      <c r="D23" s="7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41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customFormat="false" ht="12.75" hidden="false" customHeight="true" outlineLevel="0" collapsed="false">
      <c r="A24" s="2"/>
      <c r="B24" s="18" t="s">
        <v>38</v>
      </c>
      <c r="C24" s="18"/>
      <c r="D24" s="19"/>
      <c r="E24" s="2"/>
      <c r="F24" s="20"/>
      <c r="G24" s="2"/>
      <c r="H24" s="51"/>
      <c r="I24" s="51"/>
      <c r="J24" s="51"/>
      <c r="K24" s="51"/>
      <c r="L24" s="51"/>
      <c r="M24" s="51"/>
      <c r="N24" s="51"/>
      <c r="O24" s="51"/>
      <c r="P24" s="51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customFormat="false" ht="12.75" hidden="false" customHeight="true" outlineLevel="0" collapsed="false">
      <c r="A25" s="2"/>
      <c r="B25" s="15" t="s">
        <v>39</v>
      </c>
      <c r="C25" s="15"/>
      <c r="D25" s="16" t="s">
        <v>40</v>
      </c>
      <c r="E25" s="2"/>
      <c r="F25" s="46" t="s">
        <v>40</v>
      </c>
      <c r="G25" s="2"/>
      <c r="H25" s="2" t="s">
        <v>40</v>
      </c>
      <c r="I25" s="2" t="s">
        <v>41</v>
      </c>
      <c r="J25" s="2" t="s">
        <v>42</v>
      </c>
      <c r="K25" s="2"/>
      <c r="L25" s="2"/>
      <c r="M25" s="2"/>
      <c r="N25" s="2"/>
      <c r="O25" s="2"/>
      <c r="P25" s="41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customFormat="false" ht="12.75" hidden="false" customHeight="true" outlineLevel="0" collapsed="false">
      <c r="A26" s="2"/>
      <c r="B26" s="2"/>
      <c r="C26" s="3"/>
      <c r="D26" s="7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41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customFormat="false" ht="12.75" hidden="true" customHeight="true" outlineLevel="0" collapsed="false">
      <c r="A27" s="2"/>
      <c r="B27" s="18" t="s">
        <v>43</v>
      </c>
      <c r="C27" s="18"/>
      <c r="D27" s="19"/>
      <c r="F27" s="20"/>
      <c r="G27" s="2"/>
      <c r="H27" s="51"/>
      <c r="I27" s="51"/>
      <c r="J27" s="51"/>
      <c r="K27" s="51"/>
      <c r="L27" s="51"/>
      <c r="M27" s="51"/>
      <c r="N27" s="51"/>
      <c r="O27" s="51"/>
      <c r="P27" s="51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customFormat="false" ht="12.75" hidden="true" customHeight="true" outlineLevel="0" collapsed="false">
      <c r="A28" s="2"/>
      <c r="B28" s="42" t="s">
        <v>44</v>
      </c>
      <c r="C28" s="42"/>
      <c r="D28" s="26"/>
      <c r="E28" s="2"/>
      <c r="F28" s="43" t="s">
        <v>45</v>
      </c>
      <c r="G28" s="2"/>
      <c r="H28" s="2" t="s">
        <v>45</v>
      </c>
      <c r="I28" s="2" t="s">
        <v>46</v>
      </c>
      <c r="J28" s="2" t="s">
        <v>47</v>
      </c>
      <c r="K28" s="2" t="s">
        <v>48</v>
      </c>
      <c r="L28" s="2"/>
      <c r="M28" s="2"/>
      <c r="N28" s="2"/>
      <c r="O28" s="2"/>
      <c r="P28" s="5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customFormat="false" ht="12.75" hidden="true" customHeight="true" outlineLevel="0" collapsed="false">
      <c r="A29" s="2"/>
      <c r="B29" s="15" t="s">
        <v>49</v>
      </c>
      <c r="C29" s="15"/>
      <c r="D29" s="26"/>
      <c r="E29" s="2"/>
      <c r="F29" s="46" t="s">
        <v>50</v>
      </c>
      <c r="G29" s="2"/>
      <c r="H29" s="2" t="s">
        <v>51</v>
      </c>
      <c r="I29" s="2" t="s">
        <v>52</v>
      </c>
      <c r="J29" s="2"/>
      <c r="K29" s="2"/>
      <c r="L29" s="2"/>
      <c r="M29" s="2"/>
      <c r="N29" s="2"/>
      <c r="O29" s="2"/>
      <c r="P29" s="41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customFormat="false" ht="12.75" hidden="true" customHeight="true" outlineLevel="0" collapsed="false">
      <c r="A30" s="2"/>
      <c r="B30" s="53"/>
      <c r="C30" s="54" t="s">
        <v>53</v>
      </c>
      <c r="D30" s="26"/>
      <c r="E30" s="2"/>
      <c r="F30" s="46" t="s">
        <v>54</v>
      </c>
      <c r="G30" s="2"/>
      <c r="H30" s="2" t="s">
        <v>55</v>
      </c>
      <c r="I30" s="2" t="s">
        <v>56</v>
      </c>
      <c r="J30" s="2"/>
      <c r="K30" s="2"/>
      <c r="L30" s="2"/>
      <c r="M30" s="2"/>
      <c r="N30" s="2"/>
      <c r="O30" s="2"/>
      <c r="P30" s="41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customFormat="false" ht="12.75" hidden="true" customHeight="true" outlineLevel="0" collapsed="false">
      <c r="A31" s="2"/>
      <c r="B31" s="53"/>
      <c r="C31" s="54" t="s">
        <v>57</v>
      </c>
      <c r="D31" s="26"/>
      <c r="E31" s="2"/>
      <c r="F31" s="46" t="s">
        <v>58</v>
      </c>
      <c r="G31" s="2"/>
      <c r="H31" s="2" t="s">
        <v>59</v>
      </c>
      <c r="I31" s="2" t="s">
        <v>58</v>
      </c>
      <c r="J31" s="2"/>
      <c r="K31" s="2"/>
      <c r="L31" s="2"/>
      <c r="M31" s="2"/>
      <c r="N31" s="2"/>
      <c r="O31" s="2"/>
      <c r="P31" s="41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customFormat="false" ht="12.75" hidden="true" customHeight="true" outlineLevel="0" collapsed="false">
      <c r="A32" s="2"/>
      <c r="B32" s="53"/>
      <c r="C32" s="54" t="s">
        <v>60</v>
      </c>
      <c r="D32" s="26"/>
      <c r="E32" s="2"/>
      <c r="F32" s="46" t="s">
        <v>61</v>
      </c>
      <c r="G32" s="2"/>
      <c r="H32" s="2"/>
      <c r="I32" s="2"/>
      <c r="J32" s="2"/>
      <c r="K32" s="2"/>
      <c r="L32" s="2"/>
      <c r="M32" s="2"/>
      <c r="N32" s="2"/>
      <c r="O32" s="2"/>
      <c r="P32" s="41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customFormat="false" ht="12.75" hidden="true" customHeight="true" outlineLevel="0" collapsed="false">
      <c r="A33" s="2"/>
      <c r="B33" s="53"/>
      <c r="C33" s="54" t="s">
        <v>62</v>
      </c>
      <c r="D33" s="26"/>
      <c r="E33" s="2"/>
      <c r="F33" s="46" t="s">
        <v>63</v>
      </c>
      <c r="G33" s="2"/>
      <c r="H33" s="2"/>
      <c r="I33" s="2"/>
      <c r="J33" s="2"/>
      <c r="K33" s="2"/>
      <c r="L33" s="2"/>
      <c r="M33" s="2"/>
      <c r="N33" s="2"/>
      <c r="O33" s="2"/>
      <c r="P33" s="41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customFormat="false" ht="12.75" hidden="true" customHeight="true" outlineLevel="0" collapsed="false">
      <c r="A34" s="2"/>
      <c r="B34" s="53"/>
      <c r="C34" s="54" t="s">
        <v>64</v>
      </c>
      <c r="D34" s="26"/>
      <c r="E34" s="2"/>
      <c r="F34" s="46" t="s">
        <v>65</v>
      </c>
      <c r="G34" s="2"/>
      <c r="H34" s="2" t="s">
        <v>66</v>
      </c>
      <c r="I34" s="2" t="s">
        <v>67</v>
      </c>
      <c r="J34" s="2"/>
      <c r="K34" s="2"/>
      <c r="L34" s="2"/>
      <c r="M34" s="2"/>
      <c r="N34" s="2"/>
      <c r="O34" s="2"/>
      <c r="P34" s="41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customFormat="false" ht="12.75" hidden="true" customHeight="true" outlineLevel="0" collapsed="false">
      <c r="A35" s="2"/>
      <c r="B35" s="15" t="s">
        <v>68</v>
      </c>
      <c r="C35" s="15"/>
      <c r="D35" s="39"/>
      <c r="E35" s="2"/>
      <c r="F35" s="46"/>
      <c r="G35" s="2"/>
      <c r="H35" s="2"/>
      <c r="I35" s="2"/>
      <c r="J35" s="2"/>
      <c r="K35" s="2"/>
      <c r="L35" s="2"/>
      <c r="M35" s="2"/>
      <c r="N35" s="2"/>
      <c r="O35" s="2"/>
      <c r="P35" s="41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customFormat="false" ht="12.75" hidden="true" customHeight="true" outlineLevel="0" collapsed="false">
      <c r="A36" s="2"/>
      <c r="B36" s="42" t="s">
        <v>69</v>
      </c>
      <c r="C36" s="42"/>
      <c r="D36" s="26"/>
      <c r="E36" s="2"/>
      <c r="F36" s="28" t="n">
        <v>3600</v>
      </c>
      <c r="G36" s="3"/>
      <c r="H36" s="2"/>
      <c r="I36" s="2"/>
      <c r="J36" s="2"/>
      <c r="K36" s="2"/>
      <c r="L36" s="2"/>
      <c r="M36" s="2"/>
      <c r="N36" s="2"/>
      <c r="O36" s="2"/>
      <c r="P36" s="14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customFormat="false" ht="12.75" hidden="true" customHeight="true" outlineLevel="0" collapsed="false">
      <c r="A37" s="2"/>
      <c r="B37" s="15" t="s">
        <v>70</v>
      </c>
      <c r="C37" s="15"/>
      <c r="D37" s="26"/>
      <c r="E37" s="2"/>
      <c r="F37" s="28" t="n">
        <v>24</v>
      </c>
      <c r="G37" s="2"/>
      <c r="H37" s="2"/>
      <c r="I37" s="2"/>
      <c r="J37" s="2"/>
      <c r="K37" s="2"/>
      <c r="L37" s="2"/>
      <c r="M37" s="2"/>
      <c r="N37" s="2"/>
      <c r="O37" s="2"/>
      <c r="P37" s="41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customFormat="false" ht="12.75" hidden="true" customHeight="true" outlineLevel="0" collapsed="false">
      <c r="A38" s="2"/>
      <c r="B38" s="15" t="s">
        <v>71</v>
      </c>
      <c r="C38" s="15"/>
      <c r="D38" s="55"/>
      <c r="E38" s="2"/>
      <c r="F38" s="28" t="n">
        <v>500</v>
      </c>
      <c r="G38" s="2"/>
      <c r="H38" s="2"/>
      <c r="I38" s="2"/>
      <c r="J38" s="2"/>
      <c r="K38" s="2"/>
      <c r="L38" s="2"/>
      <c r="M38" s="2"/>
      <c r="N38" s="2"/>
      <c r="O38" s="2"/>
      <c r="P38" s="41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customFormat="false" ht="12.75" hidden="true" customHeight="true" outlineLevel="0" collapsed="false">
      <c r="A39" s="2"/>
      <c r="B39" s="56" t="s">
        <v>72</v>
      </c>
      <c r="C39" s="56"/>
      <c r="D39" s="39"/>
      <c r="E39" s="2"/>
      <c r="F39" s="28"/>
      <c r="G39" s="2"/>
      <c r="H39" s="2"/>
      <c r="I39" s="2"/>
      <c r="J39" s="2"/>
      <c r="K39" s="2"/>
      <c r="L39" s="2"/>
      <c r="M39" s="2"/>
      <c r="N39" s="2"/>
      <c r="O39" s="2"/>
      <c r="P39" s="41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customFormat="false" ht="12.75" hidden="true" customHeight="true" outlineLevel="0" collapsed="false">
      <c r="A40" s="2"/>
      <c r="B40" s="53" t="s">
        <v>73</v>
      </c>
      <c r="C40" s="53"/>
      <c r="D40" s="55"/>
      <c r="E40" s="2"/>
      <c r="F40" s="28"/>
      <c r="G40" s="2"/>
      <c r="H40" s="2"/>
      <c r="I40" s="2"/>
      <c r="J40" s="2"/>
      <c r="K40" s="2"/>
      <c r="L40" s="2"/>
      <c r="M40" s="2"/>
      <c r="N40" s="2"/>
      <c r="O40" s="2"/>
      <c r="P40" s="41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customFormat="false" ht="12.75" hidden="true" customHeight="true" outlineLevel="0" collapsed="false">
      <c r="A41" s="2"/>
      <c r="B41" s="53" t="s">
        <v>74</v>
      </c>
      <c r="C41" s="53"/>
      <c r="D41" s="55"/>
      <c r="E41" s="2"/>
      <c r="F41" s="28"/>
      <c r="G41" s="2"/>
      <c r="H41" s="2"/>
      <c r="I41" s="2"/>
      <c r="J41" s="2"/>
      <c r="K41" s="2"/>
      <c r="L41" s="2"/>
      <c r="M41" s="2"/>
      <c r="N41" s="2"/>
      <c r="O41" s="2"/>
      <c r="P41" s="41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customFormat="false" ht="12.75" hidden="true" customHeight="true" outlineLevel="0" collapsed="false">
      <c r="A42" s="2"/>
      <c r="B42" s="57" t="s">
        <v>75</v>
      </c>
      <c r="C42" s="57"/>
      <c r="D42" s="57"/>
      <c r="E42" s="2"/>
      <c r="F42" s="58"/>
      <c r="G42" s="2"/>
      <c r="H42" s="59"/>
      <c r="I42" s="59"/>
      <c r="J42" s="59"/>
      <c r="K42" s="59"/>
      <c r="L42" s="59"/>
      <c r="M42" s="59"/>
      <c r="N42" s="59"/>
      <c r="O42" s="59"/>
      <c r="P42" s="59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customFormat="false" ht="12.75" hidden="true" customHeight="true" outlineLevel="0" collapsed="false">
      <c r="A43" s="2"/>
      <c r="B43" s="15" t="s">
        <v>76</v>
      </c>
      <c r="C43" s="15"/>
      <c r="D43" s="39"/>
      <c r="E43" s="2"/>
      <c r="F43" s="28" t="n">
        <v>2000</v>
      </c>
      <c r="G43" s="3"/>
      <c r="H43" s="3"/>
      <c r="I43" s="3"/>
      <c r="J43" s="3"/>
      <c r="K43" s="3"/>
      <c r="L43" s="3"/>
      <c r="M43" s="3"/>
      <c r="N43" s="3"/>
      <c r="O43" s="3"/>
      <c r="P43" s="14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customFormat="false" ht="12.75" hidden="true" customHeight="true" outlineLevel="0" collapsed="false">
      <c r="A44" s="2"/>
      <c r="B44" s="15" t="s">
        <v>77</v>
      </c>
      <c r="C44" s="15"/>
      <c r="D44" s="39"/>
      <c r="E44" s="2"/>
      <c r="F44" s="28" t="n">
        <v>200</v>
      </c>
      <c r="G44" s="3"/>
      <c r="H44" s="3"/>
      <c r="I44" s="3"/>
      <c r="J44" s="3"/>
      <c r="K44" s="3"/>
      <c r="L44" s="3"/>
      <c r="M44" s="3"/>
      <c r="N44" s="3"/>
      <c r="O44" s="3"/>
      <c r="P44" s="14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customFormat="false" ht="12.75" hidden="true" customHeight="true" outlineLevel="0" collapsed="false">
      <c r="A45" s="2"/>
      <c r="B45" s="50"/>
      <c r="C45" s="50"/>
      <c r="D45" s="7"/>
      <c r="E45" s="2"/>
      <c r="F45" s="3"/>
      <c r="G45" s="3"/>
      <c r="H45" s="3"/>
      <c r="I45" s="3"/>
      <c r="J45" s="3"/>
      <c r="K45" s="3"/>
      <c r="L45" s="3"/>
      <c r="M45" s="3"/>
      <c r="N45" s="3"/>
      <c r="O45" s="3"/>
      <c r="P45" s="14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customFormat="false" ht="12.75" hidden="true" customHeight="true" outlineLevel="0" collapsed="false">
      <c r="A46" s="2"/>
      <c r="B46" s="18" t="s">
        <v>78</v>
      </c>
      <c r="C46" s="18"/>
      <c r="D46" s="19"/>
      <c r="E46" s="2"/>
      <c r="F46" s="20"/>
      <c r="G46" s="3"/>
      <c r="H46" s="51"/>
      <c r="I46" s="51"/>
      <c r="J46" s="51"/>
      <c r="K46" s="51"/>
      <c r="L46" s="51"/>
      <c r="M46" s="51"/>
      <c r="N46" s="51"/>
      <c r="O46" s="51"/>
      <c r="P46" s="51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customFormat="false" ht="12.75" hidden="true" customHeight="true" outlineLevel="0" collapsed="false">
      <c r="A47" s="2"/>
      <c r="B47" s="15" t="s">
        <v>79</v>
      </c>
      <c r="C47" s="15"/>
      <c r="D47" s="26"/>
      <c r="E47" s="2"/>
      <c r="F47" s="46" t="s">
        <v>80</v>
      </c>
      <c r="G47" s="2"/>
      <c r="H47" s="2" t="s">
        <v>81</v>
      </c>
      <c r="I47" s="2" t="s">
        <v>80</v>
      </c>
      <c r="J47" s="2" t="s">
        <v>82</v>
      </c>
      <c r="K47" s="2"/>
      <c r="L47" s="2"/>
      <c r="M47" s="2"/>
      <c r="N47" s="2"/>
      <c r="O47" s="2"/>
      <c r="P47" s="41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customFormat="false" ht="12.75" hidden="true" customHeight="true" outlineLevel="0" collapsed="false">
      <c r="A48" s="2"/>
      <c r="B48" s="42" t="s">
        <v>83</v>
      </c>
      <c r="C48" s="42"/>
      <c r="D48" s="26"/>
      <c r="E48" s="2"/>
      <c r="F48" s="43" t="s">
        <v>84</v>
      </c>
      <c r="G48" s="2"/>
      <c r="H48" s="2"/>
      <c r="I48" s="2"/>
      <c r="J48" s="2"/>
      <c r="K48" s="2"/>
      <c r="L48" s="2"/>
      <c r="M48" s="2"/>
      <c r="N48" s="2"/>
      <c r="O48" s="2"/>
      <c r="P48" s="41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customFormat="false" ht="12.75" hidden="true" customHeight="true" outlineLevel="0" collapsed="false">
      <c r="A49" s="2"/>
      <c r="B49" s="42" t="s">
        <v>85</v>
      </c>
      <c r="C49" s="42"/>
      <c r="D49" s="26"/>
      <c r="E49" s="2"/>
      <c r="F49" s="46" t="s">
        <v>86</v>
      </c>
      <c r="G49" s="2"/>
      <c r="H49" s="41"/>
      <c r="I49" s="41"/>
      <c r="J49" s="2"/>
      <c r="K49" s="2"/>
      <c r="L49" s="2"/>
      <c r="M49" s="2"/>
      <c r="N49" s="2"/>
      <c r="O49" s="2"/>
      <c r="P49" s="41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customFormat="false" ht="12.75" hidden="true" customHeight="true" outlineLevel="0" collapsed="false">
      <c r="A50" s="2"/>
      <c r="B50" s="42" t="s">
        <v>87</v>
      </c>
      <c r="C50" s="42"/>
      <c r="D50" s="26"/>
      <c r="E50" s="2"/>
      <c r="F50" s="28" t="n">
        <v>4</v>
      </c>
      <c r="G50" s="3"/>
      <c r="H50" s="2"/>
      <c r="I50" s="2"/>
      <c r="J50" s="2"/>
      <c r="K50" s="2"/>
      <c r="L50" s="2"/>
      <c r="M50" s="2"/>
      <c r="N50" s="2"/>
      <c r="O50" s="2"/>
      <c r="P50" s="14"/>
      <c r="Q50" s="3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customFormat="false" ht="12.75" hidden="true" customHeight="true" outlineLevel="0" collapsed="false">
      <c r="A51" s="2"/>
      <c r="B51" s="42" t="s">
        <v>88</v>
      </c>
      <c r="C51" s="42"/>
      <c r="D51" s="26"/>
      <c r="E51" s="2"/>
      <c r="F51" s="28" t="n">
        <v>64</v>
      </c>
      <c r="G51" s="3"/>
      <c r="H51" s="2"/>
      <c r="I51" s="2"/>
      <c r="J51" s="2"/>
      <c r="K51" s="2"/>
      <c r="L51" s="2"/>
      <c r="M51" s="2"/>
      <c r="N51" s="2"/>
      <c r="O51" s="2"/>
      <c r="P51" s="14"/>
      <c r="Q51" s="3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customFormat="false" ht="12.75" hidden="true" customHeight="true" outlineLevel="0" collapsed="false">
      <c r="A52" s="2"/>
      <c r="B52" s="42" t="s">
        <v>89</v>
      </c>
      <c r="C52" s="42"/>
      <c r="D52" s="26"/>
      <c r="E52" s="2"/>
      <c r="F52" s="28" t="n">
        <v>1</v>
      </c>
      <c r="G52" s="3"/>
      <c r="H52" s="2"/>
      <c r="I52" s="2"/>
      <c r="J52" s="2"/>
      <c r="K52" s="2"/>
      <c r="L52" s="2"/>
      <c r="M52" s="2"/>
      <c r="N52" s="2"/>
      <c r="O52" s="2"/>
      <c r="P52" s="14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customFormat="false" ht="12.75" hidden="true" customHeight="true" outlineLevel="0" collapsed="false">
      <c r="A53" s="2"/>
      <c r="B53" s="42" t="s">
        <v>90</v>
      </c>
      <c r="C53" s="42"/>
      <c r="D53" s="26"/>
      <c r="E53" s="2"/>
      <c r="F53" s="28" t="s">
        <v>91</v>
      </c>
      <c r="G53" s="3"/>
      <c r="H53" s="2" t="s">
        <v>92</v>
      </c>
      <c r="I53" s="2" t="s">
        <v>93</v>
      </c>
      <c r="J53" s="2" t="s">
        <v>91</v>
      </c>
      <c r="K53" s="2" t="s">
        <v>94</v>
      </c>
      <c r="L53" s="2" t="s">
        <v>95</v>
      </c>
      <c r="M53" s="2"/>
      <c r="N53" s="2"/>
      <c r="O53" s="2"/>
      <c r="P53" s="14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customFormat="false" ht="12.75" hidden="true" customHeight="true" outlineLevel="0" collapsed="false">
      <c r="A54" s="2"/>
      <c r="B54" s="42" t="s">
        <v>96</v>
      </c>
      <c r="C54" s="42"/>
      <c r="D54" s="26"/>
      <c r="E54" s="2"/>
      <c r="F54" s="28" t="s">
        <v>97</v>
      </c>
      <c r="G54" s="3"/>
      <c r="H54" s="2"/>
      <c r="I54" s="2"/>
      <c r="J54" s="2"/>
      <c r="K54" s="2"/>
      <c r="L54" s="2"/>
      <c r="M54" s="2"/>
      <c r="N54" s="2"/>
      <c r="O54" s="2"/>
      <c r="P54" s="14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customFormat="false" ht="12.75" hidden="true" customHeight="true" outlineLevel="0" collapsed="false">
      <c r="A55" s="2"/>
      <c r="B55" s="42" t="s">
        <v>98</v>
      </c>
      <c r="C55" s="42"/>
      <c r="D55" s="26"/>
      <c r="E55" s="2"/>
      <c r="F55" s="28" t="s">
        <v>99</v>
      </c>
      <c r="G55" s="3"/>
      <c r="H55" s="2"/>
      <c r="I55" s="2"/>
      <c r="J55" s="2"/>
      <c r="K55" s="2"/>
      <c r="L55" s="2"/>
      <c r="M55" s="2"/>
      <c r="N55" s="2"/>
      <c r="O55" s="2"/>
      <c r="P55" s="14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customFormat="false" ht="12.75" hidden="true" customHeight="true" outlineLevel="0" collapsed="false">
      <c r="A56" s="2"/>
      <c r="B56" s="42" t="s">
        <v>100</v>
      </c>
      <c r="C56" s="42"/>
      <c r="D56" s="26"/>
      <c r="E56" s="2"/>
      <c r="F56" s="28" t="s">
        <v>101</v>
      </c>
      <c r="G56" s="3"/>
      <c r="H56" s="2"/>
      <c r="I56" s="2"/>
      <c r="J56" s="2"/>
      <c r="K56" s="2"/>
      <c r="L56" s="2"/>
      <c r="M56" s="2"/>
      <c r="N56" s="2"/>
      <c r="O56" s="2"/>
      <c r="P56" s="14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customFormat="false" ht="12.75" hidden="true" customHeight="true" outlineLevel="0" collapsed="false">
      <c r="A57" s="2"/>
      <c r="B57" s="42" t="s">
        <v>102</v>
      </c>
      <c r="C57" s="42"/>
      <c r="D57" s="26"/>
      <c r="E57" s="2"/>
      <c r="F57" s="28" t="s">
        <v>103</v>
      </c>
      <c r="G57" s="3"/>
      <c r="H57" s="2"/>
      <c r="I57" s="2"/>
      <c r="J57" s="2"/>
      <c r="K57" s="2"/>
      <c r="L57" s="2"/>
      <c r="M57" s="2"/>
      <c r="N57" s="2"/>
      <c r="O57" s="2"/>
      <c r="P57" s="14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customFormat="false" ht="12.75" hidden="true" customHeight="true" outlineLevel="0" collapsed="false">
      <c r="A58" s="2"/>
      <c r="B58" s="42" t="s">
        <v>104</v>
      </c>
      <c r="C58" s="42"/>
      <c r="D58" s="26"/>
      <c r="E58" s="2"/>
      <c r="F58" s="28"/>
      <c r="G58" s="3"/>
      <c r="H58" s="2"/>
      <c r="I58" s="2"/>
      <c r="J58" s="2"/>
      <c r="K58" s="2"/>
      <c r="L58" s="2"/>
      <c r="M58" s="2"/>
      <c r="N58" s="2"/>
      <c r="O58" s="2"/>
      <c r="P58" s="14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customFormat="false" ht="12.75" hidden="true" customHeight="true" outlineLevel="0" collapsed="false">
      <c r="A59" s="2"/>
      <c r="B59" s="42" t="s">
        <v>105</v>
      </c>
      <c r="C59" s="42"/>
      <c r="D59" s="39"/>
      <c r="E59" s="2"/>
      <c r="F59" s="28" t="s">
        <v>106</v>
      </c>
      <c r="G59" s="3"/>
      <c r="H59" s="2"/>
      <c r="I59" s="2"/>
      <c r="J59" s="2"/>
      <c r="K59" s="2"/>
      <c r="L59" s="2"/>
      <c r="M59" s="2"/>
      <c r="N59" s="2"/>
      <c r="O59" s="2"/>
      <c r="P59" s="14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customFormat="false" ht="12.75" hidden="true" customHeight="true" outlineLevel="0" collapsed="false">
      <c r="A60" s="2"/>
      <c r="B60" s="60"/>
      <c r="C60" s="60"/>
      <c r="D60" s="7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41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customFormat="false" ht="12.75" hidden="true" customHeight="true" outlineLevel="0" collapsed="false">
      <c r="A61" s="2"/>
      <c r="B61" s="2"/>
      <c r="C61" s="3"/>
      <c r="D61" s="7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41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customFormat="false" ht="12.75" hidden="true" customHeight="true" outlineLevel="0" collapsed="false">
      <c r="A62" s="2"/>
      <c r="B62" s="61"/>
      <c r="C62" s="61"/>
      <c r="D62" s="62"/>
      <c r="E62" s="2"/>
      <c r="F62" s="6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customFormat="false" ht="12.75" hidden="true" customHeight="true" outlineLevel="0" collapsed="false">
      <c r="A63" s="2"/>
      <c r="B63" s="64" t="s">
        <v>107</v>
      </c>
      <c r="C63" s="64"/>
      <c r="D63" s="19"/>
      <c r="E63" s="2"/>
      <c r="F63" s="20"/>
      <c r="G63" s="2"/>
      <c r="H63" s="65"/>
      <c r="I63" s="65"/>
      <c r="J63" s="65"/>
      <c r="K63" s="65"/>
      <c r="L63" s="65"/>
      <c r="M63" s="65"/>
      <c r="N63" s="65"/>
      <c r="O63" s="65"/>
      <c r="P63" s="66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customFormat="false" ht="99.75" hidden="true" customHeight="true" outlineLevel="0" collapsed="false">
      <c r="A64" s="2"/>
      <c r="B64" s="67"/>
      <c r="C64" s="68" t="s">
        <v>108</v>
      </c>
      <c r="D64" s="69" t="s">
        <v>109</v>
      </c>
      <c r="E64" s="2"/>
      <c r="F64" s="46"/>
      <c r="G64" s="2"/>
      <c r="H64" s="2"/>
      <c r="I64" s="2"/>
      <c r="J64" s="2"/>
      <c r="K64" s="2"/>
      <c r="L64" s="2"/>
      <c r="M64" s="2"/>
      <c r="N64" s="2"/>
      <c r="O64" s="2"/>
      <c r="P64" s="41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customFormat="false" ht="12.75" hidden="false" customHeight="true" outlineLevel="0" collapsed="false">
      <c r="A65" s="2"/>
      <c r="B65" s="2"/>
      <c r="C65" s="3"/>
      <c r="D65" s="7"/>
      <c r="E65" s="2"/>
      <c r="F65" s="2"/>
      <c r="G65" s="2"/>
      <c r="H65" s="41"/>
      <c r="I65" s="41"/>
      <c r="J65" s="41"/>
      <c r="K65" s="41"/>
      <c r="L65" s="41"/>
      <c r="M65" s="41"/>
      <c r="N65" s="41"/>
      <c r="O65" s="41"/>
      <c r="P65" s="41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customFormat="false" ht="12.75" hidden="false" customHeight="true" outlineLevel="0" collapsed="false">
      <c r="A66" s="2"/>
      <c r="B66" s="2"/>
      <c r="C66" s="3"/>
      <c r="D66" s="7"/>
      <c r="E66" s="2"/>
      <c r="F66" s="2"/>
      <c r="G66" s="2"/>
      <c r="H66" s="41"/>
      <c r="I66" s="41"/>
      <c r="J66" s="41"/>
      <c r="K66" s="41"/>
      <c r="L66" s="41"/>
      <c r="M66" s="41"/>
      <c r="N66" s="41"/>
      <c r="O66" s="41"/>
      <c r="P66" s="41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customFormat="false" ht="12.75" hidden="false" customHeight="true" outlineLevel="0" collapsed="false">
      <c r="A67" s="2"/>
      <c r="B67" s="2"/>
      <c r="C67" s="3"/>
      <c r="D67" s="7"/>
      <c r="E67" s="2"/>
      <c r="F67" s="2"/>
      <c r="G67" s="2"/>
      <c r="H67" s="41"/>
      <c r="I67" s="41"/>
      <c r="J67" s="41"/>
      <c r="K67" s="41"/>
      <c r="L67" s="41"/>
      <c r="M67" s="41"/>
      <c r="N67" s="41"/>
      <c r="O67" s="41"/>
      <c r="P67" s="4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customFormat="false" ht="12.75" hidden="false" customHeight="true" outlineLevel="0" collapsed="false">
      <c r="A68" s="2"/>
      <c r="B68" s="2"/>
      <c r="C68" s="3"/>
      <c r="D68" s="7"/>
      <c r="E68" s="2"/>
      <c r="F68" s="2"/>
      <c r="G68" s="2"/>
      <c r="H68" s="41"/>
      <c r="I68" s="41"/>
      <c r="J68" s="41"/>
      <c r="K68" s="41"/>
      <c r="L68" s="41"/>
      <c r="M68" s="41"/>
      <c r="N68" s="41"/>
      <c r="O68" s="41"/>
      <c r="P68" s="41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customFormat="false" ht="12.75" hidden="false" customHeight="true" outlineLevel="0" collapsed="false">
      <c r="A69" s="2"/>
      <c r="B69" s="2"/>
      <c r="C69" s="3"/>
      <c r="D69" s="2"/>
      <c r="E69" s="2"/>
      <c r="F69" s="2"/>
      <c r="G69" s="2"/>
      <c r="H69" s="41"/>
      <c r="I69" s="41"/>
      <c r="J69" s="41"/>
      <c r="K69" s="41"/>
      <c r="L69" s="41"/>
      <c r="M69" s="41"/>
      <c r="N69" s="41"/>
      <c r="O69" s="41"/>
      <c r="P69" s="41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customFormat="false" ht="12.75" hidden="false" customHeight="true" outlineLevel="0" collapsed="false">
      <c r="A70" s="2"/>
      <c r="B70" s="2"/>
      <c r="C70" s="3"/>
      <c r="D70" s="2"/>
      <c r="E70" s="2"/>
      <c r="F70" s="2"/>
      <c r="G70" s="2"/>
      <c r="H70" s="41"/>
      <c r="I70" s="41"/>
      <c r="J70" s="41"/>
      <c r="K70" s="41"/>
      <c r="L70" s="41"/>
      <c r="M70" s="41"/>
      <c r="N70" s="41"/>
      <c r="O70" s="41"/>
      <c r="P70" s="41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customFormat="false" ht="12.75" hidden="false" customHeight="true" outlineLevel="0" collapsed="false">
      <c r="A71" s="2"/>
      <c r="B71" s="2"/>
      <c r="C71" s="3"/>
      <c r="D71" s="2"/>
      <c r="E71" s="2"/>
      <c r="F71" s="2"/>
      <c r="G71" s="2"/>
      <c r="H71" s="41"/>
      <c r="I71" s="41"/>
      <c r="J71" s="41"/>
      <c r="K71" s="41"/>
      <c r="L71" s="41"/>
      <c r="M71" s="41"/>
      <c r="N71" s="41"/>
      <c r="O71" s="41"/>
      <c r="P71" s="41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customFormat="false" ht="12.75" hidden="false" customHeight="true" outlineLevel="0" collapsed="false">
      <c r="A72" s="2"/>
      <c r="B72" s="2"/>
      <c r="C72" s="3"/>
      <c r="D72" s="2"/>
      <c r="E72" s="2"/>
      <c r="F72" s="2"/>
      <c r="G72" s="2"/>
      <c r="H72" s="41"/>
      <c r="I72" s="41"/>
      <c r="J72" s="41"/>
      <c r="K72" s="41"/>
      <c r="L72" s="41"/>
      <c r="M72" s="41"/>
      <c r="N72" s="41"/>
      <c r="O72" s="41"/>
      <c r="P72" s="41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customFormat="false" ht="12.75" hidden="false" customHeight="true" outlineLevel="0" collapsed="false">
      <c r="A73" s="2"/>
      <c r="B73" s="2"/>
      <c r="C73" s="3"/>
      <c r="D73" s="2"/>
      <c r="E73" s="2"/>
      <c r="F73" s="2"/>
      <c r="G73" s="2"/>
      <c r="H73" s="41"/>
      <c r="I73" s="41"/>
      <c r="J73" s="41"/>
      <c r="K73" s="41"/>
      <c r="L73" s="41"/>
      <c r="M73" s="41"/>
      <c r="N73" s="41"/>
      <c r="O73" s="41"/>
      <c r="P73" s="41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customFormat="false" ht="12.75" hidden="false" customHeight="true" outlineLevel="0" collapsed="false">
      <c r="A74" s="2"/>
      <c r="B74" s="2"/>
      <c r="C74" s="3"/>
      <c r="D74" s="2"/>
      <c r="E74" s="2"/>
      <c r="F74" s="2"/>
      <c r="G74" s="2"/>
      <c r="H74" s="41"/>
      <c r="I74" s="41"/>
      <c r="J74" s="41"/>
      <c r="K74" s="41"/>
      <c r="L74" s="41"/>
      <c r="M74" s="41"/>
      <c r="N74" s="41"/>
      <c r="O74" s="41"/>
      <c r="P74" s="41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customFormat="false" ht="12.75" hidden="false" customHeight="true" outlineLevel="0" collapsed="false">
      <c r="A75" s="2"/>
      <c r="B75" s="2"/>
      <c r="C75" s="3"/>
      <c r="D75" s="2"/>
      <c r="E75" s="2"/>
      <c r="F75" s="2"/>
      <c r="G75" s="2"/>
      <c r="H75" s="41"/>
      <c r="I75" s="41"/>
      <c r="J75" s="41"/>
      <c r="K75" s="41"/>
      <c r="L75" s="41"/>
      <c r="M75" s="41"/>
      <c r="N75" s="41"/>
      <c r="O75" s="41"/>
      <c r="P75" s="41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customFormat="false" ht="12.75" hidden="false" customHeight="true" outlineLevel="0" collapsed="false">
      <c r="A76" s="2"/>
      <c r="B76" s="2"/>
      <c r="C76" s="3"/>
      <c r="D76" s="2"/>
      <c r="E76" s="2"/>
      <c r="F76" s="2"/>
      <c r="G76" s="2"/>
      <c r="H76" s="41"/>
      <c r="I76" s="41"/>
      <c r="J76" s="41"/>
      <c r="K76" s="41"/>
      <c r="L76" s="41"/>
      <c r="M76" s="41"/>
      <c r="N76" s="41"/>
      <c r="O76" s="41"/>
      <c r="P76" s="41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customFormat="false" ht="12.75" hidden="false" customHeight="true" outlineLevel="0" collapsed="false">
      <c r="C77" s="70"/>
      <c r="H77" s="52"/>
      <c r="I77" s="52"/>
      <c r="J77" s="52"/>
      <c r="K77" s="52"/>
      <c r="L77" s="52"/>
      <c r="M77" s="52"/>
      <c r="N77" s="52"/>
      <c r="O77" s="52"/>
      <c r="P77" s="52"/>
    </row>
    <row r="78" customFormat="false" ht="12.75" hidden="false" customHeight="true" outlineLevel="0" collapsed="false">
      <c r="C78" s="70"/>
      <c r="H78" s="52"/>
      <c r="I78" s="52"/>
      <c r="J78" s="52"/>
      <c r="K78" s="52"/>
      <c r="L78" s="52"/>
      <c r="M78" s="52"/>
      <c r="N78" s="52"/>
      <c r="O78" s="52"/>
      <c r="P78" s="52"/>
    </row>
    <row r="79" customFormat="false" ht="12.75" hidden="false" customHeight="true" outlineLevel="0" collapsed="false">
      <c r="C79" s="70"/>
      <c r="H79" s="52"/>
      <c r="I79" s="52"/>
      <c r="J79" s="52"/>
      <c r="K79" s="52"/>
      <c r="L79" s="52"/>
      <c r="M79" s="52"/>
      <c r="N79" s="52"/>
      <c r="O79" s="52"/>
      <c r="P79" s="52"/>
    </row>
    <row r="80" customFormat="false" ht="12.75" hidden="false" customHeight="true" outlineLevel="0" collapsed="false">
      <c r="C80" s="70"/>
      <c r="H80" s="52"/>
      <c r="I80" s="52"/>
      <c r="J80" s="52"/>
      <c r="K80" s="52"/>
      <c r="L80" s="52"/>
      <c r="M80" s="52"/>
      <c r="N80" s="52"/>
      <c r="O80" s="52"/>
      <c r="P80" s="52"/>
    </row>
    <row r="81" customFormat="false" ht="12.75" hidden="false" customHeight="true" outlineLevel="0" collapsed="false">
      <c r="C81" s="70"/>
      <c r="H81" s="52"/>
      <c r="I81" s="52"/>
      <c r="J81" s="52"/>
      <c r="K81" s="52"/>
      <c r="L81" s="52"/>
      <c r="M81" s="52"/>
      <c r="N81" s="52"/>
      <c r="O81" s="52"/>
      <c r="P81" s="52"/>
    </row>
    <row r="82" customFormat="false" ht="12.75" hidden="false" customHeight="true" outlineLevel="0" collapsed="false">
      <c r="C82" s="70"/>
      <c r="H82" s="52"/>
      <c r="I82" s="52"/>
      <c r="J82" s="52"/>
      <c r="K82" s="52"/>
      <c r="L82" s="52"/>
      <c r="M82" s="52"/>
      <c r="N82" s="52"/>
      <c r="O82" s="52"/>
      <c r="P82" s="52"/>
    </row>
    <row r="83" customFormat="false" ht="12.75" hidden="false" customHeight="true" outlineLevel="0" collapsed="false">
      <c r="C83" s="70"/>
      <c r="H83" s="52"/>
      <c r="I83" s="52"/>
      <c r="J83" s="52"/>
      <c r="K83" s="52"/>
      <c r="L83" s="52"/>
      <c r="M83" s="52"/>
      <c r="N83" s="52"/>
      <c r="O83" s="52"/>
      <c r="P83" s="52"/>
    </row>
    <row r="84" customFormat="false" ht="12.75" hidden="false" customHeight="true" outlineLevel="0" collapsed="false">
      <c r="C84" s="70"/>
      <c r="H84" s="52"/>
      <c r="I84" s="52"/>
      <c r="J84" s="52"/>
      <c r="K84" s="52"/>
      <c r="L84" s="52"/>
      <c r="M84" s="52"/>
      <c r="N84" s="52"/>
      <c r="O84" s="52"/>
      <c r="P84" s="52"/>
    </row>
    <row r="85" customFormat="false" ht="12.75" hidden="false" customHeight="true" outlineLevel="0" collapsed="false">
      <c r="C85" s="70"/>
      <c r="H85" s="52"/>
      <c r="I85" s="52"/>
      <c r="J85" s="52"/>
      <c r="K85" s="52"/>
      <c r="L85" s="52"/>
      <c r="M85" s="52"/>
      <c r="N85" s="52"/>
      <c r="O85" s="52"/>
      <c r="P85" s="52"/>
    </row>
    <row r="86" customFormat="false" ht="12.75" hidden="false" customHeight="true" outlineLevel="0" collapsed="false">
      <c r="C86" s="70"/>
      <c r="H86" s="52"/>
      <c r="I86" s="52"/>
      <c r="J86" s="52"/>
      <c r="K86" s="52"/>
      <c r="L86" s="52"/>
      <c r="M86" s="52"/>
      <c r="N86" s="52"/>
      <c r="O86" s="52"/>
      <c r="P86" s="52"/>
    </row>
    <row r="87" customFormat="false" ht="12.75" hidden="false" customHeight="true" outlineLevel="0" collapsed="false">
      <c r="C87" s="70"/>
      <c r="H87" s="52"/>
      <c r="I87" s="52"/>
      <c r="J87" s="52"/>
      <c r="K87" s="52"/>
      <c r="L87" s="52"/>
      <c r="M87" s="52"/>
      <c r="N87" s="52"/>
      <c r="O87" s="52"/>
      <c r="P87" s="52"/>
    </row>
    <row r="88" customFormat="false" ht="12.75" hidden="false" customHeight="true" outlineLevel="0" collapsed="false">
      <c r="C88" s="70"/>
      <c r="H88" s="52"/>
      <c r="I88" s="52"/>
      <c r="J88" s="52"/>
      <c r="K88" s="52"/>
      <c r="L88" s="52"/>
      <c r="M88" s="52"/>
      <c r="N88" s="52"/>
      <c r="O88" s="52"/>
      <c r="P88" s="52"/>
    </row>
    <row r="89" customFormat="false" ht="12.75" hidden="false" customHeight="true" outlineLevel="0" collapsed="false">
      <c r="C89" s="70"/>
      <c r="H89" s="52"/>
      <c r="I89" s="52"/>
      <c r="J89" s="52"/>
      <c r="K89" s="52"/>
      <c r="L89" s="52"/>
      <c r="M89" s="52"/>
      <c r="N89" s="52"/>
      <c r="O89" s="52"/>
      <c r="P89" s="52"/>
    </row>
    <row r="90" customFormat="false" ht="12.75" hidden="false" customHeight="true" outlineLevel="0" collapsed="false">
      <c r="C90" s="70"/>
      <c r="H90" s="52"/>
      <c r="I90" s="52"/>
      <c r="J90" s="52"/>
      <c r="K90" s="52"/>
      <c r="L90" s="52"/>
      <c r="M90" s="52"/>
      <c r="N90" s="52"/>
      <c r="O90" s="52"/>
      <c r="P90" s="52"/>
    </row>
    <row r="91" customFormat="false" ht="12.75" hidden="false" customHeight="true" outlineLevel="0" collapsed="false">
      <c r="C91" s="70"/>
      <c r="H91" s="52"/>
      <c r="I91" s="52"/>
      <c r="J91" s="52"/>
      <c r="K91" s="52"/>
      <c r="L91" s="52"/>
      <c r="M91" s="52"/>
      <c r="N91" s="52"/>
      <c r="O91" s="52"/>
      <c r="P91" s="52"/>
    </row>
    <row r="92" customFormat="false" ht="12.75" hidden="false" customHeight="true" outlineLevel="0" collapsed="false">
      <c r="C92" s="70"/>
      <c r="H92" s="52"/>
      <c r="I92" s="52"/>
      <c r="J92" s="52"/>
      <c r="K92" s="52"/>
      <c r="L92" s="52"/>
      <c r="M92" s="52"/>
      <c r="N92" s="52"/>
      <c r="O92" s="52"/>
      <c r="P92" s="52"/>
    </row>
    <row r="93" customFormat="false" ht="12.75" hidden="false" customHeight="true" outlineLevel="0" collapsed="false">
      <c r="C93" s="70"/>
      <c r="H93" s="52"/>
      <c r="I93" s="52"/>
      <c r="J93" s="52"/>
      <c r="K93" s="52"/>
      <c r="L93" s="52"/>
      <c r="M93" s="52"/>
      <c r="N93" s="52"/>
      <c r="O93" s="52"/>
      <c r="P93" s="52"/>
    </row>
    <row r="94" customFormat="false" ht="12.75" hidden="false" customHeight="true" outlineLevel="0" collapsed="false">
      <c r="C94" s="70"/>
      <c r="H94" s="52"/>
      <c r="I94" s="52"/>
      <c r="J94" s="52"/>
      <c r="K94" s="52"/>
      <c r="L94" s="52"/>
      <c r="M94" s="52"/>
      <c r="N94" s="52"/>
      <c r="O94" s="52"/>
      <c r="P94" s="52"/>
    </row>
    <row r="95" customFormat="false" ht="12.75" hidden="false" customHeight="true" outlineLevel="0" collapsed="false">
      <c r="C95" s="70"/>
      <c r="H95" s="52"/>
      <c r="I95" s="52"/>
      <c r="J95" s="52"/>
      <c r="K95" s="52"/>
      <c r="L95" s="52"/>
      <c r="M95" s="52"/>
      <c r="N95" s="52"/>
      <c r="O95" s="52"/>
      <c r="P95" s="52"/>
    </row>
    <row r="96" customFormat="false" ht="12.75" hidden="false" customHeight="true" outlineLevel="0" collapsed="false">
      <c r="C96" s="70"/>
      <c r="H96" s="52"/>
      <c r="I96" s="52"/>
      <c r="J96" s="52"/>
      <c r="K96" s="52"/>
      <c r="L96" s="52"/>
      <c r="M96" s="52"/>
      <c r="N96" s="52"/>
      <c r="O96" s="52"/>
      <c r="P96" s="52"/>
    </row>
    <row r="97" customFormat="false" ht="12.75" hidden="false" customHeight="true" outlineLevel="0" collapsed="false">
      <c r="C97" s="70"/>
      <c r="H97" s="52"/>
      <c r="I97" s="52"/>
      <c r="J97" s="52"/>
      <c r="K97" s="52"/>
      <c r="L97" s="52"/>
      <c r="M97" s="52"/>
      <c r="N97" s="52"/>
      <c r="O97" s="52"/>
      <c r="P97" s="52"/>
    </row>
    <row r="98" customFormat="false" ht="12.75" hidden="false" customHeight="true" outlineLevel="0" collapsed="false">
      <c r="C98" s="70"/>
      <c r="H98" s="52"/>
      <c r="I98" s="52"/>
      <c r="J98" s="52"/>
      <c r="K98" s="52"/>
      <c r="L98" s="52"/>
      <c r="M98" s="52"/>
      <c r="N98" s="52"/>
      <c r="O98" s="52"/>
      <c r="P98" s="52"/>
    </row>
    <row r="99" customFormat="false" ht="12.75" hidden="false" customHeight="true" outlineLevel="0" collapsed="false">
      <c r="C99" s="70"/>
      <c r="H99" s="52"/>
      <c r="I99" s="52"/>
      <c r="J99" s="52"/>
      <c r="K99" s="52"/>
      <c r="L99" s="52"/>
      <c r="M99" s="52"/>
      <c r="N99" s="52"/>
      <c r="O99" s="52"/>
      <c r="P99" s="52"/>
    </row>
    <row r="100" customFormat="false" ht="12.75" hidden="false" customHeight="true" outlineLevel="0" collapsed="false">
      <c r="C100" s="70"/>
      <c r="H100" s="52"/>
      <c r="I100" s="52"/>
      <c r="J100" s="52"/>
      <c r="K100" s="52"/>
      <c r="L100" s="52"/>
      <c r="M100" s="52"/>
      <c r="N100" s="52"/>
      <c r="O100" s="52"/>
      <c r="P100" s="52"/>
    </row>
    <row r="101" customFormat="false" ht="12.75" hidden="false" customHeight="true" outlineLevel="0" collapsed="false">
      <c r="C101" s="70"/>
      <c r="H101" s="52"/>
      <c r="I101" s="52"/>
      <c r="J101" s="52"/>
      <c r="K101" s="52"/>
      <c r="L101" s="52"/>
      <c r="M101" s="52"/>
      <c r="N101" s="52"/>
      <c r="O101" s="52"/>
      <c r="P101" s="52"/>
    </row>
    <row r="102" customFormat="false" ht="12.75" hidden="false" customHeight="true" outlineLevel="0" collapsed="false">
      <c r="C102" s="70"/>
      <c r="H102" s="52"/>
      <c r="I102" s="52"/>
      <c r="J102" s="52"/>
      <c r="K102" s="52"/>
      <c r="L102" s="52"/>
      <c r="M102" s="52"/>
      <c r="N102" s="52"/>
      <c r="O102" s="52"/>
      <c r="P102" s="52"/>
    </row>
    <row r="103" customFormat="false" ht="12.75" hidden="false" customHeight="true" outlineLevel="0" collapsed="false">
      <c r="C103" s="70"/>
      <c r="H103" s="52"/>
      <c r="I103" s="52"/>
      <c r="J103" s="52"/>
      <c r="K103" s="52"/>
      <c r="L103" s="52"/>
      <c r="M103" s="52"/>
      <c r="N103" s="52"/>
      <c r="O103" s="52"/>
      <c r="P103" s="52"/>
    </row>
    <row r="104" customFormat="false" ht="12.75" hidden="false" customHeight="true" outlineLevel="0" collapsed="false">
      <c r="C104" s="70"/>
      <c r="H104" s="52"/>
      <c r="I104" s="52"/>
      <c r="J104" s="52"/>
      <c r="K104" s="52"/>
      <c r="L104" s="52"/>
      <c r="M104" s="52"/>
      <c r="N104" s="52"/>
      <c r="O104" s="52"/>
      <c r="P104" s="52"/>
    </row>
    <row r="105" customFormat="false" ht="12.75" hidden="false" customHeight="true" outlineLevel="0" collapsed="false">
      <c r="C105" s="70"/>
      <c r="H105" s="52"/>
      <c r="I105" s="52"/>
      <c r="J105" s="52"/>
      <c r="K105" s="52"/>
      <c r="L105" s="52"/>
      <c r="M105" s="52"/>
      <c r="N105" s="52"/>
      <c r="O105" s="52"/>
      <c r="P105" s="52"/>
    </row>
    <row r="106" customFormat="false" ht="12.75" hidden="false" customHeight="true" outlineLevel="0" collapsed="false">
      <c r="C106" s="70"/>
      <c r="H106" s="52"/>
      <c r="I106" s="52"/>
      <c r="J106" s="52"/>
      <c r="K106" s="52"/>
      <c r="L106" s="52"/>
      <c r="M106" s="52"/>
      <c r="N106" s="52"/>
      <c r="O106" s="52"/>
      <c r="P106" s="52"/>
    </row>
    <row r="107" customFormat="false" ht="12.75" hidden="false" customHeight="true" outlineLevel="0" collapsed="false">
      <c r="C107" s="70"/>
      <c r="H107" s="52"/>
      <c r="I107" s="52"/>
      <c r="J107" s="52"/>
      <c r="K107" s="52"/>
      <c r="L107" s="52"/>
      <c r="M107" s="52"/>
      <c r="N107" s="52"/>
      <c r="O107" s="52"/>
      <c r="P107" s="52"/>
    </row>
    <row r="108" customFormat="false" ht="12.75" hidden="false" customHeight="true" outlineLevel="0" collapsed="false">
      <c r="C108" s="70"/>
      <c r="H108" s="52"/>
      <c r="I108" s="52"/>
      <c r="J108" s="52"/>
      <c r="K108" s="52"/>
      <c r="L108" s="52"/>
      <c r="M108" s="52"/>
      <c r="N108" s="52"/>
      <c r="O108" s="52"/>
      <c r="P108" s="52"/>
    </row>
    <row r="109" customFormat="false" ht="12.75" hidden="false" customHeight="true" outlineLevel="0" collapsed="false">
      <c r="C109" s="70"/>
      <c r="H109" s="52"/>
      <c r="I109" s="52"/>
      <c r="J109" s="52"/>
      <c r="K109" s="52"/>
      <c r="L109" s="52"/>
      <c r="M109" s="52"/>
      <c r="N109" s="52"/>
      <c r="O109" s="52"/>
      <c r="P109" s="52"/>
    </row>
    <row r="110" customFormat="false" ht="12.75" hidden="false" customHeight="true" outlineLevel="0" collapsed="false">
      <c r="C110" s="70"/>
      <c r="H110" s="52"/>
      <c r="I110" s="52"/>
      <c r="J110" s="52"/>
      <c r="K110" s="52"/>
      <c r="L110" s="52"/>
      <c r="M110" s="52"/>
      <c r="N110" s="52"/>
      <c r="O110" s="52"/>
      <c r="P110" s="52"/>
    </row>
    <row r="111" customFormat="false" ht="12.75" hidden="false" customHeight="true" outlineLevel="0" collapsed="false">
      <c r="C111" s="70"/>
      <c r="H111" s="52"/>
      <c r="I111" s="52"/>
      <c r="J111" s="52"/>
      <c r="K111" s="52"/>
      <c r="L111" s="52"/>
      <c r="M111" s="52"/>
      <c r="N111" s="52"/>
      <c r="O111" s="52"/>
      <c r="P111" s="52"/>
    </row>
    <row r="112" customFormat="false" ht="12.75" hidden="false" customHeight="true" outlineLevel="0" collapsed="false">
      <c r="C112" s="70"/>
      <c r="H112" s="52"/>
      <c r="I112" s="52"/>
      <c r="J112" s="52"/>
      <c r="K112" s="52"/>
      <c r="L112" s="52"/>
      <c r="M112" s="52"/>
      <c r="N112" s="52"/>
      <c r="O112" s="52"/>
      <c r="P112" s="52"/>
    </row>
    <row r="113" customFormat="false" ht="12.75" hidden="false" customHeight="true" outlineLevel="0" collapsed="false">
      <c r="C113" s="70"/>
      <c r="H113" s="52"/>
      <c r="I113" s="52"/>
      <c r="J113" s="52"/>
      <c r="K113" s="52"/>
      <c r="L113" s="52"/>
      <c r="M113" s="52"/>
      <c r="N113" s="52"/>
      <c r="O113" s="52"/>
      <c r="P113" s="52"/>
    </row>
    <row r="114" customFormat="false" ht="12.75" hidden="false" customHeight="true" outlineLevel="0" collapsed="false">
      <c r="C114" s="70"/>
      <c r="H114" s="52"/>
      <c r="I114" s="52"/>
      <c r="J114" s="52"/>
      <c r="K114" s="52"/>
      <c r="L114" s="52"/>
      <c r="M114" s="52"/>
      <c r="N114" s="52"/>
      <c r="O114" s="52"/>
      <c r="P114" s="52"/>
    </row>
    <row r="115" customFormat="false" ht="12.75" hidden="false" customHeight="true" outlineLevel="0" collapsed="false">
      <c r="C115" s="70"/>
      <c r="H115" s="52"/>
      <c r="I115" s="52"/>
      <c r="J115" s="52"/>
      <c r="K115" s="52"/>
      <c r="L115" s="52"/>
      <c r="M115" s="52"/>
      <c r="N115" s="52"/>
      <c r="O115" s="52"/>
      <c r="P115" s="52"/>
    </row>
    <row r="116" customFormat="false" ht="12.75" hidden="false" customHeight="true" outlineLevel="0" collapsed="false">
      <c r="C116" s="70"/>
      <c r="H116" s="52"/>
      <c r="I116" s="52"/>
      <c r="J116" s="52"/>
      <c r="K116" s="52"/>
      <c r="L116" s="52"/>
      <c r="M116" s="52"/>
      <c r="N116" s="52"/>
      <c r="O116" s="52"/>
      <c r="P116" s="52"/>
    </row>
    <row r="117" customFormat="false" ht="12.75" hidden="false" customHeight="true" outlineLevel="0" collapsed="false">
      <c r="C117" s="70"/>
      <c r="H117" s="52"/>
      <c r="I117" s="52"/>
      <c r="J117" s="52"/>
      <c r="K117" s="52"/>
      <c r="L117" s="52"/>
      <c r="M117" s="52"/>
      <c r="N117" s="52"/>
      <c r="O117" s="52"/>
      <c r="P117" s="52"/>
    </row>
    <row r="118" customFormat="false" ht="12.75" hidden="false" customHeight="true" outlineLevel="0" collapsed="false">
      <c r="C118" s="70"/>
      <c r="H118" s="52"/>
      <c r="I118" s="52"/>
      <c r="J118" s="52"/>
      <c r="K118" s="52"/>
      <c r="L118" s="52"/>
      <c r="M118" s="52"/>
      <c r="N118" s="52"/>
      <c r="O118" s="52"/>
      <c r="P118" s="52"/>
    </row>
    <row r="119" customFormat="false" ht="12.75" hidden="false" customHeight="true" outlineLevel="0" collapsed="false">
      <c r="C119" s="70"/>
      <c r="H119" s="52"/>
      <c r="I119" s="52"/>
      <c r="J119" s="52"/>
      <c r="K119" s="52"/>
      <c r="L119" s="52"/>
      <c r="M119" s="52"/>
      <c r="N119" s="52"/>
      <c r="O119" s="52"/>
      <c r="P119" s="52"/>
    </row>
    <row r="120" customFormat="false" ht="12.75" hidden="false" customHeight="true" outlineLevel="0" collapsed="false">
      <c r="C120" s="70"/>
      <c r="H120" s="52"/>
      <c r="I120" s="52"/>
      <c r="J120" s="52"/>
      <c r="K120" s="52"/>
      <c r="L120" s="52"/>
      <c r="M120" s="52"/>
      <c r="N120" s="52"/>
      <c r="O120" s="52"/>
      <c r="P120" s="52"/>
    </row>
    <row r="121" customFormat="false" ht="12.75" hidden="false" customHeight="true" outlineLevel="0" collapsed="false">
      <c r="C121" s="70"/>
      <c r="H121" s="52"/>
      <c r="I121" s="52"/>
      <c r="J121" s="52"/>
      <c r="K121" s="52"/>
      <c r="L121" s="52"/>
      <c r="M121" s="52"/>
      <c r="N121" s="52"/>
      <c r="O121" s="52"/>
      <c r="P121" s="52"/>
    </row>
    <row r="122" customFormat="false" ht="12.75" hidden="false" customHeight="true" outlineLevel="0" collapsed="false">
      <c r="C122" s="70"/>
      <c r="H122" s="52"/>
      <c r="I122" s="52"/>
      <c r="J122" s="52"/>
      <c r="K122" s="52"/>
      <c r="L122" s="52"/>
      <c r="M122" s="52"/>
      <c r="N122" s="52"/>
      <c r="O122" s="52"/>
      <c r="P122" s="52"/>
    </row>
    <row r="123" customFormat="false" ht="12.75" hidden="false" customHeight="true" outlineLevel="0" collapsed="false">
      <c r="C123" s="70"/>
      <c r="H123" s="52"/>
      <c r="I123" s="52"/>
      <c r="J123" s="52"/>
      <c r="K123" s="52"/>
      <c r="L123" s="52"/>
      <c r="M123" s="52"/>
      <c r="N123" s="52"/>
      <c r="O123" s="52"/>
      <c r="P123" s="52"/>
    </row>
    <row r="124" customFormat="false" ht="12.75" hidden="false" customHeight="true" outlineLevel="0" collapsed="false">
      <c r="C124" s="70"/>
      <c r="H124" s="52"/>
      <c r="I124" s="52"/>
      <c r="J124" s="52"/>
      <c r="K124" s="52"/>
      <c r="L124" s="52"/>
      <c r="M124" s="52"/>
      <c r="N124" s="52"/>
      <c r="O124" s="52"/>
      <c r="P124" s="52"/>
    </row>
    <row r="125" customFormat="false" ht="12.75" hidden="false" customHeight="true" outlineLevel="0" collapsed="false">
      <c r="C125" s="70"/>
      <c r="H125" s="52"/>
      <c r="I125" s="52"/>
      <c r="J125" s="52"/>
      <c r="K125" s="52"/>
      <c r="L125" s="52"/>
      <c r="M125" s="52"/>
      <c r="N125" s="52"/>
      <c r="O125" s="52"/>
      <c r="P125" s="52"/>
    </row>
    <row r="126" customFormat="false" ht="12.75" hidden="false" customHeight="true" outlineLevel="0" collapsed="false">
      <c r="C126" s="70"/>
      <c r="H126" s="52"/>
      <c r="I126" s="52"/>
      <c r="J126" s="52"/>
      <c r="K126" s="52"/>
      <c r="L126" s="52"/>
      <c r="M126" s="52"/>
      <c r="N126" s="52"/>
      <c r="O126" s="52"/>
      <c r="P126" s="52"/>
    </row>
    <row r="127" customFormat="false" ht="12.75" hidden="false" customHeight="true" outlineLevel="0" collapsed="false">
      <c r="C127" s="70"/>
      <c r="H127" s="52"/>
      <c r="I127" s="52"/>
      <c r="J127" s="52"/>
      <c r="K127" s="52"/>
      <c r="L127" s="52"/>
      <c r="M127" s="52"/>
      <c r="N127" s="52"/>
      <c r="O127" s="52"/>
      <c r="P127" s="52"/>
    </row>
    <row r="128" customFormat="false" ht="12.75" hidden="false" customHeight="true" outlineLevel="0" collapsed="false">
      <c r="C128" s="70"/>
      <c r="H128" s="52"/>
      <c r="I128" s="52"/>
      <c r="J128" s="52"/>
      <c r="K128" s="52"/>
      <c r="L128" s="52"/>
      <c r="M128" s="52"/>
      <c r="N128" s="52"/>
      <c r="O128" s="52"/>
      <c r="P128" s="52"/>
    </row>
    <row r="129" customFormat="false" ht="12.75" hidden="false" customHeight="true" outlineLevel="0" collapsed="false">
      <c r="C129" s="70"/>
      <c r="H129" s="52"/>
      <c r="I129" s="52"/>
      <c r="J129" s="52"/>
      <c r="K129" s="52"/>
      <c r="L129" s="52"/>
      <c r="M129" s="52"/>
      <c r="N129" s="52"/>
      <c r="O129" s="52"/>
      <c r="P129" s="52"/>
    </row>
    <row r="130" customFormat="false" ht="12.75" hidden="false" customHeight="true" outlineLevel="0" collapsed="false">
      <c r="C130" s="70"/>
      <c r="H130" s="52"/>
      <c r="I130" s="52"/>
      <c r="J130" s="52"/>
      <c r="K130" s="52"/>
      <c r="L130" s="52"/>
      <c r="M130" s="52"/>
      <c r="N130" s="52"/>
      <c r="O130" s="52"/>
      <c r="P130" s="52"/>
    </row>
    <row r="131" customFormat="false" ht="12.75" hidden="false" customHeight="true" outlineLevel="0" collapsed="false">
      <c r="C131" s="70"/>
      <c r="H131" s="52"/>
      <c r="I131" s="52"/>
      <c r="J131" s="52"/>
      <c r="K131" s="52"/>
      <c r="L131" s="52"/>
      <c r="M131" s="52"/>
      <c r="N131" s="52"/>
      <c r="O131" s="52"/>
      <c r="P131" s="52"/>
    </row>
    <row r="132" customFormat="false" ht="12.75" hidden="false" customHeight="true" outlineLevel="0" collapsed="false">
      <c r="C132" s="70"/>
      <c r="H132" s="52"/>
      <c r="I132" s="52"/>
      <c r="J132" s="52"/>
      <c r="K132" s="52"/>
      <c r="L132" s="52"/>
      <c r="M132" s="52"/>
      <c r="N132" s="52"/>
      <c r="O132" s="52"/>
      <c r="P132" s="52"/>
    </row>
    <row r="133" customFormat="false" ht="12.75" hidden="false" customHeight="true" outlineLevel="0" collapsed="false">
      <c r="C133" s="70"/>
      <c r="H133" s="52"/>
      <c r="I133" s="52"/>
      <c r="J133" s="52"/>
      <c r="K133" s="52"/>
      <c r="L133" s="52"/>
      <c r="M133" s="52"/>
      <c r="N133" s="52"/>
      <c r="O133" s="52"/>
      <c r="P133" s="52"/>
    </row>
    <row r="134" customFormat="false" ht="12.75" hidden="false" customHeight="true" outlineLevel="0" collapsed="false">
      <c r="C134" s="70"/>
      <c r="H134" s="52"/>
      <c r="I134" s="52"/>
      <c r="J134" s="52"/>
      <c r="K134" s="52"/>
      <c r="L134" s="52"/>
      <c r="M134" s="52"/>
      <c r="N134" s="52"/>
      <c r="O134" s="52"/>
      <c r="P134" s="52"/>
    </row>
    <row r="135" customFormat="false" ht="12.75" hidden="false" customHeight="true" outlineLevel="0" collapsed="false">
      <c r="C135" s="70"/>
      <c r="H135" s="52"/>
      <c r="I135" s="52"/>
      <c r="J135" s="52"/>
      <c r="K135" s="52"/>
      <c r="L135" s="52"/>
      <c r="M135" s="52"/>
      <c r="N135" s="52"/>
      <c r="O135" s="52"/>
      <c r="P135" s="52"/>
    </row>
    <row r="136" customFormat="false" ht="12.75" hidden="false" customHeight="true" outlineLevel="0" collapsed="false">
      <c r="C136" s="70"/>
      <c r="H136" s="52"/>
      <c r="I136" s="52"/>
      <c r="J136" s="52"/>
      <c r="K136" s="52"/>
      <c r="L136" s="52"/>
      <c r="M136" s="52"/>
      <c r="N136" s="52"/>
      <c r="O136" s="52"/>
      <c r="P136" s="52"/>
    </row>
    <row r="137" customFormat="false" ht="12.75" hidden="false" customHeight="true" outlineLevel="0" collapsed="false">
      <c r="C137" s="70"/>
      <c r="H137" s="52"/>
      <c r="I137" s="52"/>
      <c r="J137" s="52"/>
      <c r="K137" s="52"/>
      <c r="L137" s="52"/>
      <c r="M137" s="52"/>
      <c r="N137" s="52"/>
      <c r="O137" s="52"/>
      <c r="P137" s="52"/>
    </row>
    <row r="138" customFormat="false" ht="12.75" hidden="false" customHeight="true" outlineLevel="0" collapsed="false">
      <c r="C138" s="70"/>
      <c r="H138" s="52"/>
      <c r="I138" s="52"/>
      <c r="J138" s="52"/>
      <c r="K138" s="52"/>
      <c r="L138" s="52"/>
      <c r="M138" s="52"/>
      <c r="N138" s="52"/>
      <c r="O138" s="52"/>
      <c r="P138" s="52"/>
    </row>
    <row r="139" customFormat="false" ht="12.75" hidden="false" customHeight="true" outlineLevel="0" collapsed="false">
      <c r="C139" s="70"/>
      <c r="H139" s="52"/>
      <c r="I139" s="52"/>
      <c r="J139" s="52"/>
      <c r="K139" s="52"/>
      <c r="L139" s="52"/>
      <c r="M139" s="52"/>
      <c r="N139" s="52"/>
      <c r="O139" s="52"/>
      <c r="P139" s="52"/>
    </row>
    <row r="140" customFormat="false" ht="12.75" hidden="false" customHeight="true" outlineLevel="0" collapsed="false">
      <c r="C140" s="70"/>
      <c r="G140" s="2"/>
      <c r="H140" s="41"/>
      <c r="I140" s="41"/>
      <c r="J140" s="41"/>
      <c r="K140" s="41"/>
      <c r="L140" s="41"/>
      <c r="M140" s="41"/>
      <c r="N140" s="41"/>
      <c r="O140" s="41"/>
      <c r="P140" s="52"/>
      <c r="Q140" s="2"/>
    </row>
    <row r="141" customFormat="false" ht="12.75" hidden="false" customHeight="true" outlineLevel="0" collapsed="false">
      <c r="C141" s="70"/>
      <c r="G141" s="2"/>
      <c r="H141" s="41"/>
      <c r="I141" s="41"/>
      <c r="J141" s="41"/>
      <c r="K141" s="41"/>
      <c r="L141" s="41"/>
      <c r="M141" s="41"/>
      <c r="N141" s="41"/>
      <c r="O141" s="41"/>
      <c r="P141" s="52"/>
      <c r="Q141" s="2"/>
    </row>
    <row r="142" customFormat="false" ht="12.75" hidden="false" customHeight="true" outlineLevel="0" collapsed="false">
      <c r="C142" s="70"/>
      <c r="G142" s="2"/>
      <c r="H142" s="41"/>
      <c r="I142" s="41"/>
      <c r="J142" s="41"/>
      <c r="K142" s="41"/>
      <c r="L142" s="41"/>
      <c r="M142" s="41"/>
      <c r="N142" s="41"/>
      <c r="O142" s="41"/>
      <c r="P142" s="52"/>
      <c r="Q142" s="2"/>
    </row>
    <row r="143" customFormat="false" ht="12.75" hidden="false" customHeight="true" outlineLevel="0" collapsed="false">
      <c r="C143" s="70"/>
      <c r="G143" s="2"/>
      <c r="H143" s="41"/>
      <c r="I143" s="41"/>
      <c r="J143" s="41"/>
      <c r="K143" s="41"/>
      <c r="L143" s="41"/>
      <c r="M143" s="41"/>
      <c r="N143" s="41"/>
      <c r="O143" s="41"/>
      <c r="P143" s="52"/>
      <c r="Q143" s="2"/>
    </row>
    <row r="144" customFormat="false" ht="12.75" hidden="false" customHeight="true" outlineLevel="0" collapsed="false">
      <c r="C144" s="70"/>
      <c r="G144" s="2"/>
      <c r="H144" s="41"/>
      <c r="I144" s="41"/>
      <c r="J144" s="41"/>
      <c r="K144" s="41"/>
      <c r="L144" s="41"/>
      <c r="M144" s="41"/>
      <c r="N144" s="41"/>
      <c r="O144" s="41"/>
      <c r="P144" s="52"/>
      <c r="Q144" s="2"/>
    </row>
    <row r="145" customFormat="false" ht="12.75" hidden="false" customHeight="true" outlineLevel="0" collapsed="false">
      <c r="C145" s="70"/>
      <c r="G145" s="2"/>
      <c r="H145" s="41"/>
      <c r="I145" s="41"/>
      <c r="J145" s="41"/>
      <c r="K145" s="41"/>
      <c r="L145" s="41"/>
      <c r="M145" s="41"/>
      <c r="N145" s="41"/>
      <c r="O145" s="41"/>
      <c r="P145" s="52"/>
      <c r="Q145" s="2"/>
    </row>
    <row r="146" customFormat="false" ht="12.75" hidden="false" customHeight="true" outlineLevel="0" collapsed="false">
      <c r="C146" s="70"/>
      <c r="G146" s="2"/>
      <c r="H146" s="41"/>
      <c r="I146" s="41"/>
      <c r="J146" s="41"/>
      <c r="K146" s="41"/>
      <c r="L146" s="41"/>
      <c r="M146" s="41"/>
      <c r="N146" s="41"/>
      <c r="O146" s="41"/>
      <c r="P146" s="52"/>
      <c r="Q146" s="2"/>
    </row>
    <row r="147" customFormat="false" ht="12.75" hidden="false" customHeight="true" outlineLevel="0" collapsed="false">
      <c r="C147" s="70"/>
      <c r="G147" s="2"/>
      <c r="H147" s="41"/>
      <c r="I147" s="41"/>
      <c r="J147" s="41"/>
      <c r="K147" s="41"/>
      <c r="L147" s="41"/>
      <c r="M147" s="41"/>
      <c r="N147" s="41"/>
      <c r="O147" s="41"/>
      <c r="P147" s="52"/>
      <c r="Q147" s="2"/>
    </row>
    <row r="148" customFormat="false" ht="12.75" hidden="false" customHeight="true" outlineLevel="0" collapsed="false">
      <c r="C148" s="70"/>
      <c r="G148" s="2"/>
      <c r="H148" s="41"/>
      <c r="I148" s="41"/>
      <c r="J148" s="41"/>
      <c r="K148" s="41"/>
      <c r="L148" s="41"/>
      <c r="M148" s="41"/>
      <c r="N148" s="41"/>
      <c r="O148" s="41"/>
      <c r="P148" s="52"/>
      <c r="Q148" s="2"/>
    </row>
    <row r="149" customFormat="false" ht="12.75" hidden="false" customHeight="true" outlineLevel="0" collapsed="false">
      <c r="C149" s="70"/>
      <c r="G149" s="2"/>
      <c r="H149" s="41"/>
      <c r="I149" s="41"/>
      <c r="J149" s="41"/>
      <c r="K149" s="41"/>
      <c r="L149" s="41"/>
      <c r="M149" s="41"/>
      <c r="N149" s="41"/>
      <c r="O149" s="41"/>
      <c r="P149" s="52"/>
      <c r="Q149" s="2"/>
    </row>
    <row r="150" customFormat="false" ht="12.75" hidden="false" customHeight="true" outlineLevel="0" collapsed="false">
      <c r="C150" s="70"/>
      <c r="G150" s="2"/>
      <c r="H150" s="41"/>
      <c r="I150" s="41"/>
      <c r="J150" s="41"/>
      <c r="K150" s="41"/>
      <c r="L150" s="41"/>
      <c r="M150" s="41"/>
      <c r="N150" s="41"/>
      <c r="O150" s="41"/>
      <c r="P150" s="52"/>
      <c r="Q150" s="2"/>
    </row>
    <row r="151" customFormat="false" ht="12.75" hidden="false" customHeight="true" outlineLevel="0" collapsed="false">
      <c r="C151" s="70"/>
      <c r="G151" s="2"/>
      <c r="H151" s="41"/>
      <c r="I151" s="41"/>
      <c r="J151" s="41"/>
      <c r="K151" s="41"/>
      <c r="L151" s="41"/>
      <c r="M151" s="41"/>
      <c r="N151" s="41"/>
      <c r="O151" s="41"/>
      <c r="P151" s="52"/>
      <c r="Q151" s="2"/>
    </row>
    <row r="152" customFormat="false" ht="12.75" hidden="false" customHeight="true" outlineLevel="0" collapsed="false">
      <c r="C152" s="70"/>
      <c r="G152" s="2"/>
      <c r="H152" s="41"/>
      <c r="I152" s="41"/>
      <c r="J152" s="41"/>
      <c r="K152" s="41"/>
      <c r="L152" s="41"/>
      <c r="M152" s="41"/>
      <c r="N152" s="41"/>
      <c r="O152" s="41"/>
      <c r="P152" s="52"/>
      <c r="Q152" s="2"/>
    </row>
    <row r="153" customFormat="false" ht="12.75" hidden="false" customHeight="true" outlineLevel="0" collapsed="false">
      <c r="C153" s="70"/>
      <c r="G153" s="2"/>
      <c r="H153" s="41"/>
      <c r="I153" s="41"/>
      <c r="J153" s="41"/>
      <c r="K153" s="41"/>
      <c r="L153" s="41"/>
      <c r="M153" s="41"/>
      <c r="N153" s="41"/>
      <c r="O153" s="41"/>
      <c r="P153" s="52"/>
      <c r="Q153" s="2"/>
    </row>
    <row r="154" customFormat="false" ht="12.75" hidden="false" customHeight="true" outlineLevel="0" collapsed="false">
      <c r="C154" s="70"/>
      <c r="G154" s="2"/>
      <c r="H154" s="41"/>
      <c r="I154" s="41"/>
      <c r="J154" s="41"/>
      <c r="K154" s="41"/>
      <c r="L154" s="41"/>
      <c r="M154" s="41"/>
      <c r="N154" s="41"/>
      <c r="O154" s="41"/>
      <c r="P154" s="52"/>
      <c r="Q154" s="2"/>
    </row>
    <row r="155" customFormat="false" ht="12.75" hidden="false" customHeight="true" outlineLevel="0" collapsed="false">
      <c r="C155" s="70"/>
      <c r="G155" s="2"/>
      <c r="H155" s="41"/>
      <c r="I155" s="41"/>
      <c r="J155" s="41"/>
      <c r="K155" s="41"/>
      <c r="L155" s="41"/>
      <c r="M155" s="41"/>
      <c r="N155" s="41"/>
      <c r="O155" s="41"/>
      <c r="P155" s="52"/>
      <c r="Q155" s="2"/>
    </row>
    <row r="156" customFormat="false" ht="12.75" hidden="false" customHeight="true" outlineLevel="0" collapsed="false">
      <c r="C156" s="70"/>
      <c r="G156" s="2"/>
      <c r="H156" s="41"/>
      <c r="I156" s="41"/>
      <c r="J156" s="41"/>
      <c r="K156" s="41"/>
      <c r="L156" s="41"/>
      <c r="M156" s="41"/>
      <c r="N156" s="41"/>
      <c r="O156" s="41"/>
      <c r="P156" s="52"/>
      <c r="Q156" s="2"/>
    </row>
    <row r="157" customFormat="false" ht="12.75" hidden="false" customHeight="true" outlineLevel="0" collapsed="false">
      <c r="C157" s="70"/>
      <c r="G157" s="2"/>
      <c r="H157" s="41"/>
      <c r="I157" s="41"/>
      <c r="J157" s="41"/>
      <c r="K157" s="41"/>
      <c r="L157" s="41"/>
      <c r="M157" s="41"/>
      <c r="N157" s="41"/>
      <c r="O157" s="41"/>
      <c r="P157" s="52"/>
      <c r="Q157" s="2"/>
    </row>
    <row r="158" customFormat="false" ht="12.75" hidden="false" customHeight="true" outlineLevel="0" collapsed="false">
      <c r="C158" s="70"/>
      <c r="G158" s="2"/>
      <c r="H158" s="41"/>
      <c r="I158" s="41"/>
      <c r="J158" s="41"/>
      <c r="K158" s="41"/>
      <c r="L158" s="41"/>
      <c r="M158" s="41"/>
      <c r="N158" s="41"/>
      <c r="O158" s="41"/>
      <c r="P158" s="52"/>
      <c r="Q158" s="2"/>
    </row>
    <row r="159" customFormat="false" ht="12.75" hidden="false" customHeight="true" outlineLevel="0" collapsed="false">
      <c r="C159" s="70"/>
      <c r="G159" s="2"/>
      <c r="H159" s="41"/>
      <c r="I159" s="41"/>
      <c r="J159" s="41"/>
      <c r="K159" s="41"/>
      <c r="L159" s="41"/>
      <c r="M159" s="41"/>
      <c r="N159" s="41"/>
      <c r="O159" s="41"/>
      <c r="P159" s="52"/>
      <c r="Q159" s="2"/>
    </row>
    <row r="160" customFormat="false" ht="12.75" hidden="false" customHeight="true" outlineLevel="0" collapsed="false">
      <c r="C160" s="70"/>
      <c r="G160" s="2"/>
      <c r="H160" s="41"/>
      <c r="I160" s="41"/>
      <c r="J160" s="41"/>
      <c r="K160" s="41"/>
      <c r="L160" s="41"/>
      <c r="M160" s="41"/>
      <c r="N160" s="41"/>
      <c r="O160" s="41"/>
      <c r="P160" s="52"/>
      <c r="Q160" s="2"/>
    </row>
    <row r="161" customFormat="false" ht="12.75" hidden="false" customHeight="true" outlineLevel="0" collapsed="false">
      <c r="C161" s="70"/>
      <c r="G161" s="2"/>
      <c r="H161" s="41"/>
      <c r="I161" s="41"/>
      <c r="J161" s="41"/>
      <c r="K161" s="41"/>
      <c r="L161" s="41"/>
      <c r="M161" s="41"/>
      <c r="N161" s="41"/>
      <c r="O161" s="41"/>
      <c r="P161" s="52"/>
      <c r="Q161" s="2"/>
    </row>
    <row r="162" customFormat="false" ht="12.75" hidden="false" customHeight="true" outlineLevel="0" collapsed="false">
      <c r="C162" s="70"/>
      <c r="G162" s="2"/>
      <c r="H162" s="41"/>
      <c r="I162" s="41"/>
      <c r="J162" s="41"/>
      <c r="K162" s="41"/>
      <c r="L162" s="41"/>
      <c r="M162" s="41"/>
      <c r="N162" s="41"/>
      <c r="O162" s="41"/>
      <c r="P162" s="52"/>
      <c r="Q162" s="2"/>
    </row>
    <row r="163" customFormat="false" ht="12.75" hidden="false" customHeight="true" outlineLevel="0" collapsed="false">
      <c r="C163" s="70"/>
      <c r="G163" s="2"/>
      <c r="H163" s="41"/>
      <c r="I163" s="41"/>
      <c r="J163" s="41"/>
      <c r="K163" s="41"/>
      <c r="L163" s="41"/>
      <c r="M163" s="41"/>
      <c r="N163" s="41"/>
      <c r="O163" s="41"/>
      <c r="P163" s="52"/>
      <c r="Q163" s="2"/>
    </row>
    <row r="164" customFormat="false" ht="12.75" hidden="false" customHeight="true" outlineLevel="0" collapsed="false">
      <c r="C164" s="70"/>
      <c r="G164" s="2"/>
      <c r="H164" s="41"/>
      <c r="I164" s="41"/>
      <c r="J164" s="41"/>
      <c r="K164" s="41"/>
      <c r="L164" s="41"/>
      <c r="M164" s="41"/>
      <c r="N164" s="41"/>
      <c r="O164" s="41"/>
      <c r="P164" s="52"/>
      <c r="Q164" s="2"/>
    </row>
    <row r="165" customFormat="false" ht="12.75" hidden="false" customHeight="true" outlineLevel="0" collapsed="false">
      <c r="C165" s="70"/>
      <c r="G165" s="2"/>
      <c r="H165" s="41"/>
      <c r="I165" s="41"/>
      <c r="J165" s="41"/>
      <c r="K165" s="41"/>
      <c r="L165" s="41"/>
      <c r="M165" s="41"/>
      <c r="N165" s="41"/>
      <c r="O165" s="41"/>
      <c r="P165" s="52"/>
      <c r="Q165" s="2"/>
    </row>
    <row r="166" customFormat="false" ht="12.75" hidden="false" customHeight="true" outlineLevel="0" collapsed="false">
      <c r="C166" s="70"/>
      <c r="G166" s="2"/>
      <c r="H166" s="41"/>
      <c r="I166" s="41"/>
      <c r="J166" s="41"/>
      <c r="K166" s="41"/>
      <c r="L166" s="41"/>
      <c r="M166" s="41"/>
      <c r="N166" s="41"/>
      <c r="O166" s="41"/>
      <c r="P166" s="52"/>
      <c r="Q166" s="2"/>
    </row>
    <row r="167" customFormat="false" ht="12.75" hidden="false" customHeight="true" outlineLevel="0" collapsed="false">
      <c r="C167" s="70"/>
      <c r="G167" s="2"/>
      <c r="H167" s="41"/>
      <c r="I167" s="41"/>
      <c r="J167" s="41"/>
      <c r="K167" s="41"/>
      <c r="L167" s="41"/>
      <c r="M167" s="41"/>
      <c r="N167" s="41"/>
      <c r="O167" s="41"/>
      <c r="P167" s="52"/>
      <c r="Q167" s="2"/>
    </row>
    <row r="168" customFormat="false" ht="12.75" hidden="false" customHeight="true" outlineLevel="0" collapsed="false">
      <c r="C168" s="70"/>
      <c r="G168" s="2"/>
      <c r="H168" s="41"/>
      <c r="I168" s="41"/>
      <c r="J168" s="41"/>
      <c r="K168" s="41"/>
      <c r="L168" s="41"/>
      <c r="M168" s="41"/>
      <c r="N168" s="41"/>
      <c r="O168" s="41"/>
      <c r="P168" s="52"/>
      <c r="Q168" s="2"/>
    </row>
    <row r="169" customFormat="false" ht="12.75" hidden="false" customHeight="true" outlineLevel="0" collapsed="false">
      <c r="C169" s="70"/>
      <c r="G169" s="2"/>
      <c r="H169" s="41"/>
      <c r="I169" s="41"/>
      <c r="J169" s="41"/>
      <c r="K169" s="41"/>
      <c r="L169" s="41"/>
      <c r="M169" s="41"/>
      <c r="N169" s="41"/>
      <c r="O169" s="41"/>
      <c r="P169" s="52"/>
      <c r="Q169" s="2"/>
    </row>
    <row r="170" customFormat="false" ht="12.75" hidden="false" customHeight="true" outlineLevel="0" collapsed="false">
      <c r="C170" s="70"/>
      <c r="G170" s="2"/>
      <c r="H170" s="41"/>
      <c r="I170" s="41"/>
      <c r="J170" s="41"/>
      <c r="K170" s="41"/>
      <c r="L170" s="41"/>
      <c r="M170" s="41"/>
      <c r="N170" s="41"/>
      <c r="O170" s="41"/>
      <c r="P170" s="52"/>
      <c r="Q170" s="2"/>
    </row>
    <row r="171" customFormat="false" ht="12.75" hidden="false" customHeight="true" outlineLevel="0" collapsed="false">
      <c r="C171" s="70"/>
      <c r="G171" s="2"/>
      <c r="H171" s="41"/>
      <c r="I171" s="41"/>
      <c r="J171" s="41"/>
      <c r="K171" s="41"/>
      <c r="L171" s="41"/>
      <c r="M171" s="41"/>
      <c r="N171" s="41"/>
      <c r="O171" s="41"/>
      <c r="P171" s="52"/>
      <c r="Q171" s="2"/>
    </row>
    <row r="172" customFormat="false" ht="12.75" hidden="false" customHeight="true" outlineLevel="0" collapsed="false">
      <c r="C172" s="70"/>
      <c r="G172" s="2"/>
      <c r="H172" s="41"/>
      <c r="I172" s="41"/>
      <c r="J172" s="41"/>
      <c r="K172" s="41"/>
      <c r="L172" s="41"/>
      <c r="M172" s="41"/>
      <c r="N172" s="41"/>
      <c r="O172" s="41"/>
      <c r="P172" s="52"/>
      <c r="Q172" s="2"/>
    </row>
    <row r="173" customFormat="false" ht="12.75" hidden="false" customHeight="true" outlineLevel="0" collapsed="false">
      <c r="C173" s="70"/>
      <c r="G173" s="2"/>
      <c r="H173" s="41"/>
      <c r="I173" s="41"/>
      <c r="J173" s="41"/>
      <c r="K173" s="41"/>
      <c r="L173" s="41"/>
      <c r="M173" s="41"/>
      <c r="N173" s="41"/>
      <c r="O173" s="41"/>
      <c r="P173" s="52"/>
      <c r="Q173" s="2"/>
    </row>
    <row r="174" customFormat="false" ht="12.75" hidden="false" customHeight="true" outlineLevel="0" collapsed="false">
      <c r="C174" s="70"/>
      <c r="G174" s="2"/>
      <c r="H174" s="41"/>
      <c r="I174" s="41"/>
      <c r="J174" s="41"/>
      <c r="K174" s="41"/>
      <c r="L174" s="41"/>
      <c r="M174" s="41"/>
      <c r="N174" s="41"/>
      <c r="O174" s="41"/>
      <c r="P174" s="52"/>
      <c r="Q174" s="2"/>
    </row>
    <row r="175" customFormat="false" ht="12.75" hidden="false" customHeight="true" outlineLevel="0" collapsed="false">
      <c r="C175" s="70"/>
      <c r="G175" s="2"/>
      <c r="H175" s="41"/>
      <c r="I175" s="41"/>
      <c r="J175" s="41"/>
      <c r="K175" s="41"/>
      <c r="L175" s="41"/>
      <c r="M175" s="41"/>
      <c r="N175" s="41"/>
      <c r="O175" s="41"/>
      <c r="P175" s="52"/>
      <c r="Q175" s="2"/>
    </row>
    <row r="176" customFormat="false" ht="12.75" hidden="false" customHeight="true" outlineLevel="0" collapsed="false">
      <c r="C176" s="70"/>
      <c r="G176" s="2"/>
      <c r="H176" s="41"/>
      <c r="I176" s="41"/>
      <c r="J176" s="41"/>
      <c r="K176" s="41"/>
      <c r="L176" s="41"/>
      <c r="M176" s="41"/>
      <c r="N176" s="41"/>
      <c r="O176" s="41"/>
      <c r="P176" s="52"/>
      <c r="Q176" s="2"/>
    </row>
    <row r="177" customFormat="false" ht="12.75" hidden="false" customHeight="true" outlineLevel="0" collapsed="false">
      <c r="C177" s="70"/>
      <c r="G177" s="2"/>
      <c r="H177" s="41"/>
      <c r="I177" s="41"/>
      <c r="J177" s="41"/>
      <c r="K177" s="41"/>
      <c r="L177" s="41"/>
      <c r="M177" s="41"/>
      <c r="N177" s="41"/>
      <c r="O177" s="41"/>
      <c r="P177" s="52"/>
      <c r="Q177" s="2"/>
    </row>
    <row r="178" customFormat="false" ht="12.75" hidden="false" customHeight="true" outlineLevel="0" collapsed="false">
      <c r="C178" s="70"/>
      <c r="G178" s="2"/>
      <c r="H178" s="41"/>
      <c r="I178" s="41"/>
      <c r="J178" s="41"/>
      <c r="K178" s="41"/>
      <c r="L178" s="41"/>
      <c r="M178" s="41"/>
      <c r="N178" s="41"/>
      <c r="O178" s="41"/>
      <c r="P178" s="52"/>
      <c r="Q178" s="2"/>
    </row>
    <row r="179" customFormat="false" ht="12.75" hidden="false" customHeight="true" outlineLevel="0" collapsed="false">
      <c r="C179" s="70"/>
      <c r="G179" s="2"/>
      <c r="H179" s="41"/>
      <c r="I179" s="41"/>
      <c r="J179" s="41"/>
      <c r="K179" s="41"/>
      <c r="L179" s="41"/>
      <c r="M179" s="41"/>
      <c r="N179" s="41"/>
      <c r="O179" s="41"/>
      <c r="P179" s="52"/>
      <c r="Q179" s="2"/>
    </row>
    <row r="180" customFormat="false" ht="12.75" hidden="false" customHeight="true" outlineLevel="0" collapsed="false">
      <c r="C180" s="70"/>
      <c r="G180" s="2"/>
      <c r="H180" s="41"/>
      <c r="I180" s="41"/>
      <c r="J180" s="41"/>
      <c r="K180" s="41"/>
      <c r="L180" s="41"/>
      <c r="M180" s="41"/>
      <c r="N180" s="41"/>
      <c r="O180" s="41"/>
      <c r="P180" s="52"/>
      <c r="Q180" s="2"/>
    </row>
    <row r="181" customFormat="false" ht="12.75" hidden="false" customHeight="true" outlineLevel="0" collapsed="false">
      <c r="C181" s="70"/>
      <c r="G181" s="2"/>
      <c r="H181" s="41"/>
      <c r="I181" s="41"/>
      <c r="J181" s="41"/>
      <c r="K181" s="41"/>
      <c r="L181" s="41"/>
      <c r="M181" s="41"/>
      <c r="N181" s="41"/>
      <c r="O181" s="41"/>
      <c r="P181" s="52"/>
      <c r="Q181" s="2"/>
    </row>
    <row r="182" customFormat="false" ht="12.75" hidden="false" customHeight="true" outlineLevel="0" collapsed="false">
      <c r="C182" s="70"/>
      <c r="G182" s="2"/>
      <c r="H182" s="41"/>
      <c r="I182" s="41"/>
      <c r="J182" s="41"/>
      <c r="K182" s="41"/>
      <c r="L182" s="41"/>
      <c r="M182" s="41"/>
      <c r="N182" s="41"/>
      <c r="O182" s="41"/>
      <c r="P182" s="52"/>
      <c r="Q182" s="2"/>
    </row>
    <row r="183" customFormat="false" ht="12.75" hidden="false" customHeight="true" outlineLevel="0" collapsed="false">
      <c r="C183" s="70"/>
      <c r="G183" s="2"/>
      <c r="H183" s="41"/>
      <c r="I183" s="41"/>
      <c r="J183" s="41"/>
      <c r="K183" s="41"/>
      <c r="L183" s="41"/>
      <c r="M183" s="41"/>
      <c r="N183" s="41"/>
      <c r="O183" s="41"/>
      <c r="P183" s="52"/>
      <c r="Q183" s="2"/>
    </row>
    <row r="184" customFormat="false" ht="12.75" hidden="false" customHeight="true" outlineLevel="0" collapsed="false">
      <c r="C184" s="70"/>
      <c r="G184" s="2"/>
      <c r="H184" s="41"/>
      <c r="I184" s="41"/>
      <c r="J184" s="41"/>
      <c r="K184" s="41"/>
      <c r="L184" s="41"/>
      <c r="M184" s="41"/>
      <c r="N184" s="41"/>
      <c r="O184" s="41"/>
      <c r="P184" s="52"/>
      <c r="Q184" s="2"/>
    </row>
    <row r="185" customFormat="false" ht="12.75" hidden="false" customHeight="true" outlineLevel="0" collapsed="false">
      <c r="C185" s="70"/>
      <c r="G185" s="2"/>
      <c r="H185" s="41"/>
      <c r="I185" s="41"/>
      <c r="J185" s="41"/>
      <c r="K185" s="41"/>
      <c r="L185" s="41"/>
      <c r="M185" s="41"/>
      <c r="N185" s="41"/>
      <c r="O185" s="41"/>
      <c r="P185" s="52"/>
      <c r="Q185" s="2"/>
    </row>
    <row r="186" customFormat="false" ht="12.75" hidden="false" customHeight="true" outlineLevel="0" collapsed="false">
      <c r="C186" s="70"/>
      <c r="G186" s="2"/>
      <c r="H186" s="41"/>
      <c r="I186" s="41"/>
      <c r="J186" s="41"/>
      <c r="K186" s="41"/>
      <c r="L186" s="41"/>
      <c r="M186" s="41"/>
      <c r="N186" s="41"/>
      <c r="O186" s="41"/>
      <c r="P186" s="52"/>
      <c r="Q186" s="2"/>
    </row>
    <row r="187" customFormat="false" ht="12.75" hidden="false" customHeight="true" outlineLevel="0" collapsed="false">
      <c r="C187" s="70"/>
      <c r="G187" s="2"/>
      <c r="H187" s="41"/>
      <c r="I187" s="41"/>
      <c r="J187" s="41"/>
      <c r="K187" s="41"/>
      <c r="L187" s="41"/>
      <c r="M187" s="41"/>
      <c r="N187" s="41"/>
      <c r="O187" s="41"/>
      <c r="P187" s="52"/>
      <c r="Q187" s="2"/>
    </row>
    <row r="188" customFormat="false" ht="12.75" hidden="false" customHeight="true" outlineLevel="0" collapsed="false">
      <c r="C188" s="70"/>
      <c r="G188" s="2"/>
      <c r="H188" s="41"/>
      <c r="I188" s="41"/>
      <c r="J188" s="41"/>
      <c r="K188" s="41"/>
      <c r="L188" s="41"/>
      <c r="M188" s="41"/>
      <c r="N188" s="41"/>
      <c r="O188" s="41"/>
      <c r="P188" s="52"/>
      <c r="Q188" s="2"/>
    </row>
    <row r="189" customFormat="false" ht="12.75" hidden="false" customHeight="true" outlineLevel="0" collapsed="false">
      <c r="C189" s="70"/>
      <c r="G189" s="2"/>
      <c r="H189" s="41"/>
      <c r="I189" s="41"/>
      <c r="J189" s="41"/>
      <c r="K189" s="41"/>
      <c r="L189" s="41"/>
      <c r="M189" s="41"/>
      <c r="N189" s="41"/>
      <c r="O189" s="41"/>
      <c r="P189" s="52"/>
      <c r="Q189" s="2"/>
    </row>
    <row r="190" customFormat="false" ht="12.75" hidden="false" customHeight="true" outlineLevel="0" collapsed="false">
      <c r="C190" s="70"/>
      <c r="G190" s="2"/>
      <c r="H190" s="41"/>
      <c r="I190" s="41"/>
      <c r="J190" s="41"/>
      <c r="K190" s="41"/>
      <c r="L190" s="41"/>
      <c r="M190" s="41"/>
      <c r="N190" s="41"/>
      <c r="O190" s="41"/>
      <c r="P190" s="52"/>
      <c r="Q190" s="2"/>
    </row>
    <row r="191" customFormat="false" ht="12.75" hidden="false" customHeight="true" outlineLevel="0" collapsed="false">
      <c r="C191" s="70"/>
      <c r="G191" s="2"/>
      <c r="H191" s="41"/>
      <c r="I191" s="41"/>
      <c r="J191" s="41"/>
      <c r="K191" s="41"/>
      <c r="L191" s="41"/>
      <c r="M191" s="41"/>
      <c r="N191" s="41"/>
      <c r="O191" s="41"/>
      <c r="P191" s="52"/>
      <c r="Q191" s="2"/>
    </row>
    <row r="192" customFormat="false" ht="12.75" hidden="false" customHeight="true" outlineLevel="0" collapsed="false">
      <c r="C192" s="70"/>
      <c r="G192" s="2"/>
      <c r="H192" s="41"/>
      <c r="I192" s="41"/>
      <c r="J192" s="41"/>
      <c r="K192" s="41"/>
      <c r="L192" s="41"/>
      <c r="M192" s="41"/>
      <c r="N192" s="41"/>
      <c r="O192" s="41"/>
      <c r="P192" s="52"/>
      <c r="Q192" s="2"/>
    </row>
    <row r="193" customFormat="false" ht="12.75" hidden="false" customHeight="true" outlineLevel="0" collapsed="false">
      <c r="C193" s="70"/>
      <c r="G193" s="2"/>
      <c r="H193" s="41"/>
      <c r="I193" s="41"/>
      <c r="J193" s="41"/>
      <c r="K193" s="41"/>
      <c r="L193" s="41"/>
      <c r="M193" s="41"/>
      <c r="N193" s="41"/>
      <c r="O193" s="41"/>
      <c r="P193" s="52"/>
      <c r="Q193" s="2"/>
    </row>
    <row r="194" customFormat="false" ht="12.75" hidden="false" customHeight="true" outlineLevel="0" collapsed="false">
      <c r="C194" s="70"/>
      <c r="G194" s="2"/>
      <c r="H194" s="41"/>
      <c r="I194" s="41"/>
      <c r="J194" s="41"/>
      <c r="K194" s="41"/>
      <c r="L194" s="41"/>
      <c r="M194" s="41"/>
      <c r="N194" s="41"/>
      <c r="O194" s="41"/>
      <c r="P194" s="52"/>
      <c r="Q194" s="2"/>
    </row>
    <row r="195" customFormat="false" ht="12.75" hidden="false" customHeight="true" outlineLevel="0" collapsed="false">
      <c r="C195" s="70"/>
      <c r="G195" s="2"/>
      <c r="H195" s="41"/>
      <c r="I195" s="41"/>
      <c r="J195" s="41"/>
      <c r="K195" s="41"/>
      <c r="L195" s="41"/>
      <c r="M195" s="41"/>
      <c r="N195" s="41"/>
      <c r="O195" s="41"/>
      <c r="P195" s="52"/>
      <c r="Q195" s="2"/>
    </row>
    <row r="196" customFormat="false" ht="12.75" hidden="false" customHeight="true" outlineLevel="0" collapsed="false">
      <c r="C196" s="70"/>
      <c r="G196" s="2"/>
      <c r="H196" s="41"/>
      <c r="I196" s="41"/>
      <c r="J196" s="41"/>
      <c r="K196" s="41"/>
      <c r="L196" s="41"/>
      <c r="M196" s="41"/>
      <c r="N196" s="41"/>
      <c r="O196" s="41"/>
      <c r="P196" s="52"/>
      <c r="Q196" s="2"/>
    </row>
    <row r="197" customFormat="false" ht="12.75" hidden="false" customHeight="true" outlineLevel="0" collapsed="false">
      <c r="C197" s="70"/>
      <c r="G197" s="2"/>
      <c r="H197" s="41"/>
      <c r="I197" s="41"/>
      <c r="J197" s="41"/>
      <c r="K197" s="41"/>
      <c r="L197" s="41"/>
      <c r="M197" s="41"/>
      <c r="N197" s="41"/>
      <c r="O197" s="41"/>
      <c r="P197" s="52"/>
      <c r="Q197" s="2"/>
    </row>
    <row r="198" customFormat="false" ht="12.75" hidden="false" customHeight="true" outlineLevel="0" collapsed="false">
      <c r="C198" s="70"/>
      <c r="G198" s="2"/>
      <c r="H198" s="41"/>
      <c r="I198" s="41"/>
      <c r="J198" s="41"/>
      <c r="K198" s="41"/>
      <c r="L198" s="41"/>
      <c r="M198" s="41"/>
      <c r="N198" s="41"/>
      <c r="O198" s="41"/>
      <c r="P198" s="52"/>
      <c r="Q198" s="2"/>
    </row>
    <row r="199" customFormat="false" ht="12.75" hidden="false" customHeight="true" outlineLevel="0" collapsed="false">
      <c r="C199" s="70"/>
      <c r="G199" s="2"/>
      <c r="H199" s="41"/>
      <c r="I199" s="41"/>
      <c r="J199" s="41"/>
      <c r="K199" s="41"/>
      <c r="L199" s="41"/>
      <c r="M199" s="41"/>
      <c r="N199" s="41"/>
      <c r="O199" s="41"/>
      <c r="P199" s="52"/>
      <c r="Q199" s="2"/>
    </row>
    <row r="200" customFormat="false" ht="12.75" hidden="false" customHeight="true" outlineLevel="0" collapsed="false">
      <c r="C200" s="70"/>
      <c r="G200" s="2"/>
      <c r="H200" s="41"/>
      <c r="I200" s="41"/>
      <c r="J200" s="41"/>
      <c r="K200" s="41"/>
      <c r="L200" s="41"/>
      <c r="M200" s="41"/>
      <c r="N200" s="41"/>
      <c r="O200" s="41"/>
      <c r="P200" s="52"/>
      <c r="Q200" s="2"/>
    </row>
    <row r="201" customFormat="false" ht="12.75" hidden="false" customHeight="true" outlineLevel="0" collapsed="false">
      <c r="C201" s="70"/>
      <c r="G201" s="2"/>
      <c r="H201" s="41"/>
      <c r="I201" s="41"/>
      <c r="J201" s="41"/>
      <c r="K201" s="41"/>
      <c r="L201" s="41"/>
      <c r="M201" s="41"/>
      <c r="N201" s="41"/>
      <c r="O201" s="41"/>
      <c r="P201" s="52"/>
      <c r="Q201" s="2"/>
    </row>
    <row r="202" customFormat="false" ht="12.75" hidden="false" customHeight="true" outlineLevel="0" collapsed="false">
      <c r="C202" s="70"/>
      <c r="G202" s="2"/>
      <c r="H202" s="41"/>
      <c r="I202" s="41"/>
      <c r="J202" s="41"/>
      <c r="K202" s="41"/>
      <c r="L202" s="41"/>
      <c r="M202" s="41"/>
      <c r="N202" s="41"/>
      <c r="O202" s="41"/>
      <c r="P202" s="52"/>
      <c r="Q202" s="2"/>
    </row>
    <row r="203" customFormat="false" ht="12.75" hidden="false" customHeight="true" outlineLevel="0" collapsed="false">
      <c r="C203" s="70"/>
      <c r="G203" s="2"/>
      <c r="H203" s="41"/>
      <c r="I203" s="41"/>
      <c r="J203" s="41"/>
      <c r="K203" s="41"/>
      <c r="L203" s="41"/>
      <c r="M203" s="41"/>
      <c r="N203" s="41"/>
      <c r="O203" s="41"/>
      <c r="P203" s="52"/>
      <c r="Q203" s="2"/>
    </row>
    <row r="204" customFormat="false" ht="12.75" hidden="false" customHeight="true" outlineLevel="0" collapsed="false">
      <c r="C204" s="70"/>
      <c r="G204" s="2"/>
      <c r="H204" s="41"/>
      <c r="I204" s="41"/>
      <c r="J204" s="41"/>
      <c r="K204" s="41"/>
      <c r="L204" s="41"/>
      <c r="M204" s="41"/>
      <c r="N204" s="41"/>
      <c r="O204" s="41"/>
      <c r="P204" s="52"/>
      <c r="Q204" s="2"/>
    </row>
    <row r="205" customFormat="false" ht="12.75" hidden="false" customHeight="true" outlineLevel="0" collapsed="false">
      <c r="C205" s="70"/>
      <c r="G205" s="2"/>
      <c r="H205" s="41"/>
      <c r="I205" s="41"/>
      <c r="J205" s="41"/>
      <c r="K205" s="41"/>
      <c r="L205" s="41"/>
      <c r="M205" s="41"/>
      <c r="N205" s="41"/>
      <c r="O205" s="41"/>
      <c r="P205" s="52"/>
      <c r="Q205" s="2"/>
    </row>
    <row r="206" customFormat="false" ht="12.75" hidden="false" customHeight="true" outlineLevel="0" collapsed="false">
      <c r="C206" s="70"/>
      <c r="G206" s="2"/>
      <c r="H206" s="41"/>
      <c r="I206" s="41"/>
      <c r="J206" s="41"/>
      <c r="K206" s="41"/>
      <c r="L206" s="41"/>
      <c r="M206" s="41"/>
      <c r="N206" s="41"/>
      <c r="O206" s="41"/>
      <c r="P206" s="52"/>
      <c r="Q206" s="2"/>
    </row>
    <row r="207" customFormat="false" ht="12.75" hidden="false" customHeight="true" outlineLevel="0" collapsed="false">
      <c r="C207" s="70"/>
      <c r="G207" s="2"/>
      <c r="H207" s="41"/>
      <c r="I207" s="41"/>
      <c r="J207" s="41"/>
      <c r="K207" s="41"/>
      <c r="L207" s="41"/>
      <c r="M207" s="41"/>
      <c r="N207" s="41"/>
      <c r="O207" s="41"/>
      <c r="P207" s="52"/>
      <c r="Q207" s="2"/>
    </row>
    <row r="208" customFormat="false" ht="12.75" hidden="false" customHeight="true" outlineLevel="0" collapsed="false">
      <c r="C208" s="70"/>
      <c r="G208" s="2"/>
      <c r="H208" s="41"/>
      <c r="I208" s="41"/>
      <c r="J208" s="41"/>
      <c r="K208" s="41"/>
      <c r="L208" s="41"/>
      <c r="M208" s="41"/>
      <c r="N208" s="41"/>
      <c r="O208" s="41"/>
      <c r="P208" s="52"/>
      <c r="Q208" s="2"/>
    </row>
    <row r="209" customFormat="false" ht="12.75" hidden="false" customHeight="true" outlineLevel="0" collapsed="false">
      <c r="C209" s="70"/>
      <c r="G209" s="2"/>
      <c r="H209" s="41"/>
      <c r="I209" s="41"/>
      <c r="J209" s="41"/>
      <c r="K209" s="41"/>
      <c r="L209" s="41"/>
      <c r="M209" s="41"/>
      <c r="N209" s="41"/>
      <c r="O209" s="41"/>
      <c r="P209" s="52"/>
      <c r="Q209" s="2"/>
    </row>
    <row r="210" customFormat="false" ht="12.75" hidden="false" customHeight="true" outlineLevel="0" collapsed="false">
      <c r="C210" s="70"/>
      <c r="G210" s="2"/>
      <c r="H210" s="41"/>
      <c r="I210" s="41"/>
      <c r="J210" s="41"/>
      <c r="K210" s="41"/>
      <c r="L210" s="41"/>
      <c r="M210" s="41"/>
      <c r="N210" s="41"/>
      <c r="O210" s="41"/>
      <c r="P210" s="52"/>
      <c r="Q210" s="2"/>
    </row>
    <row r="211" customFormat="false" ht="12.75" hidden="false" customHeight="true" outlineLevel="0" collapsed="false">
      <c r="C211" s="70"/>
      <c r="G211" s="2"/>
      <c r="H211" s="41"/>
      <c r="I211" s="41"/>
      <c r="J211" s="41"/>
      <c r="K211" s="41"/>
      <c r="L211" s="41"/>
      <c r="M211" s="41"/>
      <c r="N211" s="41"/>
      <c r="O211" s="41"/>
      <c r="P211" s="52"/>
      <c r="Q211" s="2"/>
    </row>
    <row r="212" customFormat="false" ht="12.75" hidden="false" customHeight="true" outlineLevel="0" collapsed="false">
      <c r="C212" s="70"/>
      <c r="G212" s="2"/>
      <c r="H212" s="41"/>
      <c r="I212" s="41"/>
      <c r="J212" s="41"/>
      <c r="K212" s="41"/>
      <c r="L212" s="41"/>
      <c r="M212" s="41"/>
      <c r="N212" s="41"/>
      <c r="O212" s="41"/>
      <c r="P212" s="52"/>
      <c r="Q212" s="2"/>
    </row>
    <row r="213" customFormat="false" ht="12.75" hidden="false" customHeight="true" outlineLevel="0" collapsed="false">
      <c r="C213" s="70"/>
      <c r="G213" s="2"/>
      <c r="H213" s="41"/>
      <c r="I213" s="41"/>
      <c r="J213" s="41"/>
      <c r="K213" s="41"/>
      <c r="L213" s="41"/>
      <c r="M213" s="41"/>
      <c r="N213" s="41"/>
      <c r="O213" s="41"/>
      <c r="P213" s="52"/>
      <c r="Q213" s="2"/>
    </row>
    <row r="214" customFormat="false" ht="12.75" hidden="false" customHeight="true" outlineLevel="0" collapsed="false">
      <c r="C214" s="70"/>
      <c r="G214" s="2"/>
      <c r="H214" s="41"/>
      <c r="I214" s="41"/>
      <c r="J214" s="41"/>
      <c r="K214" s="41"/>
      <c r="L214" s="41"/>
      <c r="M214" s="41"/>
      <c r="N214" s="41"/>
      <c r="O214" s="41"/>
      <c r="P214" s="52"/>
      <c r="Q214" s="2"/>
    </row>
    <row r="215" customFormat="false" ht="12.75" hidden="false" customHeight="true" outlineLevel="0" collapsed="false">
      <c r="C215" s="70"/>
      <c r="G215" s="2"/>
      <c r="H215" s="41"/>
      <c r="I215" s="41"/>
      <c r="J215" s="41"/>
      <c r="K215" s="41"/>
      <c r="L215" s="41"/>
      <c r="M215" s="41"/>
      <c r="N215" s="41"/>
      <c r="O215" s="41"/>
      <c r="P215" s="52"/>
      <c r="Q215" s="2"/>
    </row>
    <row r="216" customFormat="false" ht="12.75" hidden="false" customHeight="true" outlineLevel="0" collapsed="false">
      <c r="C216" s="70"/>
      <c r="G216" s="2"/>
      <c r="H216" s="41"/>
      <c r="I216" s="41"/>
      <c r="J216" s="41"/>
      <c r="K216" s="41"/>
      <c r="L216" s="41"/>
      <c r="M216" s="41"/>
      <c r="N216" s="41"/>
      <c r="O216" s="41"/>
      <c r="P216" s="52"/>
      <c r="Q216" s="2"/>
    </row>
    <row r="217" customFormat="false" ht="12.75" hidden="false" customHeight="true" outlineLevel="0" collapsed="false">
      <c r="C217" s="70"/>
      <c r="G217" s="2"/>
      <c r="H217" s="41"/>
      <c r="I217" s="41"/>
      <c r="J217" s="41"/>
      <c r="K217" s="41"/>
      <c r="L217" s="41"/>
      <c r="M217" s="41"/>
      <c r="N217" s="41"/>
      <c r="O217" s="41"/>
      <c r="P217" s="52"/>
      <c r="Q217" s="2"/>
    </row>
    <row r="218" customFormat="false" ht="12.75" hidden="false" customHeight="true" outlineLevel="0" collapsed="false">
      <c r="C218" s="70"/>
      <c r="G218" s="2"/>
      <c r="H218" s="41"/>
      <c r="I218" s="41"/>
      <c r="J218" s="41"/>
      <c r="K218" s="41"/>
      <c r="L218" s="41"/>
      <c r="M218" s="41"/>
      <c r="N218" s="41"/>
      <c r="O218" s="41"/>
      <c r="P218" s="52"/>
      <c r="Q218" s="2"/>
    </row>
    <row r="219" customFormat="false" ht="12.75" hidden="false" customHeight="true" outlineLevel="0" collapsed="false">
      <c r="C219" s="70"/>
      <c r="G219" s="2"/>
      <c r="H219" s="41"/>
      <c r="I219" s="41"/>
      <c r="J219" s="41"/>
      <c r="K219" s="41"/>
      <c r="L219" s="41"/>
      <c r="M219" s="41"/>
      <c r="N219" s="41"/>
      <c r="O219" s="41"/>
      <c r="P219" s="52"/>
      <c r="Q219" s="2"/>
    </row>
    <row r="220" customFormat="false" ht="12.75" hidden="false" customHeight="true" outlineLevel="0" collapsed="false">
      <c r="C220" s="70"/>
      <c r="G220" s="2"/>
      <c r="H220" s="41"/>
      <c r="I220" s="41"/>
      <c r="J220" s="41"/>
      <c r="K220" s="41"/>
      <c r="L220" s="41"/>
      <c r="M220" s="41"/>
      <c r="N220" s="41"/>
      <c r="O220" s="41"/>
      <c r="P220" s="52"/>
      <c r="Q220" s="2"/>
    </row>
    <row r="221" customFormat="false" ht="12.75" hidden="false" customHeight="true" outlineLevel="0" collapsed="false">
      <c r="C221" s="70"/>
      <c r="G221" s="2"/>
      <c r="H221" s="41"/>
      <c r="I221" s="41"/>
      <c r="J221" s="41"/>
      <c r="K221" s="41"/>
      <c r="L221" s="41"/>
      <c r="M221" s="41"/>
      <c r="N221" s="41"/>
      <c r="O221" s="41"/>
      <c r="P221" s="52"/>
      <c r="Q221" s="2"/>
    </row>
    <row r="222" customFormat="false" ht="12.75" hidden="false" customHeight="true" outlineLevel="0" collapsed="false">
      <c r="C222" s="70"/>
      <c r="G222" s="2"/>
      <c r="H222" s="41"/>
      <c r="I222" s="41"/>
      <c r="J222" s="41"/>
      <c r="K222" s="41"/>
      <c r="L222" s="41"/>
      <c r="M222" s="41"/>
      <c r="N222" s="41"/>
      <c r="O222" s="41"/>
      <c r="P222" s="52"/>
      <c r="Q222" s="2"/>
    </row>
    <row r="223" customFormat="false" ht="12.75" hidden="false" customHeight="true" outlineLevel="0" collapsed="false">
      <c r="C223" s="70"/>
      <c r="G223" s="2"/>
      <c r="H223" s="41"/>
      <c r="I223" s="41"/>
      <c r="J223" s="41"/>
      <c r="K223" s="41"/>
      <c r="L223" s="41"/>
      <c r="M223" s="41"/>
      <c r="N223" s="41"/>
      <c r="O223" s="41"/>
      <c r="P223" s="52"/>
      <c r="Q223" s="2"/>
    </row>
    <row r="224" customFormat="false" ht="12.75" hidden="false" customHeight="true" outlineLevel="0" collapsed="false">
      <c r="C224" s="70"/>
      <c r="G224" s="2"/>
      <c r="H224" s="41"/>
      <c r="I224" s="41"/>
      <c r="J224" s="41"/>
      <c r="K224" s="41"/>
      <c r="L224" s="41"/>
      <c r="M224" s="41"/>
      <c r="N224" s="41"/>
      <c r="O224" s="41"/>
      <c r="P224" s="52"/>
      <c r="Q224" s="2"/>
    </row>
    <row r="225" customFormat="false" ht="12.75" hidden="false" customHeight="true" outlineLevel="0" collapsed="false">
      <c r="C225" s="70"/>
      <c r="G225" s="2"/>
      <c r="H225" s="41"/>
      <c r="I225" s="41"/>
      <c r="J225" s="41"/>
      <c r="K225" s="41"/>
      <c r="L225" s="41"/>
      <c r="M225" s="41"/>
      <c r="N225" s="41"/>
      <c r="O225" s="41"/>
      <c r="P225" s="52"/>
      <c r="Q225" s="2"/>
    </row>
    <row r="226" customFormat="false" ht="12.75" hidden="false" customHeight="true" outlineLevel="0" collapsed="false">
      <c r="C226" s="70"/>
      <c r="G226" s="2"/>
      <c r="H226" s="41"/>
      <c r="I226" s="41"/>
      <c r="J226" s="41"/>
      <c r="K226" s="41"/>
      <c r="L226" s="41"/>
      <c r="M226" s="41"/>
      <c r="N226" s="41"/>
      <c r="O226" s="41"/>
      <c r="P226" s="52"/>
      <c r="Q226" s="2"/>
    </row>
    <row r="227" customFormat="false" ht="12.75" hidden="false" customHeight="true" outlineLevel="0" collapsed="false">
      <c r="C227" s="70"/>
      <c r="G227" s="2"/>
      <c r="H227" s="41"/>
      <c r="I227" s="41"/>
      <c r="J227" s="41"/>
      <c r="K227" s="41"/>
      <c r="L227" s="41"/>
      <c r="M227" s="41"/>
      <c r="N227" s="41"/>
      <c r="O227" s="41"/>
      <c r="P227" s="52"/>
      <c r="Q227" s="2"/>
    </row>
    <row r="228" customFormat="false" ht="12.75" hidden="false" customHeight="true" outlineLevel="0" collapsed="false">
      <c r="C228" s="70"/>
      <c r="G228" s="2"/>
      <c r="H228" s="41"/>
      <c r="I228" s="41"/>
      <c r="J228" s="41"/>
      <c r="K228" s="41"/>
      <c r="L228" s="41"/>
      <c r="M228" s="41"/>
      <c r="N228" s="41"/>
      <c r="O228" s="41"/>
      <c r="P228" s="52"/>
      <c r="Q228" s="2"/>
    </row>
    <row r="229" customFormat="false" ht="12.75" hidden="false" customHeight="true" outlineLevel="0" collapsed="false">
      <c r="C229" s="70"/>
      <c r="G229" s="2"/>
      <c r="H229" s="41"/>
      <c r="I229" s="41"/>
      <c r="J229" s="41"/>
      <c r="K229" s="41"/>
      <c r="L229" s="41"/>
      <c r="M229" s="41"/>
      <c r="N229" s="41"/>
      <c r="O229" s="41"/>
      <c r="P229" s="52"/>
      <c r="Q229" s="2"/>
    </row>
    <row r="230" customFormat="false" ht="12.75" hidden="false" customHeight="true" outlineLevel="0" collapsed="false">
      <c r="C230" s="70"/>
      <c r="G230" s="2"/>
      <c r="H230" s="41"/>
      <c r="I230" s="41"/>
      <c r="J230" s="41"/>
      <c r="K230" s="41"/>
      <c r="L230" s="41"/>
      <c r="M230" s="41"/>
      <c r="N230" s="41"/>
      <c r="O230" s="41"/>
      <c r="P230" s="52"/>
      <c r="Q230" s="2"/>
    </row>
    <row r="231" customFormat="false" ht="12.75" hidden="false" customHeight="true" outlineLevel="0" collapsed="false">
      <c r="C231" s="70"/>
      <c r="G231" s="2"/>
      <c r="H231" s="41"/>
      <c r="I231" s="41"/>
      <c r="J231" s="41"/>
      <c r="K231" s="41"/>
      <c r="L231" s="41"/>
      <c r="M231" s="41"/>
      <c r="N231" s="41"/>
      <c r="O231" s="41"/>
      <c r="P231" s="52"/>
      <c r="Q231" s="2"/>
    </row>
    <row r="232" customFormat="false" ht="12.75" hidden="false" customHeight="true" outlineLevel="0" collapsed="false">
      <c r="C232" s="70"/>
      <c r="G232" s="2"/>
      <c r="H232" s="41"/>
      <c r="I232" s="41"/>
      <c r="J232" s="41"/>
      <c r="K232" s="41"/>
      <c r="L232" s="41"/>
      <c r="M232" s="41"/>
      <c r="N232" s="41"/>
      <c r="O232" s="41"/>
      <c r="P232" s="52"/>
      <c r="Q232" s="2"/>
    </row>
    <row r="233" customFormat="false" ht="12.75" hidden="false" customHeight="true" outlineLevel="0" collapsed="false">
      <c r="C233" s="70"/>
      <c r="G233" s="2"/>
      <c r="H233" s="41"/>
      <c r="I233" s="41"/>
      <c r="J233" s="41"/>
      <c r="K233" s="41"/>
      <c r="L233" s="41"/>
      <c r="M233" s="41"/>
      <c r="N233" s="41"/>
      <c r="O233" s="41"/>
      <c r="P233" s="52"/>
      <c r="Q233" s="2"/>
    </row>
    <row r="234" customFormat="false" ht="12.75" hidden="false" customHeight="true" outlineLevel="0" collapsed="false">
      <c r="C234" s="70"/>
      <c r="G234" s="2"/>
      <c r="H234" s="41"/>
      <c r="I234" s="41"/>
      <c r="J234" s="41"/>
      <c r="K234" s="41"/>
      <c r="L234" s="41"/>
      <c r="M234" s="41"/>
      <c r="N234" s="41"/>
      <c r="O234" s="41"/>
      <c r="P234" s="52"/>
      <c r="Q234" s="2"/>
    </row>
    <row r="235" customFormat="false" ht="12.75" hidden="false" customHeight="true" outlineLevel="0" collapsed="false">
      <c r="C235" s="70"/>
      <c r="G235" s="2"/>
      <c r="H235" s="41"/>
      <c r="I235" s="41"/>
      <c r="J235" s="41"/>
      <c r="K235" s="41"/>
      <c r="L235" s="41"/>
      <c r="M235" s="41"/>
      <c r="N235" s="41"/>
      <c r="O235" s="41"/>
      <c r="P235" s="52"/>
      <c r="Q235" s="2"/>
    </row>
    <row r="236" customFormat="false" ht="12.75" hidden="false" customHeight="true" outlineLevel="0" collapsed="false">
      <c r="C236" s="70"/>
      <c r="G236" s="2"/>
      <c r="H236" s="41"/>
      <c r="I236" s="41"/>
      <c r="J236" s="41"/>
      <c r="K236" s="41"/>
      <c r="L236" s="41"/>
      <c r="M236" s="41"/>
      <c r="N236" s="41"/>
      <c r="O236" s="41"/>
      <c r="P236" s="52"/>
      <c r="Q236" s="2"/>
    </row>
    <row r="237" customFormat="false" ht="12.75" hidden="false" customHeight="true" outlineLevel="0" collapsed="false">
      <c r="C237" s="70"/>
      <c r="G237" s="2"/>
      <c r="H237" s="41"/>
      <c r="I237" s="41"/>
      <c r="J237" s="41"/>
      <c r="K237" s="41"/>
      <c r="L237" s="41"/>
      <c r="M237" s="41"/>
      <c r="N237" s="41"/>
      <c r="O237" s="41"/>
      <c r="P237" s="52"/>
      <c r="Q237" s="2"/>
    </row>
    <row r="238" customFormat="false" ht="12.75" hidden="false" customHeight="true" outlineLevel="0" collapsed="false">
      <c r="C238" s="70"/>
      <c r="G238" s="2"/>
      <c r="H238" s="41"/>
      <c r="I238" s="41"/>
      <c r="J238" s="41"/>
      <c r="K238" s="41"/>
      <c r="L238" s="41"/>
      <c r="M238" s="41"/>
      <c r="N238" s="41"/>
      <c r="O238" s="41"/>
      <c r="P238" s="52"/>
      <c r="Q238" s="2"/>
    </row>
    <row r="239" customFormat="false" ht="12.75" hidden="false" customHeight="true" outlineLevel="0" collapsed="false">
      <c r="C239" s="70"/>
      <c r="G239" s="2"/>
      <c r="H239" s="41"/>
      <c r="I239" s="41"/>
      <c r="J239" s="41"/>
      <c r="K239" s="41"/>
      <c r="L239" s="41"/>
      <c r="M239" s="41"/>
      <c r="N239" s="41"/>
      <c r="O239" s="41"/>
      <c r="P239" s="52"/>
      <c r="Q239" s="2"/>
    </row>
    <row r="240" customFormat="false" ht="12.75" hidden="false" customHeight="true" outlineLevel="0" collapsed="false">
      <c r="C240" s="70"/>
      <c r="G240" s="2"/>
      <c r="H240" s="41"/>
      <c r="I240" s="41"/>
      <c r="J240" s="41"/>
      <c r="K240" s="41"/>
      <c r="L240" s="41"/>
      <c r="M240" s="41"/>
      <c r="N240" s="41"/>
      <c r="O240" s="41"/>
      <c r="P240" s="52"/>
      <c r="Q240" s="2"/>
    </row>
    <row r="241" customFormat="false" ht="12.75" hidden="false" customHeight="true" outlineLevel="0" collapsed="false">
      <c r="C241" s="70"/>
      <c r="G241" s="2"/>
      <c r="H241" s="41"/>
      <c r="I241" s="41"/>
      <c r="J241" s="41"/>
      <c r="K241" s="41"/>
      <c r="L241" s="41"/>
      <c r="M241" s="41"/>
      <c r="N241" s="41"/>
      <c r="O241" s="41"/>
      <c r="P241" s="52"/>
      <c r="Q241" s="2"/>
    </row>
    <row r="242" customFormat="false" ht="12.75" hidden="false" customHeight="true" outlineLevel="0" collapsed="false">
      <c r="C242" s="70"/>
      <c r="G242" s="2"/>
      <c r="H242" s="41"/>
      <c r="I242" s="41"/>
      <c r="J242" s="41"/>
      <c r="K242" s="41"/>
      <c r="L242" s="41"/>
      <c r="M242" s="41"/>
      <c r="N242" s="41"/>
      <c r="O242" s="41"/>
      <c r="P242" s="52"/>
      <c r="Q242" s="2"/>
    </row>
    <row r="243" customFormat="false" ht="12.75" hidden="false" customHeight="true" outlineLevel="0" collapsed="false">
      <c r="C243" s="70"/>
      <c r="G243" s="2"/>
      <c r="H243" s="41"/>
      <c r="I243" s="41"/>
      <c r="J243" s="41"/>
      <c r="K243" s="41"/>
      <c r="L243" s="41"/>
      <c r="M243" s="41"/>
      <c r="N243" s="41"/>
      <c r="O243" s="41"/>
      <c r="P243" s="52"/>
      <c r="Q243" s="2"/>
    </row>
    <row r="244" customFormat="false" ht="12.75" hidden="false" customHeight="true" outlineLevel="0" collapsed="false">
      <c r="C244" s="70"/>
      <c r="G244" s="2"/>
      <c r="H244" s="41"/>
      <c r="I244" s="41"/>
      <c r="J244" s="41"/>
      <c r="K244" s="41"/>
      <c r="L244" s="41"/>
      <c r="M244" s="41"/>
      <c r="N244" s="41"/>
      <c r="O244" s="41"/>
      <c r="P244" s="52"/>
      <c r="Q244" s="2"/>
    </row>
    <row r="245" customFormat="false" ht="12.75" hidden="false" customHeight="true" outlineLevel="0" collapsed="false">
      <c r="C245" s="70"/>
      <c r="G245" s="2"/>
      <c r="H245" s="41"/>
      <c r="I245" s="41"/>
      <c r="J245" s="41"/>
      <c r="K245" s="41"/>
      <c r="L245" s="41"/>
      <c r="M245" s="41"/>
      <c r="N245" s="41"/>
      <c r="O245" s="41"/>
      <c r="P245" s="52"/>
      <c r="Q245" s="2"/>
    </row>
    <row r="246" customFormat="false" ht="12.75" hidden="false" customHeight="true" outlineLevel="0" collapsed="false">
      <c r="C246" s="70"/>
      <c r="G246" s="2"/>
      <c r="H246" s="41"/>
      <c r="I246" s="41"/>
      <c r="J246" s="41"/>
      <c r="K246" s="41"/>
      <c r="L246" s="41"/>
      <c r="M246" s="41"/>
      <c r="N246" s="41"/>
      <c r="O246" s="41"/>
      <c r="P246" s="52"/>
      <c r="Q246" s="2"/>
    </row>
    <row r="247" customFormat="false" ht="12.75" hidden="false" customHeight="true" outlineLevel="0" collapsed="false">
      <c r="C247" s="70"/>
      <c r="G247" s="2"/>
      <c r="H247" s="41"/>
      <c r="I247" s="41"/>
      <c r="J247" s="41"/>
      <c r="K247" s="41"/>
      <c r="L247" s="41"/>
      <c r="M247" s="41"/>
      <c r="N247" s="41"/>
      <c r="O247" s="41"/>
      <c r="P247" s="52"/>
      <c r="Q247" s="2"/>
    </row>
    <row r="248" customFormat="false" ht="12.75" hidden="false" customHeight="true" outlineLevel="0" collapsed="false">
      <c r="C248" s="70"/>
      <c r="G248" s="2"/>
      <c r="H248" s="41"/>
      <c r="I248" s="41"/>
      <c r="J248" s="41"/>
      <c r="K248" s="41"/>
      <c r="L248" s="41"/>
      <c r="M248" s="41"/>
      <c r="N248" s="41"/>
      <c r="O248" s="41"/>
      <c r="P248" s="52"/>
      <c r="Q248" s="2"/>
    </row>
    <row r="249" customFormat="false" ht="12.75" hidden="false" customHeight="true" outlineLevel="0" collapsed="false">
      <c r="C249" s="70"/>
      <c r="G249" s="2"/>
      <c r="H249" s="41"/>
      <c r="I249" s="41"/>
      <c r="J249" s="41"/>
      <c r="K249" s="41"/>
      <c r="L249" s="41"/>
      <c r="M249" s="41"/>
      <c r="N249" s="41"/>
      <c r="O249" s="41"/>
      <c r="P249" s="52"/>
      <c r="Q249" s="2"/>
    </row>
    <row r="250" customFormat="false" ht="12.75" hidden="false" customHeight="true" outlineLevel="0" collapsed="false">
      <c r="C250" s="70"/>
      <c r="G250" s="2"/>
      <c r="H250" s="41"/>
      <c r="I250" s="41"/>
      <c r="J250" s="41"/>
      <c r="K250" s="41"/>
      <c r="L250" s="41"/>
      <c r="M250" s="41"/>
      <c r="N250" s="41"/>
      <c r="O250" s="41"/>
      <c r="P250" s="52"/>
      <c r="Q250" s="2"/>
    </row>
    <row r="251" customFormat="false" ht="12.75" hidden="false" customHeight="true" outlineLevel="0" collapsed="false">
      <c r="C251" s="70"/>
      <c r="G251" s="2"/>
      <c r="H251" s="41"/>
      <c r="I251" s="41"/>
      <c r="J251" s="41"/>
      <c r="K251" s="41"/>
      <c r="L251" s="41"/>
      <c r="M251" s="41"/>
      <c r="N251" s="41"/>
      <c r="O251" s="41"/>
      <c r="P251" s="52"/>
      <c r="Q251" s="2"/>
    </row>
    <row r="252" customFormat="false" ht="12.75" hidden="false" customHeight="true" outlineLevel="0" collapsed="false">
      <c r="C252" s="70"/>
      <c r="G252" s="2"/>
      <c r="H252" s="41"/>
      <c r="I252" s="41"/>
      <c r="J252" s="41"/>
      <c r="K252" s="41"/>
      <c r="L252" s="41"/>
      <c r="M252" s="41"/>
      <c r="N252" s="41"/>
      <c r="O252" s="41"/>
      <c r="P252" s="52"/>
      <c r="Q252" s="2"/>
    </row>
    <row r="253" customFormat="false" ht="12.75" hidden="false" customHeight="true" outlineLevel="0" collapsed="false">
      <c r="C253" s="70"/>
      <c r="G253" s="2"/>
      <c r="H253" s="41"/>
      <c r="I253" s="41"/>
      <c r="J253" s="41"/>
      <c r="K253" s="41"/>
      <c r="L253" s="41"/>
      <c r="M253" s="41"/>
      <c r="N253" s="41"/>
      <c r="O253" s="41"/>
      <c r="P253" s="52"/>
      <c r="Q253" s="2"/>
    </row>
    <row r="254" customFormat="false" ht="12.75" hidden="false" customHeight="true" outlineLevel="0" collapsed="false">
      <c r="C254" s="70"/>
      <c r="G254" s="2"/>
      <c r="H254" s="41"/>
      <c r="I254" s="41"/>
      <c r="J254" s="41"/>
      <c r="K254" s="41"/>
      <c r="L254" s="41"/>
      <c r="M254" s="41"/>
      <c r="N254" s="41"/>
      <c r="O254" s="41"/>
      <c r="P254" s="52"/>
      <c r="Q254" s="2"/>
    </row>
    <row r="255" customFormat="false" ht="12.75" hidden="false" customHeight="true" outlineLevel="0" collapsed="false">
      <c r="C255" s="70"/>
      <c r="G255" s="2"/>
      <c r="H255" s="41"/>
      <c r="I255" s="41"/>
      <c r="J255" s="41"/>
      <c r="K255" s="41"/>
      <c r="L255" s="41"/>
      <c r="M255" s="41"/>
      <c r="N255" s="41"/>
      <c r="O255" s="41"/>
      <c r="P255" s="52"/>
      <c r="Q255" s="2"/>
    </row>
    <row r="256" customFormat="false" ht="12.75" hidden="false" customHeight="true" outlineLevel="0" collapsed="false">
      <c r="C256" s="70"/>
      <c r="G256" s="2"/>
      <c r="H256" s="41"/>
      <c r="I256" s="41"/>
      <c r="J256" s="41"/>
      <c r="K256" s="41"/>
      <c r="L256" s="41"/>
      <c r="M256" s="41"/>
      <c r="N256" s="41"/>
      <c r="O256" s="41"/>
      <c r="P256" s="52"/>
      <c r="Q256" s="2"/>
    </row>
    <row r="257" customFormat="false" ht="12.75" hidden="false" customHeight="true" outlineLevel="0" collapsed="false">
      <c r="C257" s="70"/>
      <c r="G257" s="2"/>
      <c r="H257" s="41"/>
      <c r="I257" s="41"/>
      <c r="J257" s="41"/>
      <c r="K257" s="41"/>
      <c r="L257" s="41"/>
      <c r="M257" s="41"/>
      <c r="N257" s="41"/>
      <c r="O257" s="41"/>
      <c r="P257" s="52"/>
      <c r="Q257" s="2"/>
    </row>
    <row r="258" customFormat="false" ht="12.75" hidden="false" customHeight="true" outlineLevel="0" collapsed="false">
      <c r="C258" s="70"/>
      <c r="G258" s="2"/>
      <c r="H258" s="41"/>
      <c r="I258" s="41"/>
      <c r="J258" s="41"/>
      <c r="K258" s="41"/>
      <c r="L258" s="41"/>
      <c r="M258" s="41"/>
      <c r="N258" s="41"/>
      <c r="O258" s="41"/>
      <c r="P258" s="52"/>
      <c r="Q258" s="2"/>
    </row>
    <row r="259" customFormat="false" ht="12.75" hidden="false" customHeight="true" outlineLevel="0" collapsed="false">
      <c r="C259" s="70"/>
      <c r="G259" s="2"/>
      <c r="H259" s="41"/>
      <c r="I259" s="41"/>
      <c r="J259" s="41"/>
      <c r="K259" s="41"/>
      <c r="L259" s="41"/>
      <c r="M259" s="41"/>
      <c r="N259" s="41"/>
      <c r="O259" s="41"/>
      <c r="P259" s="52"/>
      <c r="Q259" s="2"/>
    </row>
    <row r="260" customFormat="false" ht="12.75" hidden="false" customHeight="true" outlineLevel="0" collapsed="false">
      <c r="C260" s="70"/>
      <c r="G260" s="2"/>
      <c r="H260" s="41"/>
      <c r="I260" s="41"/>
      <c r="J260" s="41"/>
      <c r="K260" s="41"/>
      <c r="L260" s="41"/>
      <c r="M260" s="41"/>
      <c r="N260" s="41"/>
      <c r="O260" s="41"/>
      <c r="P260" s="52"/>
      <c r="Q260" s="2"/>
    </row>
    <row r="261" customFormat="false" ht="12.75" hidden="false" customHeight="true" outlineLevel="0" collapsed="false">
      <c r="C261" s="70"/>
      <c r="G261" s="2"/>
      <c r="H261" s="41"/>
      <c r="I261" s="41"/>
      <c r="J261" s="41"/>
      <c r="K261" s="41"/>
      <c r="L261" s="41"/>
      <c r="M261" s="41"/>
      <c r="N261" s="41"/>
      <c r="O261" s="41"/>
      <c r="P261" s="52"/>
      <c r="Q261" s="2"/>
    </row>
    <row r="262" customFormat="false" ht="12.75" hidden="false" customHeight="true" outlineLevel="0" collapsed="false">
      <c r="C262" s="70"/>
      <c r="G262" s="2"/>
      <c r="H262" s="41"/>
      <c r="I262" s="41"/>
      <c r="J262" s="41"/>
      <c r="K262" s="41"/>
      <c r="L262" s="41"/>
      <c r="M262" s="41"/>
      <c r="N262" s="41"/>
      <c r="O262" s="41"/>
      <c r="P262" s="52"/>
      <c r="Q262" s="2"/>
    </row>
    <row r="263" customFormat="false" ht="12.75" hidden="false" customHeight="true" outlineLevel="0" collapsed="false">
      <c r="C263" s="70"/>
      <c r="G263" s="2"/>
      <c r="H263" s="41"/>
      <c r="I263" s="41"/>
      <c r="J263" s="41"/>
      <c r="K263" s="41"/>
      <c r="L263" s="41"/>
      <c r="M263" s="41"/>
      <c r="N263" s="41"/>
      <c r="O263" s="41"/>
      <c r="P263" s="52"/>
      <c r="Q263" s="2"/>
    </row>
    <row r="264" customFormat="false" ht="12.75" hidden="false" customHeight="true" outlineLevel="0" collapsed="false">
      <c r="C264" s="70"/>
      <c r="G264" s="2"/>
      <c r="H264" s="41"/>
      <c r="I264" s="41"/>
      <c r="J264" s="41"/>
      <c r="K264" s="41"/>
      <c r="L264" s="41"/>
      <c r="M264" s="41"/>
      <c r="N264" s="41"/>
      <c r="O264" s="41"/>
      <c r="P264" s="52"/>
      <c r="Q264" s="2"/>
    </row>
    <row r="265" customFormat="false" ht="12.75" hidden="false" customHeight="true" outlineLevel="0" collapsed="false">
      <c r="C265" s="70"/>
      <c r="G265" s="2"/>
      <c r="H265" s="41"/>
      <c r="I265" s="41"/>
      <c r="J265" s="41"/>
      <c r="K265" s="41"/>
      <c r="L265" s="41"/>
      <c r="M265" s="41"/>
      <c r="N265" s="41"/>
      <c r="O265" s="41"/>
      <c r="P265" s="52"/>
      <c r="Q265" s="2"/>
    </row>
    <row r="266" customFormat="false" ht="12.75" hidden="false" customHeight="true" outlineLevel="0" collapsed="false">
      <c r="C266" s="70"/>
      <c r="G266" s="2"/>
      <c r="H266" s="41"/>
      <c r="I266" s="41"/>
      <c r="J266" s="41"/>
      <c r="K266" s="41"/>
      <c r="L266" s="41"/>
      <c r="M266" s="41"/>
      <c r="N266" s="41"/>
      <c r="O266" s="41"/>
      <c r="P266" s="52"/>
      <c r="Q266" s="2"/>
    </row>
    <row r="267" customFormat="false" ht="12.75" hidden="false" customHeight="true" outlineLevel="0" collapsed="false">
      <c r="C267" s="70"/>
      <c r="G267" s="2"/>
      <c r="H267" s="41"/>
      <c r="I267" s="41"/>
      <c r="J267" s="41"/>
      <c r="K267" s="41"/>
      <c r="L267" s="41"/>
      <c r="M267" s="41"/>
      <c r="N267" s="41"/>
      <c r="O267" s="41"/>
      <c r="P267" s="52"/>
      <c r="Q267" s="2"/>
    </row>
    <row r="268" customFormat="false" ht="12.75" hidden="false" customHeight="true" outlineLevel="0" collapsed="false">
      <c r="C268" s="70"/>
      <c r="G268" s="2"/>
      <c r="H268" s="41"/>
      <c r="I268" s="41"/>
      <c r="J268" s="41"/>
      <c r="K268" s="41"/>
      <c r="L268" s="41"/>
      <c r="M268" s="41"/>
      <c r="N268" s="41"/>
      <c r="O268" s="41"/>
      <c r="P268" s="52"/>
      <c r="Q268" s="2"/>
    </row>
    <row r="269" customFormat="false" ht="12.75" hidden="false" customHeight="true" outlineLevel="0" collapsed="false">
      <c r="C269" s="70"/>
      <c r="G269" s="2"/>
      <c r="H269" s="41"/>
      <c r="I269" s="41"/>
      <c r="J269" s="41"/>
      <c r="K269" s="41"/>
      <c r="L269" s="41"/>
      <c r="M269" s="41"/>
      <c r="N269" s="41"/>
      <c r="O269" s="41"/>
      <c r="P269" s="52"/>
      <c r="Q269" s="2"/>
    </row>
    <row r="270" customFormat="false" ht="12.75" hidden="false" customHeight="true" outlineLevel="0" collapsed="false">
      <c r="C270" s="70"/>
      <c r="G270" s="2"/>
      <c r="H270" s="41"/>
      <c r="I270" s="41"/>
      <c r="J270" s="41"/>
      <c r="K270" s="41"/>
      <c r="L270" s="41"/>
      <c r="M270" s="41"/>
      <c r="N270" s="41"/>
      <c r="O270" s="41"/>
      <c r="P270" s="52"/>
      <c r="Q270" s="2"/>
    </row>
    <row r="271" customFormat="false" ht="12.75" hidden="false" customHeight="true" outlineLevel="0" collapsed="false">
      <c r="C271" s="70"/>
      <c r="G271" s="2"/>
      <c r="H271" s="41"/>
      <c r="I271" s="41"/>
      <c r="J271" s="41"/>
      <c r="K271" s="41"/>
      <c r="L271" s="41"/>
      <c r="M271" s="41"/>
      <c r="N271" s="41"/>
      <c r="O271" s="41"/>
      <c r="P271" s="52"/>
      <c r="Q271" s="2"/>
    </row>
    <row r="272" customFormat="false" ht="12.75" hidden="false" customHeight="true" outlineLevel="0" collapsed="false">
      <c r="C272" s="70"/>
      <c r="G272" s="2"/>
      <c r="H272" s="41"/>
      <c r="I272" s="41"/>
      <c r="J272" s="41"/>
      <c r="K272" s="41"/>
      <c r="L272" s="41"/>
      <c r="M272" s="41"/>
      <c r="N272" s="41"/>
      <c r="O272" s="41"/>
      <c r="P272" s="52"/>
      <c r="Q272" s="2"/>
    </row>
    <row r="273" customFormat="false" ht="12.75" hidden="false" customHeight="true" outlineLevel="0" collapsed="false">
      <c r="C273" s="70"/>
      <c r="G273" s="2"/>
      <c r="H273" s="41"/>
      <c r="I273" s="41"/>
      <c r="J273" s="41"/>
      <c r="K273" s="41"/>
      <c r="L273" s="41"/>
      <c r="M273" s="41"/>
      <c r="N273" s="41"/>
      <c r="O273" s="41"/>
      <c r="P273" s="52"/>
      <c r="Q273" s="2"/>
    </row>
    <row r="274" customFormat="false" ht="12.75" hidden="false" customHeight="true" outlineLevel="0" collapsed="false">
      <c r="C274" s="70"/>
      <c r="G274" s="2"/>
      <c r="H274" s="41"/>
      <c r="I274" s="41"/>
      <c r="J274" s="41"/>
      <c r="K274" s="41"/>
      <c r="L274" s="41"/>
      <c r="M274" s="41"/>
      <c r="N274" s="41"/>
      <c r="O274" s="41"/>
      <c r="P274" s="52"/>
      <c r="Q274" s="2"/>
    </row>
    <row r="275" customFormat="false" ht="12.75" hidden="false" customHeight="true" outlineLevel="0" collapsed="false">
      <c r="C275" s="70"/>
      <c r="G275" s="2"/>
      <c r="H275" s="41"/>
      <c r="I275" s="41"/>
      <c r="J275" s="41"/>
      <c r="K275" s="41"/>
      <c r="L275" s="41"/>
      <c r="M275" s="41"/>
      <c r="N275" s="41"/>
      <c r="O275" s="41"/>
      <c r="P275" s="52"/>
      <c r="Q275" s="2"/>
    </row>
    <row r="276" customFormat="false" ht="12.75" hidden="false" customHeight="true" outlineLevel="0" collapsed="false">
      <c r="C276" s="70"/>
      <c r="G276" s="2"/>
      <c r="H276" s="41"/>
      <c r="I276" s="41"/>
      <c r="J276" s="41"/>
      <c r="K276" s="41"/>
      <c r="L276" s="41"/>
      <c r="M276" s="41"/>
      <c r="N276" s="41"/>
      <c r="O276" s="41"/>
      <c r="P276" s="52"/>
      <c r="Q276" s="2"/>
    </row>
    <row r="277" customFormat="false" ht="12.75" hidden="false" customHeight="true" outlineLevel="0" collapsed="false">
      <c r="C277" s="70"/>
      <c r="G277" s="2"/>
      <c r="H277" s="41"/>
      <c r="I277" s="41"/>
      <c r="J277" s="41"/>
      <c r="K277" s="41"/>
      <c r="L277" s="41"/>
      <c r="M277" s="41"/>
      <c r="N277" s="41"/>
      <c r="O277" s="41"/>
      <c r="P277" s="52"/>
      <c r="Q277" s="2"/>
    </row>
    <row r="278" customFormat="false" ht="12.75" hidden="false" customHeight="true" outlineLevel="0" collapsed="false">
      <c r="C278" s="70"/>
      <c r="G278" s="2"/>
      <c r="H278" s="41"/>
      <c r="I278" s="41"/>
      <c r="J278" s="41"/>
      <c r="K278" s="41"/>
      <c r="L278" s="41"/>
      <c r="M278" s="41"/>
      <c r="N278" s="41"/>
      <c r="O278" s="41"/>
      <c r="P278" s="52"/>
      <c r="Q278" s="2"/>
    </row>
    <row r="279" customFormat="false" ht="12.75" hidden="false" customHeight="true" outlineLevel="0" collapsed="false">
      <c r="C279" s="70"/>
      <c r="G279" s="2"/>
      <c r="H279" s="41"/>
      <c r="I279" s="41"/>
      <c r="J279" s="41"/>
      <c r="K279" s="41"/>
      <c r="L279" s="41"/>
      <c r="M279" s="41"/>
      <c r="N279" s="41"/>
      <c r="O279" s="41"/>
      <c r="P279" s="52"/>
      <c r="Q279" s="2"/>
    </row>
    <row r="280" customFormat="false" ht="12.75" hidden="false" customHeight="true" outlineLevel="0" collapsed="false">
      <c r="C280" s="70"/>
      <c r="G280" s="2"/>
      <c r="H280" s="41"/>
      <c r="I280" s="41"/>
      <c r="J280" s="41"/>
      <c r="K280" s="41"/>
      <c r="L280" s="41"/>
      <c r="M280" s="41"/>
      <c r="N280" s="41"/>
      <c r="O280" s="41"/>
      <c r="P280" s="52"/>
      <c r="Q280" s="2"/>
    </row>
    <row r="281" customFormat="false" ht="12.75" hidden="false" customHeight="true" outlineLevel="0" collapsed="false">
      <c r="C281" s="70"/>
      <c r="G281" s="2"/>
      <c r="H281" s="41"/>
      <c r="I281" s="41"/>
      <c r="J281" s="41"/>
      <c r="K281" s="41"/>
      <c r="L281" s="41"/>
      <c r="M281" s="41"/>
      <c r="N281" s="41"/>
      <c r="O281" s="41"/>
      <c r="P281" s="52"/>
      <c r="Q281" s="2"/>
    </row>
    <row r="282" customFormat="false" ht="12.75" hidden="false" customHeight="true" outlineLevel="0" collapsed="false">
      <c r="C282" s="70"/>
      <c r="G282" s="2"/>
      <c r="H282" s="41"/>
      <c r="I282" s="41"/>
      <c r="J282" s="41"/>
      <c r="K282" s="41"/>
      <c r="L282" s="41"/>
      <c r="M282" s="41"/>
      <c r="N282" s="41"/>
      <c r="O282" s="41"/>
      <c r="P282" s="52"/>
      <c r="Q282" s="2"/>
    </row>
    <row r="283" customFormat="false" ht="12.75" hidden="false" customHeight="true" outlineLevel="0" collapsed="false">
      <c r="C283" s="70"/>
      <c r="G283" s="2"/>
      <c r="H283" s="41"/>
      <c r="I283" s="41"/>
      <c r="J283" s="41"/>
      <c r="K283" s="41"/>
      <c r="L283" s="41"/>
      <c r="M283" s="41"/>
      <c r="N283" s="41"/>
      <c r="O283" s="41"/>
      <c r="P283" s="52"/>
      <c r="Q283" s="2"/>
    </row>
    <row r="284" customFormat="false" ht="12.75" hidden="false" customHeight="true" outlineLevel="0" collapsed="false">
      <c r="C284" s="70"/>
      <c r="G284" s="2"/>
      <c r="H284" s="41"/>
      <c r="I284" s="41"/>
      <c r="J284" s="41"/>
      <c r="K284" s="41"/>
      <c r="L284" s="41"/>
      <c r="M284" s="41"/>
      <c r="N284" s="41"/>
      <c r="O284" s="41"/>
      <c r="P284" s="52"/>
      <c r="Q284" s="2"/>
    </row>
    <row r="285" customFormat="false" ht="12.75" hidden="false" customHeight="true" outlineLevel="0" collapsed="false">
      <c r="C285" s="70"/>
      <c r="G285" s="2"/>
      <c r="H285" s="41"/>
      <c r="I285" s="41"/>
      <c r="J285" s="41"/>
      <c r="K285" s="41"/>
      <c r="L285" s="41"/>
      <c r="M285" s="41"/>
      <c r="N285" s="41"/>
      <c r="O285" s="41"/>
      <c r="P285" s="52"/>
      <c r="Q285" s="2"/>
    </row>
    <row r="286" customFormat="false" ht="12.75" hidden="false" customHeight="true" outlineLevel="0" collapsed="false">
      <c r="C286" s="70"/>
      <c r="G286" s="2"/>
      <c r="H286" s="41"/>
      <c r="I286" s="41"/>
      <c r="J286" s="41"/>
      <c r="K286" s="41"/>
      <c r="L286" s="41"/>
      <c r="M286" s="41"/>
      <c r="N286" s="41"/>
      <c r="O286" s="41"/>
      <c r="P286" s="52"/>
      <c r="Q286" s="2"/>
    </row>
    <row r="287" customFormat="false" ht="12.75" hidden="false" customHeight="true" outlineLevel="0" collapsed="false">
      <c r="C287" s="70"/>
      <c r="G287" s="2"/>
      <c r="H287" s="41"/>
      <c r="I287" s="41"/>
      <c r="J287" s="41"/>
      <c r="K287" s="41"/>
      <c r="L287" s="41"/>
      <c r="M287" s="41"/>
      <c r="N287" s="41"/>
      <c r="O287" s="41"/>
      <c r="P287" s="52"/>
      <c r="Q287" s="2"/>
    </row>
    <row r="288" customFormat="false" ht="12.75" hidden="false" customHeight="true" outlineLevel="0" collapsed="false">
      <c r="C288" s="70"/>
      <c r="G288" s="2"/>
      <c r="H288" s="41"/>
      <c r="I288" s="41"/>
      <c r="J288" s="41"/>
      <c r="K288" s="41"/>
      <c r="L288" s="41"/>
      <c r="M288" s="41"/>
      <c r="N288" s="41"/>
      <c r="O288" s="41"/>
      <c r="P288" s="52"/>
      <c r="Q288" s="2"/>
    </row>
    <row r="289" customFormat="false" ht="12.75" hidden="false" customHeight="true" outlineLevel="0" collapsed="false">
      <c r="C289" s="70"/>
      <c r="G289" s="2"/>
      <c r="H289" s="41"/>
      <c r="I289" s="41"/>
      <c r="J289" s="41"/>
      <c r="K289" s="41"/>
      <c r="L289" s="41"/>
      <c r="M289" s="41"/>
      <c r="N289" s="41"/>
      <c r="O289" s="41"/>
      <c r="P289" s="52"/>
      <c r="Q289" s="2"/>
    </row>
    <row r="290" customFormat="false" ht="12.75" hidden="false" customHeight="true" outlineLevel="0" collapsed="false">
      <c r="C290" s="70"/>
      <c r="G290" s="2"/>
      <c r="H290" s="41"/>
      <c r="I290" s="41"/>
      <c r="J290" s="41"/>
      <c r="K290" s="41"/>
      <c r="L290" s="41"/>
      <c r="M290" s="41"/>
      <c r="N290" s="41"/>
      <c r="O290" s="41"/>
      <c r="P290" s="52"/>
      <c r="Q290" s="2"/>
    </row>
    <row r="291" customFormat="false" ht="12.75" hidden="false" customHeight="true" outlineLevel="0" collapsed="false">
      <c r="C291" s="70"/>
      <c r="G291" s="2"/>
      <c r="H291" s="41"/>
      <c r="I291" s="41"/>
      <c r="J291" s="41"/>
      <c r="K291" s="41"/>
      <c r="L291" s="41"/>
      <c r="M291" s="41"/>
      <c r="N291" s="41"/>
      <c r="O291" s="41"/>
      <c r="P291" s="52"/>
      <c r="Q291" s="2"/>
    </row>
    <row r="292" customFormat="false" ht="12.75" hidden="false" customHeight="true" outlineLevel="0" collapsed="false">
      <c r="C292" s="70"/>
      <c r="G292" s="2"/>
      <c r="H292" s="41"/>
      <c r="I292" s="41"/>
      <c r="J292" s="41"/>
      <c r="K292" s="41"/>
      <c r="L292" s="41"/>
      <c r="M292" s="41"/>
      <c r="N292" s="41"/>
      <c r="O292" s="41"/>
      <c r="P292" s="52"/>
      <c r="Q292" s="2"/>
    </row>
    <row r="293" customFormat="false" ht="12.75" hidden="false" customHeight="true" outlineLevel="0" collapsed="false">
      <c r="C293" s="70"/>
      <c r="G293" s="2"/>
      <c r="H293" s="41"/>
      <c r="I293" s="41"/>
      <c r="J293" s="41"/>
      <c r="K293" s="41"/>
      <c r="L293" s="41"/>
      <c r="M293" s="41"/>
      <c r="N293" s="41"/>
      <c r="O293" s="41"/>
      <c r="P293" s="52"/>
      <c r="Q293" s="2"/>
    </row>
    <row r="294" customFormat="false" ht="12.75" hidden="false" customHeight="true" outlineLevel="0" collapsed="false">
      <c r="C294" s="70"/>
      <c r="G294" s="2"/>
      <c r="H294" s="41"/>
      <c r="I294" s="41"/>
      <c r="J294" s="41"/>
      <c r="K294" s="41"/>
      <c r="L294" s="41"/>
      <c r="M294" s="41"/>
      <c r="N294" s="41"/>
      <c r="O294" s="41"/>
      <c r="P294" s="52"/>
      <c r="Q294" s="2"/>
    </row>
    <row r="295" customFormat="false" ht="12.75" hidden="false" customHeight="true" outlineLevel="0" collapsed="false">
      <c r="C295" s="70"/>
      <c r="G295" s="2"/>
      <c r="H295" s="41"/>
      <c r="I295" s="41"/>
      <c r="J295" s="41"/>
      <c r="K295" s="41"/>
      <c r="L295" s="41"/>
      <c r="M295" s="41"/>
      <c r="N295" s="41"/>
      <c r="O295" s="41"/>
      <c r="P295" s="52"/>
      <c r="Q295" s="2"/>
    </row>
    <row r="296" customFormat="false" ht="12.75" hidden="false" customHeight="true" outlineLevel="0" collapsed="false">
      <c r="C296" s="70"/>
      <c r="G296" s="2"/>
      <c r="H296" s="41"/>
      <c r="I296" s="41"/>
      <c r="J296" s="41"/>
      <c r="K296" s="41"/>
      <c r="L296" s="41"/>
      <c r="M296" s="41"/>
      <c r="N296" s="41"/>
      <c r="O296" s="41"/>
      <c r="P296" s="52"/>
      <c r="Q296" s="2"/>
    </row>
    <row r="297" customFormat="false" ht="12.75" hidden="false" customHeight="true" outlineLevel="0" collapsed="false">
      <c r="C297" s="70"/>
      <c r="G297" s="2"/>
      <c r="H297" s="41"/>
      <c r="I297" s="41"/>
      <c r="J297" s="41"/>
      <c r="K297" s="41"/>
      <c r="L297" s="41"/>
      <c r="M297" s="41"/>
      <c r="N297" s="41"/>
      <c r="O297" s="41"/>
      <c r="P297" s="52"/>
      <c r="Q297" s="2"/>
    </row>
    <row r="298" customFormat="false" ht="12.75" hidden="false" customHeight="true" outlineLevel="0" collapsed="false">
      <c r="C298" s="70"/>
      <c r="G298" s="2"/>
      <c r="H298" s="41"/>
      <c r="I298" s="41"/>
      <c r="J298" s="41"/>
      <c r="K298" s="41"/>
      <c r="L298" s="41"/>
      <c r="M298" s="41"/>
      <c r="N298" s="41"/>
      <c r="O298" s="41"/>
      <c r="P298" s="52"/>
      <c r="Q298" s="2"/>
    </row>
    <row r="299" customFormat="false" ht="12.75" hidden="false" customHeight="true" outlineLevel="0" collapsed="false">
      <c r="C299" s="70"/>
      <c r="G299" s="2"/>
      <c r="H299" s="41"/>
      <c r="I299" s="41"/>
      <c r="J299" s="41"/>
      <c r="K299" s="41"/>
      <c r="L299" s="41"/>
      <c r="M299" s="41"/>
      <c r="N299" s="41"/>
      <c r="O299" s="41"/>
      <c r="P299" s="52"/>
      <c r="Q299" s="2"/>
    </row>
    <row r="300" customFormat="false" ht="12.75" hidden="false" customHeight="true" outlineLevel="0" collapsed="false">
      <c r="C300" s="70"/>
      <c r="G300" s="2"/>
      <c r="H300" s="41"/>
      <c r="I300" s="41"/>
      <c r="J300" s="41"/>
      <c r="K300" s="41"/>
      <c r="L300" s="41"/>
      <c r="M300" s="41"/>
      <c r="N300" s="41"/>
      <c r="O300" s="41"/>
      <c r="P300" s="52"/>
      <c r="Q300" s="2"/>
    </row>
    <row r="301" customFormat="false" ht="12.75" hidden="false" customHeight="true" outlineLevel="0" collapsed="false">
      <c r="C301" s="70"/>
      <c r="G301" s="2"/>
      <c r="H301" s="41"/>
      <c r="I301" s="41"/>
      <c r="J301" s="41"/>
      <c r="K301" s="41"/>
      <c r="L301" s="41"/>
      <c r="M301" s="41"/>
      <c r="N301" s="41"/>
      <c r="O301" s="41"/>
      <c r="P301" s="52"/>
      <c r="Q301" s="2"/>
    </row>
    <row r="302" customFormat="false" ht="12.75" hidden="false" customHeight="true" outlineLevel="0" collapsed="false">
      <c r="C302" s="70"/>
      <c r="G302" s="2"/>
      <c r="H302" s="41"/>
      <c r="I302" s="41"/>
      <c r="J302" s="41"/>
      <c r="K302" s="41"/>
      <c r="L302" s="41"/>
      <c r="M302" s="41"/>
      <c r="N302" s="41"/>
      <c r="O302" s="41"/>
      <c r="P302" s="52"/>
      <c r="Q302" s="2"/>
    </row>
    <row r="303" customFormat="false" ht="12.75" hidden="false" customHeight="true" outlineLevel="0" collapsed="false">
      <c r="C303" s="70"/>
      <c r="G303" s="2"/>
      <c r="H303" s="41"/>
      <c r="I303" s="41"/>
      <c r="J303" s="41"/>
      <c r="K303" s="41"/>
      <c r="L303" s="41"/>
      <c r="M303" s="41"/>
      <c r="N303" s="41"/>
      <c r="O303" s="41"/>
      <c r="P303" s="52"/>
      <c r="Q303" s="2"/>
    </row>
    <row r="304" customFormat="false" ht="12.75" hidden="false" customHeight="true" outlineLevel="0" collapsed="false">
      <c r="C304" s="70"/>
      <c r="G304" s="2"/>
      <c r="H304" s="41"/>
      <c r="I304" s="41"/>
      <c r="J304" s="41"/>
      <c r="K304" s="41"/>
      <c r="L304" s="41"/>
      <c r="M304" s="41"/>
      <c r="N304" s="41"/>
      <c r="O304" s="41"/>
      <c r="P304" s="52"/>
      <c r="Q304" s="2"/>
    </row>
    <row r="305" customFormat="false" ht="12.75" hidden="false" customHeight="true" outlineLevel="0" collapsed="false">
      <c r="C305" s="70"/>
      <c r="G305" s="2"/>
      <c r="H305" s="41"/>
      <c r="I305" s="41"/>
      <c r="J305" s="41"/>
      <c r="K305" s="41"/>
      <c r="L305" s="41"/>
      <c r="M305" s="41"/>
      <c r="N305" s="41"/>
      <c r="O305" s="41"/>
      <c r="P305" s="52"/>
      <c r="Q305" s="2"/>
    </row>
    <row r="306" customFormat="false" ht="12.75" hidden="false" customHeight="true" outlineLevel="0" collapsed="false">
      <c r="C306" s="70"/>
      <c r="G306" s="2"/>
      <c r="H306" s="41"/>
      <c r="I306" s="41"/>
      <c r="J306" s="41"/>
      <c r="K306" s="41"/>
      <c r="L306" s="41"/>
      <c r="M306" s="41"/>
      <c r="N306" s="41"/>
      <c r="O306" s="41"/>
      <c r="P306" s="52"/>
      <c r="Q306" s="2"/>
    </row>
    <row r="307" customFormat="false" ht="12.75" hidden="false" customHeight="true" outlineLevel="0" collapsed="false">
      <c r="C307" s="70"/>
      <c r="G307" s="2"/>
      <c r="H307" s="41"/>
      <c r="I307" s="41"/>
      <c r="J307" s="41"/>
      <c r="K307" s="41"/>
      <c r="L307" s="41"/>
      <c r="M307" s="41"/>
      <c r="N307" s="41"/>
      <c r="O307" s="41"/>
      <c r="P307" s="52"/>
      <c r="Q307" s="2"/>
    </row>
    <row r="308" customFormat="false" ht="12.75" hidden="false" customHeight="true" outlineLevel="0" collapsed="false">
      <c r="C308" s="70"/>
      <c r="G308" s="2"/>
      <c r="H308" s="41"/>
      <c r="I308" s="41"/>
      <c r="J308" s="41"/>
      <c r="K308" s="41"/>
      <c r="L308" s="41"/>
      <c r="M308" s="41"/>
      <c r="N308" s="41"/>
      <c r="O308" s="41"/>
      <c r="P308" s="52"/>
      <c r="Q308" s="2"/>
    </row>
    <row r="309" customFormat="false" ht="12.75" hidden="false" customHeight="true" outlineLevel="0" collapsed="false">
      <c r="C309" s="70"/>
      <c r="G309" s="2"/>
      <c r="H309" s="41"/>
      <c r="I309" s="41"/>
      <c r="J309" s="41"/>
      <c r="K309" s="41"/>
      <c r="L309" s="41"/>
      <c r="M309" s="41"/>
      <c r="N309" s="41"/>
      <c r="O309" s="41"/>
      <c r="P309" s="52"/>
      <c r="Q309" s="2"/>
    </row>
    <row r="310" customFormat="false" ht="12.75" hidden="false" customHeight="true" outlineLevel="0" collapsed="false">
      <c r="C310" s="70"/>
      <c r="G310" s="2"/>
      <c r="H310" s="41"/>
      <c r="I310" s="41"/>
      <c r="J310" s="41"/>
      <c r="K310" s="41"/>
      <c r="L310" s="41"/>
      <c r="M310" s="41"/>
      <c r="N310" s="41"/>
      <c r="O310" s="41"/>
      <c r="P310" s="52"/>
      <c r="Q310" s="2"/>
    </row>
    <row r="311" customFormat="false" ht="12.75" hidden="false" customHeight="true" outlineLevel="0" collapsed="false">
      <c r="C311" s="70"/>
      <c r="G311" s="2"/>
      <c r="H311" s="41"/>
      <c r="I311" s="41"/>
      <c r="J311" s="41"/>
      <c r="K311" s="41"/>
      <c r="L311" s="41"/>
      <c r="M311" s="41"/>
      <c r="N311" s="41"/>
      <c r="O311" s="41"/>
      <c r="P311" s="52"/>
      <c r="Q311" s="2"/>
    </row>
    <row r="312" customFormat="false" ht="12.75" hidden="false" customHeight="true" outlineLevel="0" collapsed="false">
      <c r="C312" s="70"/>
      <c r="G312" s="2"/>
      <c r="H312" s="41"/>
      <c r="I312" s="41"/>
      <c r="J312" s="41"/>
      <c r="K312" s="41"/>
      <c r="L312" s="41"/>
      <c r="M312" s="41"/>
      <c r="N312" s="41"/>
      <c r="O312" s="41"/>
      <c r="P312" s="52"/>
      <c r="Q312" s="2"/>
    </row>
    <row r="313" customFormat="false" ht="12.75" hidden="false" customHeight="true" outlineLevel="0" collapsed="false">
      <c r="C313" s="70"/>
      <c r="G313" s="2"/>
      <c r="H313" s="41"/>
      <c r="I313" s="41"/>
      <c r="J313" s="41"/>
      <c r="K313" s="41"/>
      <c r="L313" s="41"/>
      <c r="M313" s="41"/>
      <c r="N313" s="41"/>
      <c r="O313" s="41"/>
      <c r="P313" s="52"/>
      <c r="Q313" s="2"/>
    </row>
    <row r="314" customFormat="false" ht="12.75" hidden="false" customHeight="true" outlineLevel="0" collapsed="false">
      <c r="C314" s="70"/>
      <c r="G314" s="2"/>
      <c r="H314" s="41"/>
      <c r="I314" s="41"/>
      <c r="J314" s="41"/>
      <c r="K314" s="41"/>
      <c r="L314" s="41"/>
      <c r="M314" s="41"/>
      <c r="N314" s="41"/>
      <c r="O314" s="41"/>
      <c r="P314" s="52"/>
      <c r="Q314" s="2"/>
    </row>
    <row r="315" customFormat="false" ht="12.75" hidden="false" customHeight="true" outlineLevel="0" collapsed="false">
      <c r="C315" s="70"/>
      <c r="G315" s="2"/>
      <c r="H315" s="41"/>
      <c r="I315" s="41"/>
      <c r="J315" s="41"/>
      <c r="K315" s="41"/>
      <c r="L315" s="41"/>
      <c r="M315" s="41"/>
      <c r="N315" s="41"/>
      <c r="O315" s="41"/>
      <c r="P315" s="52"/>
      <c r="Q315" s="2"/>
    </row>
    <row r="316" customFormat="false" ht="12.75" hidden="false" customHeight="true" outlineLevel="0" collapsed="false">
      <c r="C316" s="70"/>
      <c r="G316" s="2"/>
      <c r="H316" s="41"/>
      <c r="I316" s="41"/>
      <c r="J316" s="41"/>
      <c r="K316" s="41"/>
      <c r="L316" s="41"/>
      <c r="M316" s="41"/>
      <c r="N316" s="41"/>
      <c r="O316" s="41"/>
      <c r="P316" s="52"/>
      <c r="Q316" s="2"/>
    </row>
    <row r="317" customFormat="false" ht="12.75" hidden="false" customHeight="true" outlineLevel="0" collapsed="false">
      <c r="C317" s="70"/>
      <c r="G317" s="2"/>
      <c r="H317" s="41"/>
      <c r="I317" s="41"/>
      <c r="J317" s="41"/>
      <c r="K317" s="41"/>
      <c r="L317" s="41"/>
      <c r="M317" s="41"/>
      <c r="N317" s="41"/>
      <c r="O317" s="41"/>
      <c r="P317" s="52"/>
      <c r="Q317" s="2"/>
    </row>
    <row r="318" customFormat="false" ht="12.75" hidden="false" customHeight="true" outlineLevel="0" collapsed="false">
      <c r="C318" s="70"/>
      <c r="G318" s="2"/>
      <c r="H318" s="41"/>
      <c r="I318" s="41"/>
      <c r="J318" s="41"/>
      <c r="K318" s="41"/>
      <c r="L318" s="41"/>
      <c r="M318" s="41"/>
      <c r="N318" s="41"/>
      <c r="O318" s="41"/>
      <c r="P318" s="52"/>
      <c r="Q318" s="2"/>
    </row>
    <row r="319" customFormat="false" ht="12.75" hidden="false" customHeight="true" outlineLevel="0" collapsed="false">
      <c r="C319" s="70"/>
      <c r="G319" s="2"/>
      <c r="H319" s="41"/>
      <c r="I319" s="41"/>
      <c r="J319" s="41"/>
      <c r="K319" s="41"/>
      <c r="L319" s="41"/>
      <c r="M319" s="41"/>
      <c r="N319" s="41"/>
      <c r="O319" s="41"/>
      <c r="P319" s="52"/>
      <c r="Q319" s="2"/>
    </row>
    <row r="320" customFormat="false" ht="12.75" hidden="false" customHeight="true" outlineLevel="0" collapsed="false">
      <c r="C320" s="70"/>
      <c r="G320" s="2"/>
      <c r="H320" s="41"/>
      <c r="I320" s="41"/>
      <c r="J320" s="41"/>
      <c r="K320" s="41"/>
      <c r="L320" s="41"/>
      <c r="M320" s="41"/>
      <c r="N320" s="41"/>
      <c r="O320" s="41"/>
      <c r="P320" s="52"/>
      <c r="Q320" s="2"/>
    </row>
    <row r="321" customFormat="false" ht="12.75" hidden="false" customHeight="true" outlineLevel="0" collapsed="false">
      <c r="C321" s="70"/>
      <c r="G321" s="2"/>
      <c r="H321" s="41"/>
      <c r="I321" s="41"/>
      <c r="J321" s="41"/>
      <c r="K321" s="41"/>
      <c r="L321" s="41"/>
      <c r="M321" s="41"/>
      <c r="N321" s="41"/>
      <c r="O321" s="41"/>
      <c r="P321" s="52"/>
      <c r="Q321" s="2"/>
    </row>
    <row r="322" customFormat="false" ht="12.75" hidden="false" customHeight="true" outlineLevel="0" collapsed="false">
      <c r="C322" s="70"/>
      <c r="G322" s="2"/>
      <c r="H322" s="41"/>
      <c r="I322" s="41"/>
      <c r="J322" s="41"/>
      <c r="K322" s="41"/>
      <c r="L322" s="41"/>
      <c r="M322" s="41"/>
      <c r="N322" s="41"/>
      <c r="O322" s="41"/>
      <c r="P322" s="52"/>
      <c r="Q322" s="2"/>
    </row>
    <row r="323" customFormat="false" ht="12.75" hidden="false" customHeight="true" outlineLevel="0" collapsed="false">
      <c r="C323" s="70"/>
      <c r="G323" s="2"/>
      <c r="H323" s="41"/>
      <c r="I323" s="41"/>
      <c r="J323" s="41"/>
      <c r="K323" s="41"/>
      <c r="L323" s="41"/>
      <c r="M323" s="41"/>
      <c r="N323" s="41"/>
      <c r="O323" s="41"/>
      <c r="P323" s="52"/>
      <c r="Q323" s="2"/>
    </row>
    <row r="324" customFormat="false" ht="12.75" hidden="false" customHeight="true" outlineLevel="0" collapsed="false">
      <c r="C324" s="70"/>
      <c r="G324" s="2"/>
      <c r="H324" s="41"/>
      <c r="I324" s="41"/>
      <c r="J324" s="41"/>
      <c r="K324" s="41"/>
      <c r="L324" s="41"/>
      <c r="M324" s="41"/>
      <c r="N324" s="41"/>
      <c r="O324" s="41"/>
      <c r="P324" s="52"/>
      <c r="Q324" s="2"/>
    </row>
    <row r="325" customFormat="false" ht="12.75" hidden="false" customHeight="true" outlineLevel="0" collapsed="false">
      <c r="C325" s="70"/>
      <c r="G325" s="2"/>
      <c r="H325" s="41"/>
      <c r="I325" s="41"/>
      <c r="J325" s="41"/>
      <c r="K325" s="41"/>
      <c r="L325" s="41"/>
      <c r="M325" s="41"/>
      <c r="N325" s="41"/>
      <c r="O325" s="41"/>
      <c r="P325" s="52"/>
      <c r="Q325" s="2"/>
    </row>
    <row r="326" customFormat="false" ht="12.75" hidden="false" customHeight="true" outlineLevel="0" collapsed="false">
      <c r="C326" s="70"/>
      <c r="G326" s="2"/>
      <c r="H326" s="41"/>
      <c r="I326" s="41"/>
      <c r="J326" s="41"/>
      <c r="K326" s="41"/>
      <c r="L326" s="41"/>
      <c r="M326" s="41"/>
      <c r="N326" s="41"/>
      <c r="O326" s="41"/>
      <c r="P326" s="52"/>
      <c r="Q326" s="2"/>
    </row>
    <row r="327" customFormat="false" ht="12.75" hidden="false" customHeight="true" outlineLevel="0" collapsed="false">
      <c r="C327" s="70"/>
      <c r="G327" s="2"/>
      <c r="H327" s="41"/>
      <c r="I327" s="41"/>
      <c r="J327" s="41"/>
      <c r="K327" s="41"/>
      <c r="L327" s="41"/>
      <c r="M327" s="41"/>
      <c r="N327" s="41"/>
      <c r="O327" s="41"/>
      <c r="P327" s="52"/>
      <c r="Q327" s="2"/>
    </row>
    <row r="328" customFormat="false" ht="12.75" hidden="false" customHeight="true" outlineLevel="0" collapsed="false">
      <c r="C328" s="70"/>
      <c r="G328" s="2"/>
      <c r="H328" s="41"/>
      <c r="I328" s="41"/>
      <c r="J328" s="41"/>
      <c r="K328" s="41"/>
      <c r="L328" s="41"/>
      <c r="M328" s="41"/>
      <c r="N328" s="41"/>
      <c r="O328" s="41"/>
      <c r="P328" s="52"/>
      <c r="Q328" s="2"/>
    </row>
    <row r="329" customFormat="false" ht="12.75" hidden="false" customHeight="true" outlineLevel="0" collapsed="false">
      <c r="C329" s="70"/>
      <c r="G329" s="2"/>
      <c r="H329" s="41"/>
      <c r="I329" s="41"/>
      <c r="J329" s="41"/>
      <c r="K329" s="41"/>
      <c r="L329" s="41"/>
      <c r="M329" s="41"/>
      <c r="N329" s="41"/>
      <c r="O329" s="41"/>
      <c r="P329" s="52"/>
      <c r="Q329" s="2"/>
    </row>
    <row r="330" customFormat="false" ht="12.75" hidden="false" customHeight="true" outlineLevel="0" collapsed="false">
      <c r="C330" s="70"/>
      <c r="G330" s="2"/>
      <c r="H330" s="41"/>
      <c r="I330" s="41"/>
      <c r="J330" s="41"/>
      <c r="K330" s="41"/>
      <c r="L330" s="41"/>
      <c r="M330" s="41"/>
      <c r="N330" s="41"/>
      <c r="O330" s="41"/>
      <c r="P330" s="52"/>
      <c r="Q330" s="2"/>
    </row>
    <row r="331" customFormat="false" ht="12.75" hidden="false" customHeight="true" outlineLevel="0" collapsed="false">
      <c r="C331" s="70"/>
      <c r="G331" s="2"/>
      <c r="H331" s="41"/>
      <c r="I331" s="41"/>
      <c r="J331" s="41"/>
      <c r="K331" s="41"/>
      <c r="L331" s="41"/>
      <c r="M331" s="41"/>
      <c r="N331" s="41"/>
      <c r="O331" s="41"/>
      <c r="P331" s="52"/>
      <c r="Q331" s="2"/>
    </row>
    <row r="332" customFormat="false" ht="12.75" hidden="false" customHeight="true" outlineLevel="0" collapsed="false">
      <c r="C332" s="70"/>
      <c r="G332" s="2"/>
      <c r="H332" s="41"/>
      <c r="I332" s="41"/>
      <c r="J332" s="41"/>
      <c r="K332" s="41"/>
      <c r="L332" s="41"/>
      <c r="M332" s="41"/>
      <c r="N332" s="41"/>
      <c r="O332" s="41"/>
      <c r="P332" s="52"/>
      <c r="Q332" s="2"/>
    </row>
    <row r="333" customFormat="false" ht="12.75" hidden="false" customHeight="true" outlineLevel="0" collapsed="false">
      <c r="C333" s="70"/>
      <c r="G333" s="2"/>
      <c r="H333" s="41"/>
      <c r="I333" s="41"/>
      <c r="J333" s="41"/>
      <c r="K333" s="41"/>
      <c r="L333" s="41"/>
      <c r="M333" s="41"/>
      <c r="N333" s="41"/>
      <c r="O333" s="41"/>
      <c r="P333" s="52"/>
      <c r="Q333" s="2"/>
    </row>
    <row r="334" customFormat="false" ht="12.75" hidden="false" customHeight="true" outlineLevel="0" collapsed="false">
      <c r="C334" s="70"/>
      <c r="G334" s="2"/>
      <c r="H334" s="41"/>
      <c r="I334" s="41"/>
      <c r="J334" s="41"/>
      <c r="K334" s="41"/>
      <c r="L334" s="41"/>
      <c r="M334" s="41"/>
      <c r="N334" s="41"/>
      <c r="O334" s="41"/>
      <c r="P334" s="52"/>
      <c r="Q334" s="2"/>
    </row>
    <row r="335" customFormat="false" ht="12.75" hidden="false" customHeight="true" outlineLevel="0" collapsed="false">
      <c r="C335" s="70"/>
      <c r="G335" s="2"/>
      <c r="H335" s="41"/>
      <c r="I335" s="41"/>
      <c r="J335" s="41"/>
      <c r="K335" s="41"/>
      <c r="L335" s="41"/>
      <c r="M335" s="41"/>
      <c r="N335" s="41"/>
      <c r="O335" s="41"/>
      <c r="P335" s="52"/>
      <c r="Q335" s="2"/>
    </row>
    <row r="336" customFormat="false" ht="12.75" hidden="false" customHeight="true" outlineLevel="0" collapsed="false">
      <c r="C336" s="70"/>
      <c r="G336" s="2"/>
      <c r="H336" s="41"/>
      <c r="I336" s="41"/>
      <c r="J336" s="41"/>
      <c r="K336" s="41"/>
      <c r="L336" s="41"/>
      <c r="M336" s="41"/>
      <c r="N336" s="41"/>
      <c r="O336" s="41"/>
      <c r="P336" s="52"/>
      <c r="Q336" s="2"/>
    </row>
    <row r="337" customFormat="false" ht="12.75" hidden="false" customHeight="true" outlineLevel="0" collapsed="false">
      <c r="C337" s="70"/>
      <c r="G337" s="2"/>
      <c r="H337" s="41"/>
      <c r="I337" s="41"/>
      <c r="J337" s="41"/>
      <c r="K337" s="41"/>
      <c r="L337" s="41"/>
      <c r="M337" s="41"/>
      <c r="N337" s="41"/>
      <c r="O337" s="41"/>
      <c r="P337" s="52"/>
      <c r="Q337" s="2"/>
    </row>
    <row r="338" customFormat="false" ht="12.75" hidden="false" customHeight="true" outlineLevel="0" collapsed="false">
      <c r="C338" s="70"/>
      <c r="G338" s="2"/>
      <c r="H338" s="41"/>
      <c r="I338" s="41"/>
      <c r="J338" s="41"/>
      <c r="K338" s="41"/>
      <c r="L338" s="41"/>
      <c r="M338" s="41"/>
      <c r="N338" s="41"/>
      <c r="O338" s="41"/>
      <c r="P338" s="52"/>
      <c r="Q338" s="2"/>
    </row>
    <row r="339" customFormat="false" ht="12.75" hidden="false" customHeight="true" outlineLevel="0" collapsed="false">
      <c r="C339" s="70"/>
      <c r="G339" s="2"/>
      <c r="H339" s="41"/>
      <c r="I339" s="41"/>
      <c r="J339" s="41"/>
      <c r="K339" s="41"/>
      <c r="L339" s="41"/>
      <c r="M339" s="41"/>
      <c r="N339" s="41"/>
      <c r="O339" s="41"/>
      <c r="P339" s="52"/>
      <c r="Q339" s="2"/>
    </row>
    <row r="340" customFormat="false" ht="12.75" hidden="false" customHeight="true" outlineLevel="0" collapsed="false">
      <c r="C340" s="70"/>
      <c r="G340" s="2"/>
      <c r="H340" s="41"/>
      <c r="I340" s="41"/>
      <c r="J340" s="41"/>
      <c r="K340" s="41"/>
      <c r="L340" s="41"/>
      <c r="M340" s="41"/>
      <c r="N340" s="41"/>
      <c r="O340" s="41"/>
      <c r="P340" s="52"/>
      <c r="Q340" s="2"/>
    </row>
    <row r="341" customFormat="false" ht="12.75" hidden="false" customHeight="true" outlineLevel="0" collapsed="false">
      <c r="C341" s="70"/>
      <c r="G341" s="2"/>
      <c r="H341" s="41"/>
      <c r="I341" s="41"/>
      <c r="J341" s="41"/>
      <c r="K341" s="41"/>
      <c r="L341" s="41"/>
      <c r="M341" s="41"/>
      <c r="N341" s="41"/>
      <c r="O341" s="41"/>
      <c r="P341" s="52"/>
      <c r="Q341" s="2"/>
    </row>
    <row r="342" customFormat="false" ht="12.75" hidden="false" customHeight="true" outlineLevel="0" collapsed="false">
      <c r="C342" s="70"/>
      <c r="G342" s="2"/>
      <c r="H342" s="41"/>
      <c r="I342" s="41"/>
      <c r="J342" s="41"/>
      <c r="K342" s="41"/>
      <c r="L342" s="41"/>
      <c r="M342" s="41"/>
      <c r="N342" s="41"/>
      <c r="O342" s="41"/>
      <c r="P342" s="52"/>
      <c r="Q342" s="2"/>
    </row>
    <row r="343" customFormat="false" ht="12.75" hidden="false" customHeight="true" outlineLevel="0" collapsed="false">
      <c r="C343" s="70"/>
      <c r="G343" s="2"/>
      <c r="H343" s="41"/>
      <c r="I343" s="41"/>
      <c r="J343" s="41"/>
      <c r="K343" s="41"/>
      <c r="L343" s="41"/>
      <c r="M343" s="41"/>
      <c r="N343" s="41"/>
      <c r="O343" s="41"/>
      <c r="P343" s="52"/>
      <c r="Q343" s="2"/>
    </row>
    <row r="344" customFormat="false" ht="12.75" hidden="false" customHeight="true" outlineLevel="0" collapsed="false">
      <c r="C344" s="70"/>
      <c r="G344" s="2"/>
      <c r="H344" s="41"/>
      <c r="I344" s="41"/>
      <c r="J344" s="41"/>
      <c r="K344" s="41"/>
      <c r="L344" s="41"/>
      <c r="M344" s="41"/>
      <c r="N344" s="41"/>
      <c r="O344" s="41"/>
      <c r="P344" s="52"/>
      <c r="Q344" s="2"/>
    </row>
    <row r="345" customFormat="false" ht="12.75" hidden="false" customHeight="true" outlineLevel="0" collapsed="false">
      <c r="C345" s="70"/>
      <c r="G345" s="2"/>
      <c r="H345" s="41"/>
      <c r="I345" s="41"/>
      <c r="J345" s="41"/>
      <c r="K345" s="41"/>
      <c r="L345" s="41"/>
      <c r="M345" s="41"/>
      <c r="N345" s="41"/>
      <c r="O345" s="41"/>
      <c r="P345" s="52"/>
      <c r="Q345" s="2"/>
    </row>
    <row r="346" customFormat="false" ht="12.75" hidden="false" customHeight="true" outlineLevel="0" collapsed="false">
      <c r="C346" s="70"/>
      <c r="G346" s="2"/>
      <c r="H346" s="41"/>
      <c r="I346" s="41"/>
      <c r="J346" s="41"/>
      <c r="K346" s="41"/>
      <c r="L346" s="41"/>
      <c r="M346" s="41"/>
      <c r="N346" s="41"/>
      <c r="O346" s="41"/>
      <c r="P346" s="52"/>
      <c r="Q346" s="2"/>
    </row>
    <row r="347" customFormat="false" ht="12.75" hidden="false" customHeight="true" outlineLevel="0" collapsed="false">
      <c r="C347" s="70"/>
      <c r="G347" s="2"/>
      <c r="H347" s="41"/>
      <c r="I347" s="41"/>
      <c r="J347" s="41"/>
      <c r="K347" s="41"/>
      <c r="L347" s="41"/>
      <c r="M347" s="41"/>
      <c r="N347" s="41"/>
      <c r="O347" s="41"/>
      <c r="P347" s="52"/>
      <c r="Q347" s="2"/>
    </row>
    <row r="348" customFormat="false" ht="12.75" hidden="false" customHeight="true" outlineLevel="0" collapsed="false">
      <c r="C348" s="70"/>
      <c r="G348" s="2"/>
      <c r="H348" s="41"/>
      <c r="I348" s="41"/>
      <c r="J348" s="41"/>
      <c r="K348" s="41"/>
      <c r="L348" s="41"/>
      <c r="M348" s="41"/>
      <c r="N348" s="41"/>
      <c r="O348" s="41"/>
      <c r="P348" s="52"/>
      <c r="Q348" s="2"/>
    </row>
    <row r="349" customFormat="false" ht="12.75" hidden="false" customHeight="true" outlineLevel="0" collapsed="false">
      <c r="C349" s="70"/>
      <c r="G349" s="2"/>
      <c r="H349" s="41"/>
      <c r="I349" s="41"/>
      <c r="J349" s="41"/>
      <c r="K349" s="41"/>
      <c r="L349" s="41"/>
      <c r="M349" s="41"/>
      <c r="N349" s="41"/>
      <c r="O349" s="41"/>
      <c r="P349" s="52"/>
      <c r="Q349" s="2"/>
    </row>
    <row r="350" customFormat="false" ht="12.75" hidden="false" customHeight="true" outlineLevel="0" collapsed="false">
      <c r="C350" s="70"/>
      <c r="G350" s="2"/>
      <c r="H350" s="41"/>
      <c r="I350" s="41"/>
      <c r="J350" s="41"/>
      <c r="K350" s="41"/>
      <c r="L350" s="41"/>
      <c r="M350" s="41"/>
      <c r="N350" s="41"/>
      <c r="O350" s="41"/>
      <c r="P350" s="52"/>
      <c r="Q350" s="2"/>
    </row>
    <row r="351" customFormat="false" ht="12.75" hidden="false" customHeight="true" outlineLevel="0" collapsed="false">
      <c r="C351" s="70"/>
      <c r="G351" s="2"/>
      <c r="H351" s="41"/>
      <c r="I351" s="41"/>
      <c r="J351" s="41"/>
      <c r="K351" s="41"/>
      <c r="L351" s="41"/>
      <c r="M351" s="41"/>
      <c r="N351" s="41"/>
      <c r="O351" s="41"/>
      <c r="P351" s="52"/>
      <c r="Q351" s="2"/>
    </row>
    <row r="352" customFormat="false" ht="12.75" hidden="false" customHeight="true" outlineLevel="0" collapsed="false">
      <c r="C352" s="70"/>
      <c r="G352" s="2"/>
      <c r="H352" s="41"/>
      <c r="I352" s="41"/>
      <c r="J352" s="41"/>
      <c r="K352" s="41"/>
      <c r="L352" s="41"/>
      <c r="M352" s="41"/>
      <c r="N352" s="41"/>
      <c r="O352" s="41"/>
      <c r="P352" s="52"/>
      <c r="Q352" s="2"/>
    </row>
    <row r="353" customFormat="false" ht="12.75" hidden="false" customHeight="true" outlineLevel="0" collapsed="false">
      <c r="C353" s="70"/>
      <c r="G353" s="2"/>
      <c r="H353" s="41"/>
      <c r="I353" s="41"/>
      <c r="J353" s="41"/>
      <c r="K353" s="41"/>
      <c r="L353" s="41"/>
      <c r="M353" s="41"/>
      <c r="N353" s="41"/>
      <c r="O353" s="41"/>
      <c r="P353" s="52"/>
      <c r="Q353" s="2"/>
    </row>
    <row r="354" customFormat="false" ht="12.75" hidden="false" customHeight="true" outlineLevel="0" collapsed="false">
      <c r="C354" s="70"/>
      <c r="G354" s="2"/>
      <c r="H354" s="41"/>
      <c r="I354" s="41"/>
      <c r="J354" s="41"/>
      <c r="K354" s="41"/>
      <c r="L354" s="41"/>
      <c r="M354" s="41"/>
      <c r="N354" s="41"/>
      <c r="O354" s="41"/>
      <c r="P354" s="52"/>
      <c r="Q354" s="2"/>
    </row>
    <row r="355" customFormat="false" ht="12.75" hidden="false" customHeight="true" outlineLevel="0" collapsed="false">
      <c r="C355" s="70"/>
      <c r="G355" s="2"/>
      <c r="H355" s="41"/>
      <c r="I355" s="41"/>
      <c r="J355" s="41"/>
      <c r="K355" s="41"/>
      <c r="L355" s="41"/>
      <c r="M355" s="41"/>
      <c r="N355" s="41"/>
      <c r="O355" s="41"/>
      <c r="P355" s="52"/>
      <c r="Q355" s="2"/>
    </row>
    <row r="356" customFormat="false" ht="12.75" hidden="false" customHeight="true" outlineLevel="0" collapsed="false">
      <c r="C356" s="70"/>
      <c r="G356" s="2"/>
      <c r="H356" s="41"/>
      <c r="I356" s="41"/>
      <c r="J356" s="41"/>
      <c r="K356" s="41"/>
      <c r="L356" s="41"/>
      <c r="M356" s="41"/>
      <c r="N356" s="41"/>
      <c r="O356" s="41"/>
      <c r="P356" s="52"/>
      <c r="Q356" s="2"/>
    </row>
    <row r="357" customFormat="false" ht="12.75" hidden="false" customHeight="true" outlineLevel="0" collapsed="false">
      <c r="C357" s="70"/>
      <c r="G357" s="2"/>
      <c r="H357" s="41"/>
      <c r="I357" s="41"/>
      <c r="J357" s="41"/>
      <c r="K357" s="41"/>
      <c r="L357" s="41"/>
      <c r="M357" s="41"/>
      <c r="N357" s="41"/>
      <c r="O357" s="41"/>
      <c r="P357" s="52"/>
      <c r="Q357" s="2"/>
    </row>
    <row r="358" customFormat="false" ht="12.75" hidden="false" customHeight="true" outlineLevel="0" collapsed="false">
      <c r="C358" s="70"/>
      <c r="G358" s="2"/>
      <c r="H358" s="41"/>
      <c r="I358" s="41"/>
      <c r="J358" s="41"/>
      <c r="K358" s="41"/>
      <c r="L358" s="41"/>
      <c r="M358" s="41"/>
      <c r="N358" s="41"/>
      <c r="O358" s="41"/>
      <c r="P358" s="52"/>
      <c r="Q358" s="2"/>
    </row>
    <row r="359" customFormat="false" ht="12.75" hidden="false" customHeight="true" outlineLevel="0" collapsed="false">
      <c r="C359" s="70"/>
      <c r="G359" s="2"/>
      <c r="H359" s="41"/>
      <c r="I359" s="41"/>
      <c r="J359" s="41"/>
      <c r="K359" s="41"/>
      <c r="L359" s="41"/>
      <c r="M359" s="41"/>
      <c r="N359" s="41"/>
      <c r="O359" s="41"/>
      <c r="P359" s="52"/>
      <c r="Q359" s="2"/>
    </row>
    <row r="360" customFormat="false" ht="12.75" hidden="false" customHeight="true" outlineLevel="0" collapsed="false">
      <c r="C360" s="70"/>
      <c r="G360" s="2"/>
      <c r="H360" s="41"/>
      <c r="I360" s="41"/>
      <c r="J360" s="41"/>
      <c r="K360" s="41"/>
      <c r="L360" s="41"/>
      <c r="M360" s="41"/>
      <c r="N360" s="41"/>
      <c r="O360" s="41"/>
      <c r="P360" s="52"/>
      <c r="Q360" s="2"/>
    </row>
    <row r="361" customFormat="false" ht="12.75" hidden="false" customHeight="true" outlineLevel="0" collapsed="false">
      <c r="C361" s="70"/>
      <c r="G361" s="2"/>
      <c r="H361" s="41"/>
      <c r="I361" s="41"/>
      <c r="J361" s="41"/>
      <c r="K361" s="41"/>
      <c r="L361" s="41"/>
      <c r="M361" s="41"/>
      <c r="N361" s="41"/>
      <c r="O361" s="41"/>
      <c r="P361" s="52"/>
      <c r="Q361" s="2"/>
    </row>
    <row r="362" customFormat="false" ht="12.75" hidden="false" customHeight="true" outlineLevel="0" collapsed="false">
      <c r="C362" s="70"/>
      <c r="G362" s="2"/>
      <c r="H362" s="41"/>
      <c r="I362" s="41"/>
      <c r="J362" s="41"/>
      <c r="K362" s="41"/>
      <c r="L362" s="41"/>
      <c r="M362" s="41"/>
      <c r="N362" s="41"/>
      <c r="O362" s="41"/>
      <c r="P362" s="52"/>
      <c r="Q362" s="2"/>
    </row>
    <row r="363" customFormat="false" ht="12.75" hidden="false" customHeight="true" outlineLevel="0" collapsed="false">
      <c r="C363" s="70"/>
      <c r="G363" s="2"/>
      <c r="H363" s="41"/>
      <c r="I363" s="41"/>
      <c r="J363" s="41"/>
      <c r="K363" s="41"/>
      <c r="L363" s="41"/>
      <c r="M363" s="41"/>
      <c r="N363" s="41"/>
      <c r="O363" s="41"/>
      <c r="P363" s="52"/>
      <c r="Q363" s="2"/>
    </row>
    <row r="364" customFormat="false" ht="12.75" hidden="false" customHeight="true" outlineLevel="0" collapsed="false">
      <c r="C364" s="70"/>
      <c r="G364" s="2"/>
      <c r="H364" s="41"/>
      <c r="I364" s="41"/>
      <c r="J364" s="41"/>
      <c r="K364" s="41"/>
      <c r="L364" s="41"/>
      <c r="M364" s="41"/>
      <c r="N364" s="41"/>
      <c r="O364" s="41"/>
      <c r="P364" s="52"/>
      <c r="Q364" s="2"/>
    </row>
    <row r="365" customFormat="false" ht="12.75" hidden="false" customHeight="true" outlineLevel="0" collapsed="false">
      <c r="C365" s="70"/>
      <c r="G365" s="2"/>
      <c r="H365" s="41"/>
      <c r="I365" s="41"/>
      <c r="J365" s="41"/>
      <c r="K365" s="41"/>
      <c r="L365" s="41"/>
      <c r="M365" s="41"/>
      <c r="N365" s="41"/>
      <c r="O365" s="41"/>
      <c r="P365" s="52"/>
      <c r="Q365" s="2"/>
    </row>
    <row r="366" customFormat="false" ht="12.75" hidden="false" customHeight="true" outlineLevel="0" collapsed="false">
      <c r="C366" s="70"/>
      <c r="G366" s="2"/>
      <c r="H366" s="41"/>
      <c r="I366" s="41"/>
      <c r="J366" s="41"/>
      <c r="K366" s="41"/>
      <c r="L366" s="41"/>
      <c r="M366" s="41"/>
      <c r="N366" s="41"/>
      <c r="O366" s="41"/>
      <c r="P366" s="52"/>
      <c r="Q366" s="2"/>
    </row>
    <row r="367" customFormat="false" ht="12.75" hidden="false" customHeight="true" outlineLevel="0" collapsed="false">
      <c r="C367" s="70"/>
      <c r="G367" s="2"/>
      <c r="H367" s="41"/>
      <c r="I367" s="41"/>
      <c r="J367" s="41"/>
      <c r="K367" s="41"/>
      <c r="L367" s="41"/>
      <c r="M367" s="41"/>
      <c r="N367" s="41"/>
      <c r="O367" s="41"/>
      <c r="P367" s="52"/>
      <c r="Q367" s="2"/>
    </row>
    <row r="368" customFormat="false" ht="12.75" hidden="false" customHeight="true" outlineLevel="0" collapsed="false">
      <c r="C368" s="70"/>
      <c r="G368" s="2"/>
      <c r="H368" s="41"/>
      <c r="I368" s="41"/>
      <c r="J368" s="41"/>
      <c r="K368" s="41"/>
      <c r="L368" s="41"/>
      <c r="M368" s="41"/>
      <c r="N368" s="41"/>
      <c r="O368" s="41"/>
      <c r="P368" s="52"/>
      <c r="Q368" s="2"/>
    </row>
    <row r="369" customFormat="false" ht="12.75" hidden="false" customHeight="true" outlineLevel="0" collapsed="false">
      <c r="C369" s="70"/>
      <c r="G369" s="2"/>
      <c r="H369" s="41"/>
      <c r="I369" s="41"/>
      <c r="J369" s="41"/>
      <c r="K369" s="41"/>
      <c r="L369" s="41"/>
      <c r="M369" s="41"/>
      <c r="N369" s="41"/>
      <c r="O369" s="41"/>
      <c r="P369" s="52"/>
      <c r="Q369" s="2"/>
    </row>
    <row r="370" customFormat="false" ht="12.75" hidden="false" customHeight="true" outlineLevel="0" collapsed="false">
      <c r="C370" s="70"/>
      <c r="G370" s="2"/>
      <c r="H370" s="41"/>
      <c r="I370" s="41"/>
      <c r="J370" s="41"/>
      <c r="K370" s="41"/>
      <c r="L370" s="41"/>
      <c r="M370" s="41"/>
      <c r="N370" s="41"/>
      <c r="O370" s="41"/>
      <c r="P370" s="52"/>
      <c r="Q370" s="2"/>
    </row>
    <row r="371" customFormat="false" ht="12.75" hidden="false" customHeight="true" outlineLevel="0" collapsed="false">
      <c r="C371" s="70"/>
      <c r="G371" s="2"/>
      <c r="H371" s="41"/>
      <c r="I371" s="41"/>
      <c r="J371" s="41"/>
      <c r="K371" s="41"/>
      <c r="L371" s="41"/>
      <c r="M371" s="41"/>
      <c r="N371" s="41"/>
      <c r="O371" s="41"/>
      <c r="P371" s="52"/>
      <c r="Q371" s="2"/>
    </row>
    <row r="372" customFormat="false" ht="12.75" hidden="false" customHeight="true" outlineLevel="0" collapsed="false">
      <c r="C372" s="70"/>
      <c r="G372" s="2"/>
      <c r="H372" s="41"/>
      <c r="I372" s="41"/>
      <c r="J372" s="41"/>
      <c r="K372" s="41"/>
      <c r="L372" s="41"/>
      <c r="M372" s="41"/>
      <c r="N372" s="41"/>
      <c r="O372" s="41"/>
      <c r="P372" s="52"/>
      <c r="Q372" s="2"/>
    </row>
    <row r="373" customFormat="false" ht="12.75" hidden="false" customHeight="true" outlineLevel="0" collapsed="false">
      <c r="C373" s="70"/>
      <c r="G373" s="2"/>
      <c r="H373" s="41"/>
      <c r="I373" s="41"/>
      <c r="J373" s="41"/>
      <c r="K373" s="41"/>
      <c r="L373" s="41"/>
      <c r="M373" s="41"/>
      <c r="N373" s="41"/>
      <c r="O373" s="41"/>
      <c r="P373" s="52"/>
      <c r="Q373" s="2"/>
    </row>
    <row r="374" customFormat="false" ht="12.75" hidden="false" customHeight="true" outlineLevel="0" collapsed="false">
      <c r="C374" s="70"/>
      <c r="G374" s="2"/>
      <c r="H374" s="41"/>
      <c r="I374" s="41"/>
      <c r="J374" s="41"/>
      <c r="K374" s="41"/>
      <c r="L374" s="41"/>
      <c r="M374" s="41"/>
      <c r="N374" s="41"/>
      <c r="O374" s="41"/>
      <c r="P374" s="52"/>
      <c r="Q374" s="2"/>
    </row>
    <row r="375" customFormat="false" ht="12.75" hidden="false" customHeight="true" outlineLevel="0" collapsed="false">
      <c r="C375" s="70"/>
      <c r="G375" s="2"/>
      <c r="H375" s="41"/>
      <c r="I375" s="41"/>
      <c r="J375" s="41"/>
      <c r="K375" s="41"/>
      <c r="L375" s="41"/>
      <c r="M375" s="41"/>
      <c r="N375" s="41"/>
      <c r="O375" s="41"/>
      <c r="P375" s="52"/>
      <c r="Q375" s="2"/>
    </row>
    <row r="376" customFormat="false" ht="12.75" hidden="false" customHeight="true" outlineLevel="0" collapsed="false">
      <c r="C376" s="70"/>
      <c r="G376" s="2"/>
      <c r="H376" s="41"/>
      <c r="I376" s="41"/>
      <c r="J376" s="41"/>
      <c r="K376" s="41"/>
      <c r="L376" s="41"/>
      <c r="M376" s="41"/>
      <c r="N376" s="41"/>
      <c r="O376" s="41"/>
      <c r="P376" s="52"/>
      <c r="Q376" s="2"/>
    </row>
    <row r="377" customFormat="false" ht="12.75" hidden="false" customHeight="true" outlineLevel="0" collapsed="false">
      <c r="C377" s="70"/>
      <c r="G377" s="2"/>
      <c r="H377" s="41"/>
      <c r="I377" s="41"/>
      <c r="J377" s="41"/>
      <c r="K377" s="41"/>
      <c r="L377" s="41"/>
      <c r="M377" s="41"/>
      <c r="N377" s="41"/>
      <c r="O377" s="41"/>
      <c r="P377" s="52"/>
      <c r="Q377" s="2"/>
    </row>
    <row r="378" customFormat="false" ht="12.75" hidden="false" customHeight="true" outlineLevel="0" collapsed="false">
      <c r="C378" s="70"/>
      <c r="G378" s="2"/>
      <c r="H378" s="41"/>
      <c r="I378" s="41"/>
      <c r="J378" s="41"/>
      <c r="K378" s="41"/>
      <c r="L378" s="41"/>
      <c r="M378" s="41"/>
      <c r="N378" s="41"/>
      <c r="O378" s="41"/>
      <c r="P378" s="52"/>
      <c r="Q378" s="2"/>
    </row>
    <row r="379" customFormat="false" ht="12.75" hidden="false" customHeight="true" outlineLevel="0" collapsed="false">
      <c r="C379" s="70"/>
      <c r="G379" s="2"/>
      <c r="H379" s="41"/>
      <c r="I379" s="41"/>
      <c r="J379" s="41"/>
      <c r="K379" s="41"/>
      <c r="L379" s="41"/>
      <c r="M379" s="41"/>
      <c r="N379" s="41"/>
      <c r="O379" s="41"/>
      <c r="P379" s="52"/>
      <c r="Q379" s="2"/>
    </row>
    <row r="380" customFormat="false" ht="12.75" hidden="false" customHeight="true" outlineLevel="0" collapsed="false">
      <c r="C380" s="70"/>
      <c r="G380" s="2"/>
      <c r="H380" s="41"/>
      <c r="I380" s="41"/>
      <c r="J380" s="41"/>
      <c r="K380" s="41"/>
      <c r="L380" s="41"/>
      <c r="M380" s="41"/>
      <c r="N380" s="41"/>
      <c r="O380" s="41"/>
      <c r="P380" s="52"/>
      <c r="Q380" s="2"/>
    </row>
    <row r="381" customFormat="false" ht="12.75" hidden="false" customHeight="true" outlineLevel="0" collapsed="false">
      <c r="C381" s="70"/>
      <c r="G381" s="2"/>
      <c r="H381" s="41"/>
      <c r="I381" s="41"/>
      <c r="J381" s="41"/>
      <c r="K381" s="41"/>
      <c r="L381" s="41"/>
      <c r="M381" s="41"/>
      <c r="N381" s="41"/>
      <c r="O381" s="41"/>
      <c r="P381" s="52"/>
      <c r="Q381" s="2"/>
    </row>
    <row r="382" customFormat="false" ht="12.75" hidden="false" customHeight="true" outlineLevel="0" collapsed="false">
      <c r="C382" s="70"/>
      <c r="G382" s="2"/>
      <c r="H382" s="41"/>
      <c r="I382" s="41"/>
      <c r="J382" s="41"/>
      <c r="K382" s="41"/>
      <c r="L382" s="41"/>
      <c r="M382" s="41"/>
      <c r="N382" s="41"/>
      <c r="O382" s="41"/>
      <c r="P382" s="52"/>
      <c r="Q382" s="2"/>
    </row>
    <row r="383" customFormat="false" ht="12.75" hidden="false" customHeight="true" outlineLevel="0" collapsed="false">
      <c r="C383" s="70"/>
      <c r="G383" s="2"/>
      <c r="H383" s="41"/>
      <c r="I383" s="41"/>
      <c r="J383" s="41"/>
      <c r="K383" s="41"/>
      <c r="L383" s="41"/>
      <c r="M383" s="41"/>
      <c r="N383" s="41"/>
      <c r="O383" s="41"/>
      <c r="P383" s="52"/>
      <c r="Q383" s="2"/>
    </row>
    <row r="384" customFormat="false" ht="12.75" hidden="false" customHeight="true" outlineLevel="0" collapsed="false">
      <c r="C384" s="70"/>
      <c r="G384" s="2"/>
      <c r="H384" s="41"/>
      <c r="I384" s="41"/>
      <c r="J384" s="41"/>
      <c r="K384" s="41"/>
      <c r="L384" s="41"/>
      <c r="M384" s="41"/>
      <c r="N384" s="41"/>
      <c r="O384" s="41"/>
      <c r="P384" s="52"/>
      <c r="Q384" s="2"/>
    </row>
    <row r="385" customFormat="false" ht="12.75" hidden="false" customHeight="true" outlineLevel="0" collapsed="false">
      <c r="C385" s="70"/>
      <c r="G385" s="2"/>
      <c r="H385" s="41"/>
      <c r="I385" s="41"/>
      <c r="J385" s="41"/>
      <c r="K385" s="41"/>
      <c r="L385" s="41"/>
      <c r="M385" s="41"/>
      <c r="N385" s="41"/>
      <c r="O385" s="41"/>
      <c r="P385" s="52"/>
      <c r="Q385" s="2"/>
    </row>
    <row r="386" customFormat="false" ht="12.75" hidden="false" customHeight="true" outlineLevel="0" collapsed="false">
      <c r="C386" s="70"/>
      <c r="G386" s="2"/>
      <c r="H386" s="41"/>
      <c r="I386" s="41"/>
      <c r="J386" s="41"/>
      <c r="K386" s="41"/>
      <c r="L386" s="41"/>
      <c r="M386" s="41"/>
      <c r="N386" s="41"/>
      <c r="O386" s="41"/>
      <c r="P386" s="52"/>
      <c r="Q386" s="2"/>
    </row>
    <row r="387" customFormat="false" ht="12.75" hidden="false" customHeight="true" outlineLevel="0" collapsed="false">
      <c r="C387" s="70"/>
      <c r="G387" s="2"/>
      <c r="H387" s="41"/>
      <c r="I387" s="41"/>
      <c r="J387" s="41"/>
      <c r="K387" s="41"/>
      <c r="L387" s="41"/>
      <c r="M387" s="41"/>
      <c r="N387" s="41"/>
      <c r="O387" s="41"/>
      <c r="P387" s="52"/>
      <c r="Q387" s="2"/>
    </row>
    <row r="388" customFormat="false" ht="12.75" hidden="false" customHeight="true" outlineLevel="0" collapsed="false">
      <c r="C388" s="70"/>
      <c r="G388" s="2"/>
      <c r="H388" s="41"/>
      <c r="I388" s="41"/>
      <c r="J388" s="41"/>
      <c r="K388" s="41"/>
      <c r="L388" s="41"/>
      <c r="M388" s="41"/>
      <c r="N388" s="41"/>
      <c r="O388" s="41"/>
      <c r="P388" s="52"/>
      <c r="Q388" s="2"/>
    </row>
    <row r="389" customFormat="false" ht="12.75" hidden="false" customHeight="true" outlineLevel="0" collapsed="false">
      <c r="C389" s="70"/>
      <c r="G389" s="2"/>
      <c r="H389" s="41"/>
      <c r="I389" s="41"/>
      <c r="J389" s="41"/>
      <c r="K389" s="41"/>
      <c r="L389" s="41"/>
      <c r="M389" s="41"/>
      <c r="N389" s="41"/>
      <c r="O389" s="41"/>
      <c r="P389" s="52"/>
      <c r="Q389" s="2"/>
    </row>
    <row r="390" customFormat="false" ht="12.75" hidden="false" customHeight="true" outlineLevel="0" collapsed="false">
      <c r="C390" s="70"/>
      <c r="G390" s="2"/>
      <c r="H390" s="41"/>
      <c r="I390" s="41"/>
      <c r="J390" s="41"/>
      <c r="K390" s="41"/>
      <c r="L390" s="41"/>
      <c r="M390" s="41"/>
      <c r="N390" s="41"/>
      <c r="O390" s="41"/>
      <c r="P390" s="52"/>
      <c r="Q390" s="2"/>
    </row>
    <row r="391" customFormat="false" ht="12.75" hidden="false" customHeight="true" outlineLevel="0" collapsed="false">
      <c r="C391" s="70"/>
      <c r="G391" s="2"/>
      <c r="H391" s="41"/>
      <c r="I391" s="41"/>
      <c r="J391" s="41"/>
      <c r="K391" s="41"/>
      <c r="L391" s="41"/>
      <c r="M391" s="41"/>
      <c r="N391" s="41"/>
      <c r="O391" s="41"/>
      <c r="P391" s="52"/>
      <c r="Q391" s="2"/>
    </row>
    <row r="392" customFormat="false" ht="12.75" hidden="false" customHeight="true" outlineLevel="0" collapsed="false">
      <c r="C392" s="70"/>
      <c r="G392" s="2"/>
      <c r="H392" s="41"/>
      <c r="I392" s="41"/>
      <c r="J392" s="41"/>
      <c r="K392" s="41"/>
      <c r="L392" s="41"/>
      <c r="M392" s="41"/>
      <c r="N392" s="41"/>
      <c r="O392" s="41"/>
      <c r="P392" s="52"/>
      <c r="Q392" s="2"/>
    </row>
    <row r="393" customFormat="false" ht="12.75" hidden="false" customHeight="true" outlineLevel="0" collapsed="false">
      <c r="C393" s="70"/>
      <c r="G393" s="2"/>
      <c r="H393" s="41"/>
      <c r="I393" s="41"/>
      <c r="J393" s="41"/>
      <c r="K393" s="41"/>
      <c r="L393" s="41"/>
      <c r="M393" s="41"/>
      <c r="N393" s="41"/>
      <c r="O393" s="41"/>
      <c r="P393" s="52"/>
      <c r="Q393" s="2"/>
    </row>
    <row r="394" customFormat="false" ht="12.75" hidden="false" customHeight="true" outlineLevel="0" collapsed="false">
      <c r="C394" s="70"/>
      <c r="G394" s="2"/>
      <c r="H394" s="41"/>
      <c r="I394" s="41"/>
      <c r="J394" s="41"/>
      <c r="K394" s="41"/>
      <c r="L394" s="41"/>
      <c r="M394" s="41"/>
      <c r="N394" s="41"/>
      <c r="O394" s="41"/>
      <c r="P394" s="52"/>
      <c r="Q394" s="2"/>
    </row>
    <row r="395" customFormat="false" ht="12.75" hidden="false" customHeight="true" outlineLevel="0" collapsed="false">
      <c r="C395" s="70"/>
      <c r="G395" s="2"/>
      <c r="H395" s="41"/>
      <c r="I395" s="41"/>
      <c r="J395" s="41"/>
      <c r="K395" s="41"/>
      <c r="L395" s="41"/>
      <c r="M395" s="41"/>
      <c r="N395" s="41"/>
      <c r="O395" s="41"/>
      <c r="P395" s="52"/>
      <c r="Q395" s="2"/>
    </row>
    <row r="396" customFormat="false" ht="12.75" hidden="false" customHeight="true" outlineLevel="0" collapsed="false">
      <c r="C396" s="70"/>
      <c r="G396" s="2"/>
      <c r="H396" s="41"/>
      <c r="I396" s="41"/>
      <c r="J396" s="41"/>
      <c r="K396" s="41"/>
      <c r="L396" s="41"/>
      <c r="M396" s="41"/>
      <c r="N396" s="41"/>
      <c r="O396" s="41"/>
      <c r="P396" s="52"/>
      <c r="Q396" s="2"/>
    </row>
    <row r="397" customFormat="false" ht="12.75" hidden="false" customHeight="true" outlineLevel="0" collapsed="false">
      <c r="C397" s="70"/>
      <c r="G397" s="2"/>
      <c r="H397" s="41"/>
      <c r="I397" s="41"/>
      <c r="J397" s="41"/>
      <c r="K397" s="41"/>
      <c r="L397" s="41"/>
      <c r="M397" s="41"/>
      <c r="N397" s="41"/>
      <c r="O397" s="41"/>
      <c r="P397" s="52"/>
      <c r="Q397" s="2"/>
    </row>
    <row r="398" customFormat="false" ht="12.75" hidden="false" customHeight="true" outlineLevel="0" collapsed="false">
      <c r="C398" s="70"/>
      <c r="G398" s="2"/>
      <c r="H398" s="41"/>
      <c r="I398" s="41"/>
      <c r="J398" s="41"/>
      <c r="K398" s="41"/>
      <c r="L398" s="41"/>
      <c r="M398" s="41"/>
      <c r="N398" s="41"/>
      <c r="O398" s="41"/>
      <c r="P398" s="52"/>
      <c r="Q398" s="2"/>
    </row>
    <row r="399" customFormat="false" ht="12.75" hidden="false" customHeight="true" outlineLevel="0" collapsed="false">
      <c r="C399" s="70"/>
      <c r="G399" s="2"/>
      <c r="H399" s="41"/>
      <c r="I399" s="41"/>
      <c r="J399" s="41"/>
      <c r="K399" s="41"/>
      <c r="L399" s="41"/>
      <c r="M399" s="41"/>
      <c r="N399" s="41"/>
      <c r="O399" s="41"/>
      <c r="P399" s="52"/>
      <c r="Q399" s="2"/>
    </row>
    <row r="400" customFormat="false" ht="12.75" hidden="false" customHeight="true" outlineLevel="0" collapsed="false">
      <c r="C400" s="70"/>
      <c r="G400" s="2"/>
      <c r="H400" s="41"/>
      <c r="I400" s="41"/>
      <c r="J400" s="41"/>
      <c r="K400" s="41"/>
      <c r="L400" s="41"/>
      <c r="M400" s="41"/>
      <c r="N400" s="41"/>
      <c r="O400" s="41"/>
      <c r="P400" s="52"/>
      <c r="Q400" s="2"/>
    </row>
    <row r="401" customFormat="false" ht="12.75" hidden="false" customHeight="true" outlineLevel="0" collapsed="false">
      <c r="C401" s="70"/>
      <c r="G401" s="2"/>
      <c r="H401" s="41"/>
      <c r="I401" s="41"/>
      <c r="J401" s="41"/>
      <c r="K401" s="41"/>
      <c r="L401" s="41"/>
      <c r="M401" s="41"/>
      <c r="N401" s="41"/>
      <c r="O401" s="41"/>
      <c r="P401" s="52"/>
      <c r="Q401" s="2"/>
    </row>
    <row r="402" customFormat="false" ht="12.75" hidden="false" customHeight="true" outlineLevel="0" collapsed="false">
      <c r="C402" s="70"/>
      <c r="G402" s="2"/>
      <c r="H402" s="41"/>
      <c r="I402" s="41"/>
      <c r="J402" s="41"/>
      <c r="K402" s="41"/>
      <c r="L402" s="41"/>
      <c r="M402" s="41"/>
      <c r="N402" s="41"/>
      <c r="O402" s="41"/>
      <c r="P402" s="52"/>
      <c r="Q402" s="2"/>
    </row>
    <row r="403" customFormat="false" ht="12.75" hidden="false" customHeight="true" outlineLevel="0" collapsed="false">
      <c r="C403" s="70"/>
      <c r="G403" s="2"/>
      <c r="H403" s="41"/>
      <c r="I403" s="41"/>
      <c r="J403" s="41"/>
      <c r="K403" s="41"/>
      <c r="L403" s="41"/>
      <c r="M403" s="41"/>
      <c r="N403" s="41"/>
      <c r="O403" s="41"/>
      <c r="P403" s="52"/>
      <c r="Q403" s="2"/>
    </row>
    <row r="404" customFormat="false" ht="12.75" hidden="false" customHeight="true" outlineLevel="0" collapsed="false">
      <c r="C404" s="70"/>
      <c r="G404" s="2"/>
      <c r="H404" s="41"/>
      <c r="I404" s="41"/>
      <c r="J404" s="41"/>
      <c r="K404" s="41"/>
      <c r="L404" s="41"/>
      <c r="M404" s="41"/>
      <c r="N404" s="41"/>
      <c r="O404" s="41"/>
      <c r="P404" s="52"/>
      <c r="Q404" s="2"/>
    </row>
    <row r="405" customFormat="false" ht="12.75" hidden="false" customHeight="true" outlineLevel="0" collapsed="false">
      <c r="C405" s="70"/>
      <c r="G405" s="2"/>
      <c r="H405" s="41"/>
      <c r="I405" s="41"/>
      <c r="J405" s="41"/>
      <c r="K405" s="41"/>
      <c r="L405" s="41"/>
      <c r="M405" s="41"/>
      <c r="N405" s="41"/>
      <c r="O405" s="41"/>
      <c r="P405" s="52"/>
      <c r="Q405" s="2"/>
    </row>
    <row r="406" customFormat="false" ht="12.75" hidden="false" customHeight="true" outlineLevel="0" collapsed="false">
      <c r="C406" s="70"/>
      <c r="G406" s="2"/>
      <c r="H406" s="41"/>
      <c r="I406" s="41"/>
      <c r="J406" s="41"/>
      <c r="K406" s="41"/>
      <c r="L406" s="41"/>
      <c r="M406" s="41"/>
      <c r="N406" s="41"/>
      <c r="O406" s="41"/>
      <c r="P406" s="52"/>
      <c r="Q406" s="2"/>
    </row>
    <row r="407" customFormat="false" ht="12.75" hidden="false" customHeight="true" outlineLevel="0" collapsed="false">
      <c r="C407" s="70"/>
      <c r="G407" s="2"/>
      <c r="H407" s="41"/>
      <c r="I407" s="41"/>
      <c r="J407" s="41"/>
      <c r="K407" s="41"/>
      <c r="L407" s="41"/>
      <c r="M407" s="41"/>
      <c r="N407" s="41"/>
      <c r="O407" s="41"/>
      <c r="P407" s="52"/>
      <c r="Q407" s="2"/>
    </row>
    <row r="408" customFormat="false" ht="12.75" hidden="false" customHeight="true" outlineLevel="0" collapsed="false">
      <c r="C408" s="70"/>
      <c r="G408" s="2"/>
      <c r="H408" s="41"/>
      <c r="I408" s="41"/>
      <c r="J408" s="41"/>
      <c r="K408" s="41"/>
      <c r="L408" s="41"/>
      <c r="M408" s="41"/>
      <c r="N408" s="41"/>
      <c r="O408" s="41"/>
      <c r="P408" s="52"/>
      <c r="Q408" s="2"/>
    </row>
    <row r="409" customFormat="false" ht="12.75" hidden="false" customHeight="true" outlineLevel="0" collapsed="false">
      <c r="C409" s="70"/>
      <c r="G409" s="2"/>
      <c r="H409" s="41"/>
      <c r="I409" s="41"/>
      <c r="J409" s="41"/>
      <c r="K409" s="41"/>
      <c r="L409" s="41"/>
      <c r="M409" s="41"/>
      <c r="N409" s="41"/>
      <c r="O409" s="41"/>
      <c r="P409" s="52"/>
      <c r="Q409" s="2"/>
    </row>
    <row r="410" customFormat="false" ht="12.75" hidden="false" customHeight="true" outlineLevel="0" collapsed="false">
      <c r="C410" s="70"/>
      <c r="G410" s="2"/>
      <c r="H410" s="41"/>
      <c r="I410" s="41"/>
      <c r="J410" s="41"/>
      <c r="K410" s="41"/>
      <c r="L410" s="41"/>
      <c r="M410" s="41"/>
      <c r="N410" s="41"/>
      <c r="O410" s="41"/>
      <c r="P410" s="52"/>
      <c r="Q410" s="2"/>
    </row>
    <row r="411" customFormat="false" ht="12.75" hidden="false" customHeight="true" outlineLevel="0" collapsed="false">
      <c r="C411" s="70"/>
      <c r="G411" s="2"/>
      <c r="H411" s="41"/>
      <c r="I411" s="41"/>
      <c r="J411" s="41"/>
      <c r="K411" s="41"/>
      <c r="L411" s="41"/>
      <c r="M411" s="41"/>
      <c r="N411" s="41"/>
      <c r="O411" s="41"/>
      <c r="P411" s="52"/>
      <c r="Q411" s="2"/>
    </row>
    <row r="412" customFormat="false" ht="12.75" hidden="false" customHeight="true" outlineLevel="0" collapsed="false">
      <c r="C412" s="70"/>
      <c r="G412" s="2"/>
      <c r="H412" s="41"/>
      <c r="I412" s="41"/>
      <c r="J412" s="41"/>
      <c r="K412" s="41"/>
      <c r="L412" s="41"/>
      <c r="M412" s="41"/>
      <c r="N412" s="41"/>
      <c r="O412" s="41"/>
      <c r="P412" s="52"/>
      <c r="Q412" s="2"/>
    </row>
    <row r="413" customFormat="false" ht="12.75" hidden="false" customHeight="true" outlineLevel="0" collapsed="false">
      <c r="C413" s="70"/>
      <c r="G413" s="2"/>
      <c r="H413" s="41"/>
      <c r="I413" s="41"/>
      <c r="J413" s="41"/>
      <c r="K413" s="41"/>
      <c r="L413" s="41"/>
      <c r="M413" s="41"/>
      <c r="N413" s="41"/>
      <c r="O413" s="41"/>
      <c r="P413" s="52"/>
      <c r="Q413" s="2"/>
    </row>
    <row r="414" customFormat="false" ht="12.75" hidden="false" customHeight="true" outlineLevel="0" collapsed="false">
      <c r="C414" s="70"/>
      <c r="G414" s="2"/>
      <c r="H414" s="41"/>
      <c r="I414" s="41"/>
      <c r="J414" s="41"/>
      <c r="K414" s="41"/>
      <c r="L414" s="41"/>
      <c r="M414" s="41"/>
      <c r="N414" s="41"/>
      <c r="O414" s="41"/>
      <c r="P414" s="52"/>
      <c r="Q414" s="2"/>
    </row>
    <row r="415" customFormat="false" ht="12.75" hidden="false" customHeight="true" outlineLevel="0" collapsed="false">
      <c r="C415" s="70"/>
      <c r="G415" s="2"/>
      <c r="H415" s="41"/>
      <c r="I415" s="41"/>
      <c r="J415" s="41"/>
      <c r="K415" s="41"/>
      <c r="L415" s="41"/>
      <c r="M415" s="41"/>
      <c r="N415" s="41"/>
      <c r="O415" s="41"/>
      <c r="P415" s="52"/>
      <c r="Q415" s="2"/>
    </row>
    <row r="416" customFormat="false" ht="12.75" hidden="false" customHeight="true" outlineLevel="0" collapsed="false">
      <c r="C416" s="70"/>
      <c r="G416" s="2"/>
      <c r="H416" s="41"/>
      <c r="I416" s="41"/>
      <c r="J416" s="41"/>
      <c r="K416" s="41"/>
      <c r="L416" s="41"/>
      <c r="M416" s="41"/>
      <c r="N416" s="41"/>
      <c r="O416" s="41"/>
      <c r="P416" s="52"/>
      <c r="Q416" s="2"/>
    </row>
    <row r="417" customFormat="false" ht="12.75" hidden="false" customHeight="true" outlineLevel="0" collapsed="false">
      <c r="C417" s="70"/>
      <c r="G417" s="2"/>
      <c r="H417" s="41"/>
      <c r="I417" s="41"/>
      <c r="J417" s="41"/>
      <c r="K417" s="41"/>
      <c r="L417" s="41"/>
      <c r="M417" s="41"/>
      <c r="N417" s="41"/>
      <c r="O417" s="41"/>
      <c r="P417" s="52"/>
      <c r="Q417" s="2"/>
    </row>
    <row r="418" customFormat="false" ht="12.75" hidden="false" customHeight="true" outlineLevel="0" collapsed="false">
      <c r="C418" s="70"/>
      <c r="G418" s="2"/>
      <c r="H418" s="41"/>
      <c r="I418" s="41"/>
      <c r="J418" s="41"/>
      <c r="K418" s="41"/>
      <c r="L418" s="41"/>
      <c r="M418" s="41"/>
      <c r="N418" s="41"/>
      <c r="O418" s="41"/>
      <c r="P418" s="52"/>
      <c r="Q418" s="2"/>
    </row>
    <row r="419" customFormat="false" ht="12.75" hidden="false" customHeight="true" outlineLevel="0" collapsed="false">
      <c r="C419" s="70"/>
      <c r="G419" s="2"/>
      <c r="H419" s="41"/>
      <c r="I419" s="41"/>
      <c r="J419" s="41"/>
      <c r="K419" s="41"/>
      <c r="L419" s="41"/>
      <c r="M419" s="41"/>
      <c r="N419" s="41"/>
      <c r="O419" s="41"/>
      <c r="P419" s="52"/>
      <c r="Q419" s="2"/>
    </row>
    <row r="420" customFormat="false" ht="12.75" hidden="false" customHeight="true" outlineLevel="0" collapsed="false">
      <c r="C420" s="70"/>
      <c r="G420" s="2"/>
      <c r="H420" s="41"/>
      <c r="I420" s="41"/>
      <c r="J420" s="41"/>
      <c r="K420" s="41"/>
      <c r="L420" s="41"/>
      <c r="M420" s="41"/>
      <c r="N420" s="41"/>
      <c r="O420" s="41"/>
      <c r="P420" s="52"/>
      <c r="Q420" s="2"/>
    </row>
    <row r="421" customFormat="false" ht="12.75" hidden="false" customHeight="true" outlineLevel="0" collapsed="false">
      <c r="C421" s="70"/>
      <c r="G421" s="2"/>
      <c r="H421" s="41"/>
      <c r="I421" s="41"/>
      <c r="J421" s="41"/>
      <c r="K421" s="41"/>
      <c r="L421" s="41"/>
      <c r="M421" s="41"/>
      <c r="N421" s="41"/>
      <c r="O421" s="41"/>
      <c r="P421" s="52"/>
      <c r="Q421" s="2"/>
    </row>
    <row r="422" customFormat="false" ht="12.75" hidden="false" customHeight="true" outlineLevel="0" collapsed="false">
      <c r="C422" s="70"/>
      <c r="G422" s="2"/>
      <c r="H422" s="41"/>
      <c r="I422" s="41"/>
      <c r="J422" s="41"/>
      <c r="K422" s="41"/>
      <c r="L422" s="41"/>
      <c r="M422" s="41"/>
      <c r="N422" s="41"/>
      <c r="O422" s="41"/>
      <c r="P422" s="52"/>
      <c r="Q422" s="2"/>
    </row>
    <row r="423" customFormat="false" ht="12.75" hidden="false" customHeight="true" outlineLevel="0" collapsed="false">
      <c r="C423" s="70"/>
      <c r="G423" s="2"/>
      <c r="H423" s="41"/>
      <c r="I423" s="41"/>
      <c r="J423" s="41"/>
      <c r="K423" s="41"/>
      <c r="L423" s="41"/>
      <c r="M423" s="41"/>
      <c r="N423" s="41"/>
      <c r="O423" s="41"/>
      <c r="P423" s="52"/>
      <c r="Q423" s="2"/>
    </row>
    <row r="424" customFormat="false" ht="12.75" hidden="false" customHeight="true" outlineLevel="0" collapsed="false">
      <c r="C424" s="70"/>
      <c r="G424" s="2"/>
      <c r="H424" s="41"/>
      <c r="I424" s="41"/>
      <c r="J424" s="41"/>
      <c r="K424" s="41"/>
      <c r="L424" s="41"/>
      <c r="M424" s="41"/>
      <c r="N424" s="41"/>
      <c r="O424" s="41"/>
      <c r="P424" s="52"/>
      <c r="Q424" s="2"/>
    </row>
    <row r="425" customFormat="false" ht="12.75" hidden="false" customHeight="true" outlineLevel="0" collapsed="false">
      <c r="C425" s="70"/>
      <c r="G425" s="2"/>
      <c r="H425" s="41"/>
      <c r="I425" s="41"/>
      <c r="J425" s="41"/>
      <c r="K425" s="41"/>
      <c r="L425" s="41"/>
      <c r="M425" s="41"/>
      <c r="N425" s="41"/>
      <c r="O425" s="41"/>
      <c r="P425" s="52"/>
      <c r="Q425" s="2"/>
    </row>
    <row r="426" customFormat="false" ht="12.75" hidden="false" customHeight="true" outlineLevel="0" collapsed="false">
      <c r="C426" s="70"/>
      <c r="G426" s="2"/>
      <c r="H426" s="41"/>
      <c r="I426" s="41"/>
      <c r="J426" s="41"/>
      <c r="K426" s="41"/>
      <c r="L426" s="41"/>
      <c r="M426" s="41"/>
      <c r="N426" s="41"/>
      <c r="O426" s="41"/>
      <c r="P426" s="52"/>
      <c r="Q426" s="2"/>
    </row>
    <row r="427" customFormat="false" ht="12.75" hidden="false" customHeight="true" outlineLevel="0" collapsed="false">
      <c r="C427" s="70"/>
      <c r="G427" s="2"/>
      <c r="H427" s="41"/>
      <c r="I427" s="41"/>
      <c r="J427" s="41"/>
      <c r="K427" s="41"/>
      <c r="L427" s="41"/>
      <c r="M427" s="41"/>
      <c r="N427" s="41"/>
      <c r="O427" s="41"/>
      <c r="P427" s="52"/>
      <c r="Q427" s="2"/>
    </row>
    <row r="428" customFormat="false" ht="12.75" hidden="false" customHeight="true" outlineLevel="0" collapsed="false">
      <c r="C428" s="70"/>
      <c r="G428" s="2"/>
      <c r="H428" s="41"/>
      <c r="I428" s="41"/>
      <c r="J428" s="41"/>
      <c r="K428" s="41"/>
      <c r="L428" s="41"/>
      <c r="M428" s="41"/>
      <c r="N428" s="41"/>
      <c r="O428" s="41"/>
      <c r="P428" s="52"/>
      <c r="Q428" s="2"/>
    </row>
    <row r="429" customFormat="false" ht="12.75" hidden="false" customHeight="true" outlineLevel="0" collapsed="false">
      <c r="C429" s="70"/>
      <c r="G429" s="2"/>
      <c r="H429" s="41"/>
      <c r="I429" s="41"/>
      <c r="J429" s="41"/>
      <c r="K429" s="41"/>
      <c r="L429" s="41"/>
      <c r="M429" s="41"/>
      <c r="N429" s="41"/>
      <c r="O429" s="41"/>
      <c r="P429" s="52"/>
      <c r="Q429" s="2"/>
    </row>
    <row r="430" customFormat="false" ht="12.75" hidden="false" customHeight="true" outlineLevel="0" collapsed="false">
      <c r="C430" s="70"/>
      <c r="G430" s="2"/>
      <c r="H430" s="41"/>
      <c r="I430" s="41"/>
      <c r="J430" s="41"/>
      <c r="K430" s="41"/>
      <c r="L430" s="41"/>
      <c r="M430" s="41"/>
      <c r="N430" s="41"/>
      <c r="O430" s="41"/>
      <c r="P430" s="52"/>
      <c r="Q430" s="2"/>
    </row>
    <row r="431" customFormat="false" ht="12.75" hidden="false" customHeight="true" outlineLevel="0" collapsed="false">
      <c r="C431" s="70"/>
      <c r="G431" s="2"/>
      <c r="H431" s="41"/>
      <c r="I431" s="41"/>
      <c r="J431" s="41"/>
      <c r="K431" s="41"/>
      <c r="L431" s="41"/>
      <c r="M431" s="41"/>
      <c r="N431" s="41"/>
      <c r="O431" s="41"/>
      <c r="P431" s="52"/>
      <c r="Q431" s="2"/>
    </row>
    <row r="432" customFormat="false" ht="12.75" hidden="false" customHeight="true" outlineLevel="0" collapsed="false">
      <c r="C432" s="70"/>
      <c r="G432" s="2"/>
      <c r="H432" s="41"/>
      <c r="I432" s="41"/>
      <c r="J432" s="41"/>
      <c r="K432" s="41"/>
      <c r="L432" s="41"/>
      <c r="M432" s="41"/>
      <c r="N432" s="41"/>
      <c r="O432" s="41"/>
      <c r="P432" s="52"/>
      <c r="Q432" s="2"/>
    </row>
    <row r="433" customFormat="false" ht="12.75" hidden="false" customHeight="true" outlineLevel="0" collapsed="false">
      <c r="C433" s="70"/>
      <c r="G433" s="2"/>
      <c r="H433" s="41"/>
      <c r="I433" s="41"/>
      <c r="J433" s="41"/>
      <c r="K433" s="41"/>
      <c r="L433" s="41"/>
      <c r="M433" s="41"/>
      <c r="N433" s="41"/>
      <c r="O433" s="41"/>
      <c r="P433" s="52"/>
      <c r="Q433" s="2"/>
    </row>
    <row r="434" customFormat="false" ht="12.75" hidden="false" customHeight="true" outlineLevel="0" collapsed="false">
      <c r="C434" s="70"/>
      <c r="G434" s="2"/>
      <c r="H434" s="41"/>
      <c r="I434" s="41"/>
      <c r="J434" s="41"/>
      <c r="K434" s="41"/>
      <c r="L434" s="41"/>
      <c r="M434" s="41"/>
      <c r="N434" s="41"/>
      <c r="O434" s="41"/>
      <c r="P434" s="52"/>
      <c r="Q434" s="2"/>
    </row>
    <row r="435" customFormat="false" ht="12.75" hidden="false" customHeight="true" outlineLevel="0" collapsed="false">
      <c r="C435" s="70"/>
      <c r="G435" s="2"/>
      <c r="H435" s="41"/>
      <c r="I435" s="41"/>
      <c r="J435" s="41"/>
      <c r="K435" s="41"/>
      <c r="L435" s="41"/>
      <c r="M435" s="41"/>
      <c r="N435" s="41"/>
      <c r="O435" s="41"/>
      <c r="P435" s="52"/>
      <c r="Q435" s="2"/>
    </row>
    <row r="436" customFormat="false" ht="12.75" hidden="false" customHeight="true" outlineLevel="0" collapsed="false">
      <c r="C436" s="70"/>
      <c r="G436" s="2"/>
      <c r="H436" s="41"/>
      <c r="I436" s="41"/>
      <c r="J436" s="41"/>
      <c r="K436" s="41"/>
      <c r="L436" s="41"/>
      <c r="M436" s="41"/>
      <c r="N436" s="41"/>
      <c r="O436" s="41"/>
      <c r="P436" s="52"/>
      <c r="Q436" s="2"/>
    </row>
    <row r="437" customFormat="false" ht="12.75" hidden="false" customHeight="true" outlineLevel="0" collapsed="false">
      <c r="C437" s="70"/>
      <c r="G437" s="2"/>
      <c r="H437" s="41"/>
      <c r="I437" s="41"/>
      <c r="J437" s="41"/>
      <c r="K437" s="41"/>
      <c r="L437" s="41"/>
      <c r="M437" s="41"/>
      <c r="N437" s="41"/>
      <c r="O437" s="41"/>
      <c r="P437" s="52"/>
      <c r="Q437" s="2"/>
    </row>
    <row r="438" customFormat="false" ht="12.75" hidden="false" customHeight="true" outlineLevel="0" collapsed="false">
      <c r="C438" s="70"/>
      <c r="G438" s="2"/>
      <c r="H438" s="41"/>
      <c r="I438" s="41"/>
      <c r="J438" s="41"/>
      <c r="K438" s="41"/>
      <c r="L438" s="41"/>
      <c r="M438" s="41"/>
      <c r="N438" s="41"/>
      <c r="O438" s="41"/>
      <c r="P438" s="52"/>
      <c r="Q438" s="2"/>
    </row>
    <row r="439" customFormat="false" ht="12.75" hidden="false" customHeight="true" outlineLevel="0" collapsed="false">
      <c r="C439" s="70"/>
      <c r="G439" s="2"/>
      <c r="H439" s="41"/>
      <c r="I439" s="41"/>
      <c r="J439" s="41"/>
      <c r="K439" s="41"/>
      <c r="L439" s="41"/>
      <c r="M439" s="41"/>
      <c r="N439" s="41"/>
      <c r="O439" s="41"/>
      <c r="P439" s="52"/>
      <c r="Q439" s="2"/>
    </row>
    <row r="440" customFormat="false" ht="12.75" hidden="false" customHeight="true" outlineLevel="0" collapsed="false">
      <c r="C440" s="70"/>
      <c r="G440" s="2"/>
      <c r="H440" s="41"/>
      <c r="I440" s="41"/>
      <c r="J440" s="41"/>
      <c r="K440" s="41"/>
      <c r="L440" s="41"/>
      <c r="M440" s="41"/>
      <c r="N440" s="41"/>
      <c r="O440" s="41"/>
      <c r="P440" s="52"/>
      <c r="Q440" s="2"/>
    </row>
    <row r="441" customFormat="false" ht="12.75" hidden="false" customHeight="true" outlineLevel="0" collapsed="false">
      <c r="C441" s="70"/>
      <c r="G441" s="2"/>
      <c r="H441" s="41"/>
      <c r="I441" s="41"/>
      <c r="J441" s="41"/>
      <c r="K441" s="41"/>
      <c r="L441" s="41"/>
      <c r="M441" s="41"/>
      <c r="N441" s="41"/>
      <c r="O441" s="41"/>
      <c r="P441" s="52"/>
      <c r="Q441" s="2"/>
    </row>
    <row r="442" customFormat="false" ht="12.75" hidden="false" customHeight="true" outlineLevel="0" collapsed="false">
      <c r="C442" s="70"/>
      <c r="G442" s="2"/>
      <c r="H442" s="41"/>
      <c r="I442" s="41"/>
      <c r="J442" s="41"/>
      <c r="K442" s="41"/>
      <c r="L442" s="41"/>
      <c r="M442" s="41"/>
      <c r="N442" s="41"/>
      <c r="O442" s="41"/>
      <c r="P442" s="52"/>
      <c r="Q442" s="2"/>
    </row>
    <row r="443" customFormat="false" ht="12.75" hidden="false" customHeight="true" outlineLevel="0" collapsed="false">
      <c r="C443" s="70"/>
      <c r="G443" s="2"/>
      <c r="H443" s="41"/>
      <c r="I443" s="41"/>
      <c r="J443" s="41"/>
      <c r="K443" s="41"/>
      <c r="L443" s="41"/>
      <c r="M443" s="41"/>
      <c r="N443" s="41"/>
      <c r="O443" s="41"/>
      <c r="P443" s="52"/>
      <c r="Q443" s="2"/>
    </row>
    <row r="444" customFormat="false" ht="12.75" hidden="false" customHeight="true" outlineLevel="0" collapsed="false">
      <c r="C444" s="70"/>
      <c r="G444" s="2"/>
      <c r="H444" s="41"/>
      <c r="I444" s="41"/>
      <c r="J444" s="41"/>
      <c r="K444" s="41"/>
      <c r="L444" s="41"/>
      <c r="M444" s="41"/>
      <c r="N444" s="41"/>
      <c r="O444" s="41"/>
      <c r="P444" s="52"/>
      <c r="Q444" s="2"/>
    </row>
    <row r="445" customFormat="false" ht="12.75" hidden="false" customHeight="true" outlineLevel="0" collapsed="false">
      <c r="C445" s="70"/>
      <c r="G445" s="2"/>
      <c r="H445" s="41"/>
      <c r="I445" s="41"/>
      <c r="J445" s="41"/>
      <c r="K445" s="41"/>
      <c r="L445" s="41"/>
      <c r="M445" s="41"/>
      <c r="N445" s="41"/>
      <c r="O445" s="41"/>
      <c r="P445" s="52"/>
      <c r="Q445" s="2"/>
    </row>
    <row r="446" customFormat="false" ht="12.75" hidden="false" customHeight="true" outlineLevel="0" collapsed="false">
      <c r="C446" s="70"/>
      <c r="G446" s="2"/>
      <c r="H446" s="41"/>
      <c r="I446" s="41"/>
      <c r="J446" s="41"/>
      <c r="K446" s="41"/>
      <c r="L446" s="41"/>
      <c r="M446" s="41"/>
      <c r="N446" s="41"/>
      <c r="O446" s="41"/>
      <c r="P446" s="52"/>
      <c r="Q446" s="2"/>
    </row>
    <row r="447" customFormat="false" ht="12.75" hidden="false" customHeight="true" outlineLevel="0" collapsed="false">
      <c r="C447" s="70"/>
      <c r="G447" s="2"/>
      <c r="H447" s="41"/>
      <c r="I447" s="41"/>
      <c r="J447" s="41"/>
      <c r="K447" s="41"/>
      <c r="L447" s="41"/>
      <c r="M447" s="41"/>
      <c r="N447" s="41"/>
      <c r="O447" s="41"/>
      <c r="P447" s="52"/>
      <c r="Q447" s="2"/>
    </row>
    <row r="448" customFormat="false" ht="12.75" hidden="false" customHeight="true" outlineLevel="0" collapsed="false">
      <c r="C448" s="70"/>
      <c r="G448" s="2"/>
      <c r="H448" s="41"/>
      <c r="I448" s="41"/>
      <c r="J448" s="41"/>
      <c r="K448" s="41"/>
      <c r="L448" s="41"/>
      <c r="M448" s="41"/>
      <c r="N448" s="41"/>
      <c r="O448" s="41"/>
      <c r="P448" s="52"/>
      <c r="Q448" s="2"/>
    </row>
    <row r="449" customFormat="false" ht="12.75" hidden="false" customHeight="true" outlineLevel="0" collapsed="false">
      <c r="C449" s="70"/>
      <c r="G449" s="2"/>
      <c r="H449" s="41"/>
      <c r="I449" s="41"/>
      <c r="J449" s="41"/>
      <c r="K449" s="41"/>
      <c r="L449" s="41"/>
      <c r="M449" s="41"/>
      <c r="N449" s="41"/>
      <c r="O449" s="41"/>
      <c r="P449" s="52"/>
      <c r="Q449" s="2"/>
    </row>
    <row r="450" customFormat="false" ht="12.75" hidden="false" customHeight="true" outlineLevel="0" collapsed="false">
      <c r="C450" s="70"/>
      <c r="G450" s="2"/>
      <c r="H450" s="41"/>
      <c r="I450" s="41"/>
      <c r="J450" s="41"/>
      <c r="K450" s="41"/>
      <c r="L450" s="41"/>
      <c r="M450" s="41"/>
      <c r="N450" s="41"/>
      <c r="O450" s="41"/>
      <c r="P450" s="52"/>
      <c r="Q450" s="2"/>
    </row>
    <row r="451" customFormat="false" ht="12.75" hidden="false" customHeight="true" outlineLevel="0" collapsed="false">
      <c r="C451" s="70"/>
      <c r="G451" s="2"/>
      <c r="H451" s="41"/>
      <c r="I451" s="41"/>
      <c r="J451" s="41"/>
      <c r="K451" s="41"/>
      <c r="L451" s="41"/>
      <c r="M451" s="41"/>
      <c r="N451" s="41"/>
      <c r="O451" s="41"/>
      <c r="P451" s="52"/>
      <c r="Q451" s="2"/>
    </row>
    <row r="452" customFormat="false" ht="12.75" hidden="false" customHeight="true" outlineLevel="0" collapsed="false">
      <c r="C452" s="70"/>
      <c r="G452" s="2"/>
      <c r="H452" s="41"/>
      <c r="I452" s="41"/>
      <c r="J452" s="41"/>
      <c r="K452" s="41"/>
      <c r="L452" s="41"/>
      <c r="M452" s="41"/>
      <c r="N452" s="41"/>
      <c r="O452" s="41"/>
      <c r="P452" s="52"/>
      <c r="Q452" s="2"/>
    </row>
    <row r="453" customFormat="false" ht="12.75" hidden="false" customHeight="true" outlineLevel="0" collapsed="false">
      <c r="C453" s="70"/>
      <c r="G453" s="2"/>
      <c r="H453" s="41"/>
      <c r="I453" s="41"/>
      <c r="J453" s="41"/>
      <c r="K453" s="41"/>
      <c r="L453" s="41"/>
      <c r="M453" s="41"/>
      <c r="N453" s="41"/>
      <c r="O453" s="41"/>
      <c r="P453" s="52"/>
      <c r="Q453" s="2"/>
    </row>
    <row r="454" customFormat="false" ht="12.75" hidden="false" customHeight="true" outlineLevel="0" collapsed="false">
      <c r="C454" s="70"/>
      <c r="G454" s="2"/>
      <c r="H454" s="41"/>
      <c r="I454" s="41"/>
      <c r="J454" s="41"/>
      <c r="K454" s="41"/>
      <c r="L454" s="41"/>
      <c r="M454" s="41"/>
      <c r="N454" s="41"/>
      <c r="O454" s="41"/>
      <c r="P454" s="52"/>
      <c r="Q454" s="2"/>
    </row>
    <row r="455" customFormat="false" ht="12.75" hidden="false" customHeight="true" outlineLevel="0" collapsed="false">
      <c r="C455" s="70"/>
      <c r="G455" s="2"/>
      <c r="H455" s="41"/>
      <c r="I455" s="41"/>
      <c r="J455" s="41"/>
      <c r="K455" s="41"/>
      <c r="L455" s="41"/>
      <c r="M455" s="41"/>
      <c r="N455" s="41"/>
      <c r="O455" s="41"/>
      <c r="P455" s="52"/>
      <c r="Q455" s="2"/>
    </row>
    <row r="456" customFormat="false" ht="12.75" hidden="false" customHeight="true" outlineLevel="0" collapsed="false">
      <c r="C456" s="70"/>
      <c r="G456" s="2"/>
      <c r="H456" s="41"/>
      <c r="I456" s="41"/>
      <c r="J456" s="41"/>
      <c r="K456" s="41"/>
      <c r="L456" s="41"/>
      <c r="M456" s="41"/>
      <c r="N456" s="41"/>
      <c r="O456" s="41"/>
      <c r="P456" s="52"/>
      <c r="Q456" s="2"/>
    </row>
    <row r="457" customFormat="false" ht="12.75" hidden="false" customHeight="true" outlineLevel="0" collapsed="false">
      <c r="C457" s="70"/>
      <c r="G457" s="2"/>
      <c r="H457" s="41"/>
      <c r="I457" s="41"/>
      <c r="J457" s="41"/>
      <c r="K457" s="41"/>
      <c r="L457" s="41"/>
      <c r="M457" s="41"/>
      <c r="N457" s="41"/>
      <c r="O457" s="41"/>
      <c r="P457" s="52"/>
      <c r="Q457" s="2"/>
    </row>
    <row r="458" customFormat="false" ht="12.75" hidden="false" customHeight="true" outlineLevel="0" collapsed="false">
      <c r="C458" s="70"/>
      <c r="G458" s="2"/>
      <c r="H458" s="41"/>
      <c r="I458" s="41"/>
      <c r="J458" s="41"/>
      <c r="K458" s="41"/>
      <c r="L458" s="41"/>
      <c r="M458" s="41"/>
      <c r="N458" s="41"/>
      <c r="O458" s="41"/>
      <c r="P458" s="52"/>
      <c r="Q458" s="2"/>
    </row>
    <row r="459" customFormat="false" ht="12.75" hidden="false" customHeight="true" outlineLevel="0" collapsed="false">
      <c r="C459" s="70"/>
      <c r="G459" s="2"/>
      <c r="H459" s="41"/>
      <c r="I459" s="41"/>
      <c r="J459" s="41"/>
      <c r="K459" s="41"/>
      <c r="L459" s="41"/>
      <c r="M459" s="41"/>
      <c r="N459" s="41"/>
      <c r="O459" s="41"/>
      <c r="P459" s="52"/>
      <c r="Q459" s="2"/>
    </row>
    <row r="460" customFormat="false" ht="12.75" hidden="false" customHeight="true" outlineLevel="0" collapsed="false">
      <c r="C460" s="70"/>
      <c r="G460" s="2"/>
      <c r="H460" s="41"/>
      <c r="I460" s="41"/>
      <c r="J460" s="41"/>
      <c r="K460" s="41"/>
      <c r="L460" s="41"/>
      <c r="M460" s="41"/>
      <c r="N460" s="41"/>
      <c r="O460" s="41"/>
      <c r="P460" s="52"/>
      <c r="Q460" s="2"/>
    </row>
    <row r="461" customFormat="false" ht="12.75" hidden="false" customHeight="true" outlineLevel="0" collapsed="false">
      <c r="C461" s="70"/>
      <c r="G461" s="2"/>
      <c r="H461" s="41"/>
      <c r="I461" s="41"/>
      <c r="J461" s="41"/>
      <c r="K461" s="41"/>
      <c r="L461" s="41"/>
      <c r="M461" s="41"/>
      <c r="N461" s="41"/>
      <c r="O461" s="41"/>
      <c r="P461" s="52"/>
      <c r="Q461" s="2"/>
    </row>
    <row r="462" customFormat="false" ht="12.75" hidden="false" customHeight="true" outlineLevel="0" collapsed="false">
      <c r="C462" s="70"/>
      <c r="G462" s="2"/>
      <c r="H462" s="41"/>
      <c r="I462" s="41"/>
      <c r="J462" s="41"/>
      <c r="K462" s="41"/>
      <c r="L462" s="41"/>
      <c r="M462" s="41"/>
      <c r="N462" s="41"/>
      <c r="O462" s="41"/>
      <c r="P462" s="52"/>
      <c r="Q462" s="2"/>
    </row>
    <row r="463" customFormat="false" ht="12.75" hidden="false" customHeight="true" outlineLevel="0" collapsed="false">
      <c r="C463" s="70"/>
      <c r="G463" s="2"/>
      <c r="H463" s="41"/>
      <c r="I463" s="41"/>
      <c r="J463" s="41"/>
      <c r="K463" s="41"/>
      <c r="L463" s="41"/>
      <c r="M463" s="41"/>
      <c r="N463" s="41"/>
      <c r="O463" s="41"/>
      <c r="P463" s="52"/>
      <c r="Q463" s="2"/>
    </row>
    <row r="464" customFormat="false" ht="12.75" hidden="false" customHeight="true" outlineLevel="0" collapsed="false">
      <c r="C464" s="70"/>
      <c r="G464" s="2"/>
      <c r="H464" s="41"/>
      <c r="I464" s="41"/>
      <c r="J464" s="41"/>
      <c r="K464" s="41"/>
      <c r="L464" s="41"/>
      <c r="M464" s="41"/>
      <c r="N464" s="41"/>
      <c r="O464" s="41"/>
      <c r="P464" s="52"/>
      <c r="Q464" s="2"/>
    </row>
    <row r="465" customFormat="false" ht="12.75" hidden="false" customHeight="true" outlineLevel="0" collapsed="false">
      <c r="C465" s="70"/>
      <c r="G465" s="2"/>
      <c r="H465" s="41"/>
      <c r="I465" s="41"/>
      <c r="J465" s="41"/>
      <c r="K465" s="41"/>
      <c r="L465" s="41"/>
      <c r="M465" s="41"/>
      <c r="N465" s="41"/>
      <c r="O465" s="41"/>
      <c r="P465" s="52"/>
      <c r="Q465" s="2"/>
    </row>
    <row r="466" customFormat="false" ht="12.75" hidden="false" customHeight="true" outlineLevel="0" collapsed="false">
      <c r="C466" s="70"/>
      <c r="G466" s="2"/>
      <c r="H466" s="41"/>
      <c r="I466" s="41"/>
      <c r="J466" s="41"/>
      <c r="K466" s="41"/>
      <c r="L466" s="41"/>
      <c r="M466" s="41"/>
      <c r="N466" s="41"/>
      <c r="O466" s="41"/>
      <c r="P466" s="52"/>
      <c r="Q466" s="2"/>
    </row>
    <row r="467" customFormat="false" ht="12.75" hidden="false" customHeight="true" outlineLevel="0" collapsed="false">
      <c r="C467" s="70"/>
      <c r="G467" s="2"/>
      <c r="H467" s="41"/>
      <c r="I467" s="41"/>
      <c r="J467" s="41"/>
      <c r="K467" s="41"/>
      <c r="L467" s="41"/>
      <c r="M467" s="41"/>
      <c r="N467" s="41"/>
      <c r="O467" s="41"/>
      <c r="P467" s="52"/>
      <c r="Q467" s="2"/>
    </row>
    <row r="468" customFormat="false" ht="12.75" hidden="false" customHeight="true" outlineLevel="0" collapsed="false">
      <c r="C468" s="70"/>
      <c r="G468" s="2"/>
      <c r="H468" s="41"/>
      <c r="I468" s="41"/>
      <c r="J468" s="41"/>
      <c r="K468" s="41"/>
      <c r="L468" s="41"/>
      <c r="M468" s="41"/>
      <c r="N468" s="41"/>
      <c r="O468" s="41"/>
      <c r="P468" s="52"/>
      <c r="Q468" s="2"/>
    </row>
    <row r="469" customFormat="false" ht="12.75" hidden="false" customHeight="true" outlineLevel="0" collapsed="false">
      <c r="C469" s="70"/>
      <c r="G469" s="2"/>
      <c r="H469" s="41"/>
      <c r="I469" s="41"/>
      <c r="J469" s="41"/>
      <c r="K469" s="41"/>
      <c r="L469" s="41"/>
      <c r="M469" s="41"/>
      <c r="N469" s="41"/>
      <c r="O469" s="41"/>
      <c r="P469" s="52"/>
      <c r="Q469" s="2"/>
    </row>
    <row r="470" customFormat="false" ht="12.75" hidden="false" customHeight="true" outlineLevel="0" collapsed="false">
      <c r="C470" s="70"/>
      <c r="G470" s="2"/>
      <c r="H470" s="41"/>
      <c r="I470" s="41"/>
      <c r="J470" s="41"/>
      <c r="K470" s="41"/>
      <c r="L470" s="41"/>
      <c r="M470" s="41"/>
      <c r="N470" s="41"/>
      <c r="O470" s="41"/>
      <c r="P470" s="52"/>
      <c r="Q470" s="2"/>
    </row>
    <row r="471" customFormat="false" ht="12.75" hidden="false" customHeight="true" outlineLevel="0" collapsed="false">
      <c r="C471" s="70"/>
      <c r="G471" s="2"/>
      <c r="H471" s="41"/>
      <c r="I471" s="41"/>
      <c r="J471" s="41"/>
      <c r="K471" s="41"/>
      <c r="L471" s="41"/>
      <c r="M471" s="41"/>
      <c r="N471" s="41"/>
      <c r="O471" s="41"/>
      <c r="P471" s="52"/>
      <c r="Q471" s="2"/>
    </row>
    <row r="472" customFormat="false" ht="12.75" hidden="false" customHeight="true" outlineLevel="0" collapsed="false">
      <c r="C472" s="70"/>
      <c r="G472" s="2"/>
      <c r="H472" s="41"/>
      <c r="I472" s="41"/>
      <c r="J472" s="41"/>
      <c r="K472" s="41"/>
      <c r="L472" s="41"/>
      <c r="M472" s="41"/>
      <c r="N472" s="41"/>
      <c r="O472" s="41"/>
      <c r="P472" s="52"/>
      <c r="Q472" s="2"/>
    </row>
    <row r="473" customFormat="false" ht="12.75" hidden="false" customHeight="true" outlineLevel="0" collapsed="false">
      <c r="C473" s="70"/>
      <c r="G473" s="2"/>
      <c r="H473" s="41"/>
      <c r="I473" s="41"/>
      <c r="J473" s="41"/>
      <c r="K473" s="41"/>
      <c r="L473" s="41"/>
      <c r="M473" s="41"/>
      <c r="N473" s="41"/>
      <c r="O473" s="41"/>
      <c r="P473" s="52"/>
      <c r="Q473" s="2"/>
    </row>
    <row r="474" customFormat="false" ht="12.75" hidden="false" customHeight="true" outlineLevel="0" collapsed="false">
      <c r="C474" s="70"/>
      <c r="G474" s="2"/>
      <c r="H474" s="41"/>
      <c r="I474" s="41"/>
      <c r="J474" s="41"/>
      <c r="K474" s="41"/>
      <c r="L474" s="41"/>
      <c r="M474" s="41"/>
      <c r="N474" s="41"/>
      <c r="O474" s="41"/>
      <c r="P474" s="52"/>
      <c r="Q474" s="2"/>
    </row>
    <row r="475" customFormat="false" ht="12.75" hidden="false" customHeight="true" outlineLevel="0" collapsed="false">
      <c r="C475" s="70"/>
      <c r="G475" s="2"/>
      <c r="H475" s="41"/>
      <c r="I475" s="41"/>
      <c r="J475" s="41"/>
      <c r="K475" s="41"/>
      <c r="L475" s="41"/>
      <c r="M475" s="41"/>
      <c r="N475" s="41"/>
      <c r="O475" s="41"/>
      <c r="P475" s="52"/>
      <c r="Q475" s="2"/>
    </row>
    <row r="476" customFormat="false" ht="12.75" hidden="false" customHeight="true" outlineLevel="0" collapsed="false">
      <c r="C476" s="70"/>
      <c r="G476" s="2"/>
      <c r="H476" s="41"/>
      <c r="I476" s="41"/>
      <c r="J476" s="41"/>
      <c r="K476" s="41"/>
      <c r="L476" s="41"/>
      <c r="M476" s="41"/>
      <c r="N476" s="41"/>
      <c r="O476" s="41"/>
      <c r="P476" s="52"/>
      <c r="Q476" s="2"/>
    </row>
    <row r="477" customFormat="false" ht="12.75" hidden="false" customHeight="true" outlineLevel="0" collapsed="false">
      <c r="C477" s="70"/>
      <c r="G477" s="2"/>
      <c r="H477" s="41"/>
      <c r="I477" s="41"/>
      <c r="J477" s="41"/>
      <c r="K477" s="41"/>
      <c r="L477" s="41"/>
      <c r="M477" s="41"/>
      <c r="N477" s="41"/>
      <c r="O477" s="41"/>
      <c r="P477" s="52"/>
      <c r="Q477" s="2"/>
    </row>
    <row r="478" customFormat="false" ht="12.75" hidden="false" customHeight="true" outlineLevel="0" collapsed="false">
      <c r="C478" s="70"/>
      <c r="G478" s="2"/>
      <c r="H478" s="41"/>
      <c r="I478" s="41"/>
      <c r="J478" s="41"/>
      <c r="K478" s="41"/>
      <c r="L478" s="41"/>
      <c r="M478" s="41"/>
      <c r="N478" s="41"/>
      <c r="O478" s="41"/>
      <c r="P478" s="52"/>
      <c r="Q478" s="2"/>
    </row>
    <row r="479" customFormat="false" ht="12.75" hidden="false" customHeight="true" outlineLevel="0" collapsed="false">
      <c r="C479" s="70"/>
      <c r="G479" s="2"/>
      <c r="H479" s="41"/>
      <c r="I479" s="41"/>
      <c r="J479" s="41"/>
      <c r="K479" s="41"/>
      <c r="L479" s="41"/>
      <c r="M479" s="41"/>
      <c r="N479" s="41"/>
      <c r="O479" s="41"/>
      <c r="P479" s="52"/>
      <c r="Q479" s="2"/>
    </row>
    <row r="480" customFormat="false" ht="12.75" hidden="false" customHeight="true" outlineLevel="0" collapsed="false">
      <c r="C480" s="70"/>
      <c r="G480" s="2"/>
      <c r="H480" s="41"/>
      <c r="I480" s="41"/>
      <c r="J480" s="41"/>
      <c r="K480" s="41"/>
      <c r="L480" s="41"/>
      <c r="M480" s="41"/>
      <c r="N480" s="41"/>
      <c r="O480" s="41"/>
      <c r="P480" s="52"/>
      <c r="Q480" s="2"/>
    </row>
    <row r="481" customFormat="false" ht="12.75" hidden="false" customHeight="true" outlineLevel="0" collapsed="false">
      <c r="C481" s="70"/>
      <c r="G481" s="2"/>
      <c r="H481" s="41"/>
      <c r="I481" s="41"/>
      <c r="J481" s="41"/>
      <c r="K481" s="41"/>
      <c r="L481" s="41"/>
      <c r="M481" s="41"/>
      <c r="N481" s="41"/>
      <c r="O481" s="41"/>
      <c r="P481" s="52"/>
      <c r="Q481" s="2"/>
    </row>
    <row r="482" customFormat="false" ht="12.75" hidden="false" customHeight="true" outlineLevel="0" collapsed="false">
      <c r="C482" s="70"/>
      <c r="G482" s="2"/>
      <c r="H482" s="41"/>
      <c r="I482" s="41"/>
      <c r="J482" s="41"/>
      <c r="K482" s="41"/>
      <c r="L482" s="41"/>
      <c r="M482" s="41"/>
      <c r="N482" s="41"/>
      <c r="O482" s="41"/>
      <c r="P482" s="52"/>
      <c r="Q482" s="2"/>
    </row>
    <row r="483" customFormat="false" ht="12.75" hidden="false" customHeight="true" outlineLevel="0" collapsed="false">
      <c r="C483" s="70"/>
      <c r="G483" s="2"/>
      <c r="H483" s="41"/>
      <c r="I483" s="41"/>
      <c r="J483" s="41"/>
      <c r="K483" s="41"/>
      <c r="L483" s="41"/>
      <c r="M483" s="41"/>
      <c r="N483" s="41"/>
      <c r="O483" s="41"/>
      <c r="P483" s="52"/>
      <c r="Q483" s="2"/>
    </row>
    <row r="484" customFormat="false" ht="12.75" hidden="false" customHeight="true" outlineLevel="0" collapsed="false">
      <c r="C484" s="70"/>
      <c r="G484" s="2"/>
      <c r="H484" s="41"/>
      <c r="I484" s="41"/>
      <c r="J484" s="41"/>
      <c r="K484" s="41"/>
      <c r="L484" s="41"/>
      <c r="M484" s="41"/>
      <c r="N484" s="41"/>
      <c r="O484" s="41"/>
      <c r="P484" s="52"/>
      <c r="Q484" s="2"/>
    </row>
    <row r="485" customFormat="false" ht="12.75" hidden="false" customHeight="true" outlineLevel="0" collapsed="false">
      <c r="C485" s="70"/>
      <c r="G485" s="2"/>
      <c r="H485" s="41"/>
      <c r="I485" s="41"/>
      <c r="J485" s="41"/>
      <c r="K485" s="41"/>
      <c r="L485" s="41"/>
      <c r="M485" s="41"/>
      <c r="N485" s="41"/>
      <c r="O485" s="41"/>
      <c r="P485" s="52"/>
      <c r="Q485" s="2"/>
    </row>
    <row r="486" customFormat="false" ht="12.75" hidden="false" customHeight="true" outlineLevel="0" collapsed="false">
      <c r="C486" s="70"/>
      <c r="G486" s="2"/>
      <c r="H486" s="41"/>
      <c r="I486" s="41"/>
      <c r="J486" s="41"/>
      <c r="K486" s="41"/>
      <c r="L486" s="41"/>
      <c r="M486" s="41"/>
      <c r="N486" s="41"/>
      <c r="O486" s="41"/>
      <c r="P486" s="52"/>
      <c r="Q486" s="2"/>
    </row>
    <row r="487" customFormat="false" ht="12.75" hidden="false" customHeight="true" outlineLevel="0" collapsed="false">
      <c r="C487" s="70"/>
      <c r="G487" s="2"/>
      <c r="H487" s="41"/>
      <c r="I487" s="41"/>
      <c r="J487" s="41"/>
      <c r="K487" s="41"/>
      <c r="L487" s="41"/>
      <c r="M487" s="41"/>
      <c r="N487" s="41"/>
      <c r="O487" s="41"/>
      <c r="P487" s="52"/>
      <c r="Q487" s="2"/>
    </row>
    <row r="488" customFormat="false" ht="12.75" hidden="false" customHeight="true" outlineLevel="0" collapsed="false">
      <c r="C488" s="70"/>
      <c r="G488" s="2"/>
      <c r="H488" s="41"/>
      <c r="I488" s="41"/>
      <c r="J488" s="41"/>
      <c r="K488" s="41"/>
      <c r="L488" s="41"/>
      <c r="M488" s="41"/>
      <c r="N488" s="41"/>
      <c r="O488" s="41"/>
      <c r="P488" s="52"/>
      <c r="Q488" s="2"/>
    </row>
    <row r="489" customFormat="false" ht="12.75" hidden="false" customHeight="true" outlineLevel="0" collapsed="false">
      <c r="C489" s="70"/>
      <c r="G489" s="2"/>
      <c r="H489" s="41"/>
      <c r="I489" s="41"/>
      <c r="J489" s="41"/>
      <c r="K489" s="41"/>
      <c r="L489" s="41"/>
      <c r="M489" s="41"/>
      <c r="N489" s="41"/>
      <c r="O489" s="41"/>
      <c r="P489" s="52"/>
      <c r="Q489" s="2"/>
    </row>
    <row r="490" customFormat="false" ht="12.75" hidden="false" customHeight="true" outlineLevel="0" collapsed="false">
      <c r="C490" s="70"/>
      <c r="G490" s="2"/>
      <c r="H490" s="41"/>
      <c r="I490" s="41"/>
      <c r="J490" s="41"/>
      <c r="K490" s="41"/>
      <c r="L490" s="41"/>
      <c r="M490" s="41"/>
      <c r="N490" s="41"/>
      <c r="O490" s="41"/>
      <c r="P490" s="52"/>
      <c r="Q490" s="2"/>
    </row>
    <row r="491" customFormat="false" ht="12.75" hidden="false" customHeight="true" outlineLevel="0" collapsed="false">
      <c r="C491" s="70"/>
      <c r="G491" s="2"/>
      <c r="H491" s="41"/>
      <c r="I491" s="41"/>
      <c r="J491" s="41"/>
      <c r="K491" s="41"/>
      <c r="L491" s="41"/>
      <c r="M491" s="41"/>
      <c r="N491" s="41"/>
      <c r="O491" s="41"/>
      <c r="P491" s="52"/>
      <c r="Q491" s="2"/>
    </row>
    <row r="492" customFormat="false" ht="12.75" hidden="false" customHeight="true" outlineLevel="0" collapsed="false">
      <c r="C492" s="70"/>
      <c r="G492" s="2"/>
      <c r="H492" s="41"/>
      <c r="I492" s="41"/>
      <c r="J492" s="41"/>
      <c r="K492" s="41"/>
      <c r="L492" s="41"/>
      <c r="M492" s="41"/>
      <c r="N492" s="41"/>
      <c r="O492" s="41"/>
      <c r="P492" s="52"/>
      <c r="Q492" s="2"/>
    </row>
    <row r="493" customFormat="false" ht="12.75" hidden="false" customHeight="true" outlineLevel="0" collapsed="false">
      <c r="C493" s="70"/>
      <c r="G493" s="2"/>
      <c r="H493" s="41"/>
      <c r="I493" s="41"/>
      <c r="J493" s="41"/>
      <c r="K493" s="41"/>
      <c r="L493" s="41"/>
      <c r="M493" s="41"/>
      <c r="N493" s="41"/>
      <c r="O493" s="41"/>
      <c r="P493" s="52"/>
      <c r="Q493" s="2"/>
    </row>
    <row r="494" customFormat="false" ht="12.75" hidden="false" customHeight="true" outlineLevel="0" collapsed="false">
      <c r="C494" s="70"/>
      <c r="G494" s="2"/>
      <c r="H494" s="41"/>
      <c r="I494" s="41"/>
      <c r="J494" s="41"/>
      <c r="K494" s="41"/>
      <c r="L494" s="41"/>
      <c r="M494" s="41"/>
      <c r="N494" s="41"/>
      <c r="O494" s="41"/>
      <c r="P494" s="52"/>
      <c r="Q494" s="2"/>
    </row>
    <row r="495" customFormat="false" ht="12.75" hidden="false" customHeight="true" outlineLevel="0" collapsed="false">
      <c r="C495" s="70"/>
      <c r="G495" s="2"/>
      <c r="H495" s="41"/>
      <c r="I495" s="41"/>
      <c r="J495" s="41"/>
      <c r="K495" s="41"/>
      <c r="L495" s="41"/>
      <c r="M495" s="41"/>
      <c r="N495" s="41"/>
      <c r="O495" s="41"/>
      <c r="P495" s="52"/>
      <c r="Q495" s="2"/>
    </row>
    <row r="496" customFormat="false" ht="12.75" hidden="false" customHeight="true" outlineLevel="0" collapsed="false">
      <c r="C496" s="70"/>
      <c r="G496" s="2"/>
      <c r="H496" s="41"/>
      <c r="I496" s="41"/>
      <c r="J496" s="41"/>
      <c r="K496" s="41"/>
      <c r="L496" s="41"/>
      <c r="M496" s="41"/>
      <c r="N496" s="41"/>
      <c r="O496" s="41"/>
      <c r="P496" s="52"/>
      <c r="Q496" s="2"/>
    </row>
    <row r="497" customFormat="false" ht="12.75" hidden="false" customHeight="true" outlineLevel="0" collapsed="false">
      <c r="C497" s="70"/>
      <c r="G497" s="2"/>
      <c r="H497" s="41"/>
      <c r="I497" s="41"/>
      <c r="J497" s="41"/>
      <c r="K497" s="41"/>
      <c r="L497" s="41"/>
      <c r="M497" s="41"/>
      <c r="N497" s="41"/>
      <c r="O497" s="41"/>
      <c r="P497" s="52"/>
      <c r="Q497" s="2"/>
    </row>
    <row r="498" customFormat="false" ht="12.75" hidden="false" customHeight="true" outlineLevel="0" collapsed="false">
      <c r="C498" s="70"/>
      <c r="G498" s="2"/>
      <c r="H498" s="41"/>
      <c r="I498" s="41"/>
      <c r="J498" s="41"/>
      <c r="K498" s="41"/>
      <c r="L498" s="41"/>
      <c r="M498" s="41"/>
      <c r="N498" s="41"/>
      <c r="O498" s="41"/>
      <c r="P498" s="52"/>
      <c r="Q498" s="2"/>
    </row>
    <row r="499" customFormat="false" ht="12.75" hidden="false" customHeight="true" outlineLevel="0" collapsed="false">
      <c r="C499" s="70"/>
      <c r="G499" s="2"/>
      <c r="H499" s="41"/>
      <c r="I499" s="41"/>
      <c r="J499" s="41"/>
      <c r="K499" s="41"/>
      <c r="L499" s="41"/>
      <c r="M499" s="41"/>
      <c r="N499" s="41"/>
      <c r="O499" s="41"/>
      <c r="P499" s="52"/>
      <c r="Q499" s="2"/>
    </row>
    <row r="500" customFormat="false" ht="12.75" hidden="false" customHeight="true" outlineLevel="0" collapsed="false">
      <c r="C500" s="70"/>
      <c r="G500" s="2"/>
      <c r="H500" s="41"/>
      <c r="I500" s="41"/>
      <c r="J500" s="41"/>
      <c r="K500" s="41"/>
      <c r="L500" s="41"/>
      <c r="M500" s="41"/>
      <c r="N500" s="41"/>
      <c r="O500" s="41"/>
      <c r="P500" s="52"/>
      <c r="Q500" s="2"/>
    </row>
    <row r="501" customFormat="false" ht="12.75" hidden="false" customHeight="true" outlineLevel="0" collapsed="false">
      <c r="C501" s="70"/>
      <c r="G501" s="2"/>
      <c r="H501" s="41"/>
      <c r="I501" s="41"/>
      <c r="J501" s="41"/>
      <c r="K501" s="41"/>
      <c r="L501" s="41"/>
      <c r="M501" s="41"/>
      <c r="N501" s="41"/>
      <c r="O501" s="41"/>
      <c r="P501" s="52"/>
      <c r="Q501" s="2"/>
    </row>
    <row r="502" customFormat="false" ht="12.75" hidden="false" customHeight="true" outlineLevel="0" collapsed="false">
      <c r="C502" s="70"/>
      <c r="G502" s="2"/>
      <c r="H502" s="41"/>
      <c r="I502" s="41"/>
      <c r="J502" s="41"/>
      <c r="K502" s="41"/>
      <c r="L502" s="41"/>
      <c r="M502" s="41"/>
      <c r="N502" s="41"/>
      <c r="O502" s="41"/>
      <c r="P502" s="52"/>
      <c r="Q502" s="2"/>
    </row>
    <row r="503" customFormat="false" ht="12.75" hidden="false" customHeight="true" outlineLevel="0" collapsed="false">
      <c r="C503" s="70"/>
      <c r="G503" s="2"/>
      <c r="H503" s="41"/>
      <c r="I503" s="41"/>
      <c r="J503" s="41"/>
      <c r="K503" s="41"/>
      <c r="L503" s="41"/>
      <c r="M503" s="41"/>
      <c r="N503" s="41"/>
      <c r="O503" s="41"/>
      <c r="P503" s="52"/>
      <c r="Q503" s="2"/>
    </row>
    <row r="504" customFormat="false" ht="12.75" hidden="false" customHeight="true" outlineLevel="0" collapsed="false">
      <c r="C504" s="70"/>
      <c r="G504" s="2"/>
      <c r="H504" s="41"/>
      <c r="I504" s="41"/>
      <c r="J504" s="41"/>
      <c r="K504" s="41"/>
      <c r="L504" s="41"/>
      <c r="M504" s="41"/>
      <c r="N504" s="41"/>
      <c r="O504" s="41"/>
      <c r="P504" s="52"/>
      <c r="Q504" s="2"/>
    </row>
    <row r="505" customFormat="false" ht="12.75" hidden="false" customHeight="true" outlineLevel="0" collapsed="false">
      <c r="C505" s="70"/>
      <c r="G505" s="2"/>
      <c r="H505" s="41"/>
      <c r="I505" s="41"/>
      <c r="J505" s="41"/>
      <c r="K505" s="41"/>
      <c r="L505" s="41"/>
      <c r="M505" s="41"/>
      <c r="N505" s="41"/>
      <c r="O505" s="41"/>
      <c r="P505" s="52"/>
      <c r="Q505" s="2"/>
    </row>
    <row r="506" customFormat="false" ht="12.75" hidden="false" customHeight="true" outlineLevel="0" collapsed="false">
      <c r="C506" s="70"/>
      <c r="G506" s="2"/>
      <c r="H506" s="41"/>
      <c r="I506" s="41"/>
      <c r="J506" s="41"/>
      <c r="K506" s="41"/>
      <c r="L506" s="41"/>
      <c r="M506" s="41"/>
      <c r="N506" s="41"/>
      <c r="O506" s="41"/>
      <c r="P506" s="52"/>
      <c r="Q506" s="2"/>
    </row>
    <row r="507" customFormat="false" ht="12.75" hidden="false" customHeight="true" outlineLevel="0" collapsed="false">
      <c r="C507" s="70"/>
      <c r="G507" s="2"/>
      <c r="H507" s="41"/>
      <c r="I507" s="41"/>
      <c r="J507" s="41"/>
      <c r="K507" s="41"/>
      <c r="L507" s="41"/>
      <c r="M507" s="41"/>
      <c r="N507" s="41"/>
      <c r="O507" s="41"/>
      <c r="P507" s="52"/>
      <c r="Q507" s="2"/>
    </row>
    <row r="508" customFormat="false" ht="12.75" hidden="false" customHeight="true" outlineLevel="0" collapsed="false">
      <c r="C508" s="70"/>
      <c r="G508" s="2"/>
      <c r="H508" s="41"/>
      <c r="I508" s="41"/>
      <c r="J508" s="41"/>
      <c r="K508" s="41"/>
      <c r="L508" s="41"/>
      <c r="M508" s="41"/>
      <c r="N508" s="41"/>
      <c r="O508" s="41"/>
      <c r="P508" s="52"/>
      <c r="Q508" s="2"/>
    </row>
    <row r="509" customFormat="false" ht="12.75" hidden="false" customHeight="true" outlineLevel="0" collapsed="false">
      <c r="C509" s="70"/>
      <c r="G509" s="2"/>
      <c r="H509" s="41"/>
      <c r="I509" s="41"/>
      <c r="J509" s="41"/>
      <c r="K509" s="41"/>
      <c r="L509" s="41"/>
      <c r="M509" s="41"/>
      <c r="N509" s="41"/>
      <c r="O509" s="41"/>
      <c r="P509" s="52"/>
      <c r="Q509" s="2"/>
    </row>
    <row r="510" customFormat="false" ht="12.75" hidden="false" customHeight="true" outlineLevel="0" collapsed="false">
      <c r="C510" s="70"/>
      <c r="G510" s="2"/>
      <c r="H510" s="41"/>
      <c r="I510" s="41"/>
      <c r="J510" s="41"/>
      <c r="K510" s="41"/>
      <c r="L510" s="41"/>
      <c r="M510" s="41"/>
      <c r="N510" s="41"/>
      <c r="O510" s="41"/>
      <c r="P510" s="52"/>
      <c r="Q510" s="2"/>
    </row>
    <row r="511" customFormat="false" ht="12.75" hidden="false" customHeight="true" outlineLevel="0" collapsed="false">
      <c r="C511" s="70"/>
      <c r="G511" s="2"/>
      <c r="H511" s="41"/>
      <c r="I511" s="41"/>
      <c r="J511" s="41"/>
      <c r="K511" s="41"/>
      <c r="L511" s="41"/>
      <c r="M511" s="41"/>
      <c r="N511" s="41"/>
      <c r="O511" s="41"/>
      <c r="P511" s="52"/>
      <c r="Q511" s="2"/>
    </row>
    <row r="512" customFormat="false" ht="12.75" hidden="false" customHeight="true" outlineLevel="0" collapsed="false">
      <c r="C512" s="70"/>
      <c r="G512" s="2"/>
      <c r="H512" s="41"/>
      <c r="I512" s="41"/>
      <c r="J512" s="41"/>
      <c r="K512" s="41"/>
      <c r="L512" s="41"/>
      <c r="M512" s="41"/>
      <c r="N512" s="41"/>
      <c r="O512" s="41"/>
      <c r="P512" s="52"/>
      <c r="Q512" s="2"/>
    </row>
    <row r="513" customFormat="false" ht="12.75" hidden="false" customHeight="true" outlineLevel="0" collapsed="false">
      <c r="C513" s="70"/>
      <c r="G513" s="2"/>
      <c r="H513" s="41"/>
      <c r="I513" s="41"/>
      <c r="J513" s="41"/>
      <c r="K513" s="41"/>
      <c r="L513" s="41"/>
      <c r="M513" s="41"/>
      <c r="N513" s="41"/>
      <c r="O513" s="41"/>
      <c r="P513" s="52"/>
      <c r="Q513" s="2"/>
    </row>
    <row r="514" customFormat="false" ht="12.75" hidden="false" customHeight="true" outlineLevel="0" collapsed="false">
      <c r="C514" s="70"/>
      <c r="G514" s="2"/>
      <c r="H514" s="41"/>
      <c r="I514" s="41"/>
      <c r="J514" s="41"/>
      <c r="K514" s="41"/>
      <c r="L514" s="41"/>
      <c r="M514" s="41"/>
      <c r="N514" s="41"/>
      <c r="O514" s="41"/>
      <c r="P514" s="52"/>
      <c r="Q514" s="2"/>
    </row>
    <row r="515" customFormat="false" ht="12.75" hidden="false" customHeight="true" outlineLevel="0" collapsed="false">
      <c r="C515" s="70"/>
      <c r="G515" s="2"/>
      <c r="H515" s="41"/>
      <c r="I515" s="41"/>
      <c r="J515" s="41"/>
      <c r="K515" s="41"/>
      <c r="L515" s="41"/>
      <c r="M515" s="41"/>
      <c r="N515" s="41"/>
      <c r="O515" s="41"/>
      <c r="P515" s="52"/>
      <c r="Q515" s="2"/>
    </row>
    <row r="516" customFormat="false" ht="12.75" hidden="false" customHeight="true" outlineLevel="0" collapsed="false">
      <c r="C516" s="70"/>
      <c r="G516" s="2"/>
      <c r="H516" s="41"/>
      <c r="I516" s="41"/>
      <c r="J516" s="41"/>
      <c r="K516" s="41"/>
      <c r="L516" s="41"/>
      <c r="M516" s="41"/>
      <c r="N516" s="41"/>
      <c r="O516" s="41"/>
      <c r="P516" s="52"/>
      <c r="Q516" s="2"/>
    </row>
    <row r="517" customFormat="false" ht="12.75" hidden="false" customHeight="true" outlineLevel="0" collapsed="false">
      <c r="C517" s="70"/>
      <c r="G517" s="2"/>
      <c r="H517" s="41"/>
      <c r="I517" s="41"/>
      <c r="J517" s="41"/>
      <c r="K517" s="41"/>
      <c r="L517" s="41"/>
      <c r="M517" s="41"/>
      <c r="N517" s="41"/>
      <c r="O517" s="41"/>
      <c r="P517" s="52"/>
      <c r="Q517" s="2"/>
    </row>
    <row r="518" customFormat="false" ht="12.75" hidden="false" customHeight="true" outlineLevel="0" collapsed="false">
      <c r="C518" s="70"/>
      <c r="G518" s="2"/>
      <c r="H518" s="41"/>
      <c r="I518" s="41"/>
      <c r="J518" s="41"/>
      <c r="K518" s="41"/>
      <c r="L518" s="41"/>
      <c r="M518" s="41"/>
      <c r="N518" s="41"/>
      <c r="O518" s="41"/>
      <c r="P518" s="52"/>
      <c r="Q518" s="2"/>
    </row>
    <row r="519" customFormat="false" ht="12.75" hidden="false" customHeight="true" outlineLevel="0" collapsed="false">
      <c r="C519" s="70"/>
      <c r="G519" s="2"/>
      <c r="H519" s="41"/>
      <c r="I519" s="41"/>
      <c r="J519" s="41"/>
      <c r="K519" s="41"/>
      <c r="L519" s="41"/>
      <c r="M519" s="41"/>
      <c r="N519" s="41"/>
      <c r="O519" s="41"/>
      <c r="P519" s="52"/>
      <c r="Q519" s="2"/>
    </row>
    <row r="520" customFormat="false" ht="12.75" hidden="false" customHeight="true" outlineLevel="0" collapsed="false">
      <c r="C520" s="70"/>
      <c r="G520" s="2"/>
      <c r="H520" s="41"/>
      <c r="I520" s="41"/>
      <c r="J520" s="41"/>
      <c r="K520" s="41"/>
      <c r="L520" s="41"/>
      <c r="M520" s="41"/>
      <c r="N520" s="41"/>
      <c r="O520" s="41"/>
      <c r="P520" s="52"/>
      <c r="Q520" s="2"/>
    </row>
    <row r="521" customFormat="false" ht="12.75" hidden="false" customHeight="true" outlineLevel="0" collapsed="false">
      <c r="C521" s="70"/>
      <c r="G521" s="2"/>
      <c r="H521" s="41"/>
      <c r="I521" s="41"/>
      <c r="J521" s="41"/>
      <c r="K521" s="41"/>
      <c r="L521" s="41"/>
      <c r="M521" s="41"/>
      <c r="N521" s="41"/>
      <c r="O521" s="41"/>
      <c r="P521" s="52"/>
      <c r="Q521" s="2"/>
    </row>
    <row r="522" customFormat="false" ht="12.75" hidden="false" customHeight="true" outlineLevel="0" collapsed="false">
      <c r="C522" s="70"/>
      <c r="G522" s="2"/>
      <c r="H522" s="41"/>
      <c r="I522" s="41"/>
      <c r="J522" s="41"/>
      <c r="K522" s="41"/>
      <c r="L522" s="41"/>
      <c r="M522" s="41"/>
      <c r="N522" s="41"/>
      <c r="O522" s="41"/>
      <c r="P522" s="52"/>
      <c r="Q522" s="2"/>
    </row>
    <row r="523" customFormat="false" ht="12.75" hidden="false" customHeight="true" outlineLevel="0" collapsed="false">
      <c r="C523" s="70"/>
      <c r="G523" s="2"/>
      <c r="H523" s="41"/>
      <c r="I523" s="41"/>
      <c r="J523" s="41"/>
      <c r="K523" s="41"/>
      <c r="L523" s="41"/>
      <c r="M523" s="41"/>
      <c r="N523" s="41"/>
      <c r="O523" s="41"/>
      <c r="P523" s="52"/>
      <c r="Q523" s="2"/>
    </row>
    <row r="524" customFormat="false" ht="12.75" hidden="false" customHeight="true" outlineLevel="0" collapsed="false">
      <c r="C524" s="70"/>
      <c r="G524" s="2"/>
      <c r="H524" s="41"/>
      <c r="I524" s="41"/>
      <c r="J524" s="41"/>
      <c r="K524" s="41"/>
      <c r="L524" s="41"/>
      <c r="M524" s="41"/>
      <c r="N524" s="41"/>
      <c r="O524" s="41"/>
      <c r="P524" s="52"/>
      <c r="Q524" s="2"/>
    </row>
    <row r="525" customFormat="false" ht="12.75" hidden="false" customHeight="true" outlineLevel="0" collapsed="false">
      <c r="C525" s="70"/>
      <c r="G525" s="2"/>
      <c r="H525" s="41"/>
      <c r="I525" s="41"/>
      <c r="J525" s="41"/>
      <c r="K525" s="41"/>
      <c r="L525" s="41"/>
      <c r="M525" s="41"/>
      <c r="N525" s="41"/>
      <c r="O525" s="41"/>
      <c r="P525" s="52"/>
      <c r="Q525" s="2"/>
    </row>
    <row r="526" customFormat="false" ht="12.75" hidden="false" customHeight="true" outlineLevel="0" collapsed="false">
      <c r="C526" s="70"/>
      <c r="G526" s="2"/>
      <c r="H526" s="41"/>
      <c r="I526" s="41"/>
      <c r="J526" s="41"/>
      <c r="K526" s="41"/>
      <c r="L526" s="41"/>
      <c r="M526" s="41"/>
      <c r="N526" s="41"/>
      <c r="O526" s="41"/>
      <c r="P526" s="52"/>
      <c r="Q526" s="2"/>
    </row>
    <row r="527" customFormat="false" ht="12.75" hidden="false" customHeight="true" outlineLevel="0" collapsed="false">
      <c r="C527" s="70"/>
      <c r="G527" s="2"/>
      <c r="H527" s="41"/>
      <c r="I527" s="41"/>
      <c r="J527" s="41"/>
      <c r="K527" s="41"/>
      <c r="L527" s="41"/>
      <c r="M527" s="41"/>
      <c r="N527" s="41"/>
      <c r="O527" s="41"/>
      <c r="P527" s="52"/>
      <c r="Q527" s="2"/>
    </row>
    <row r="528" customFormat="false" ht="12.75" hidden="false" customHeight="true" outlineLevel="0" collapsed="false">
      <c r="C528" s="70"/>
      <c r="G528" s="2"/>
      <c r="H528" s="41"/>
      <c r="I528" s="41"/>
      <c r="J528" s="41"/>
      <c r="K528" s="41"/>
      <c r="L528" s="41"/>
      <c r="M528" s="41"/>
      <c r="N528" s="41"/>
      <c r="O528" s="41"/>
      <c r="P528" s="52"/>
      <c r="Q528" s="2"/>
    </row>
    <row r="529" customFormat="false" ht="12.75" hidden="false" customHeight="true" outlineLevel="0" collapsed="false">
      <c r="C529" s="70"/>
      <c r="G529" s="2"/>
      <c r="H529" s="41"/>
      <c r="I529" s="41"/>
      <c r="J529" s="41"/>
      <c r="K529" s="41"/>
      <c r="L529" s="41"/>
      <c r="M529" s="41"/>
      <c r="N529" s="41"/>
      <c r="O529" s="41"/>
      <c r="P529" s="52"/>
      <c r="Q529" s="2"/>
    </row>
    <row r="530" customFormat="false" ht="12.75" hidden="false" customHeight="true" outlineLevel="0" collapsed="false">
      <c r="C530" s="70"/>
      <c r="G530" s="2"/>
      <c r="H530" s="41"/>
      <c r="I530" s="41"/>
      <c r="J530" s="41"/>
      <c r="K530" s="41"/>
      <c r="L530" s="41"/>
      <c r="M530" s="41"/>
      <c r="N530" s="41"/>
      <c r="O530" s="41"/>
      <c r="P530" s="52"/>
      <c r="Q530" s="2"/>
    </row>
    <row r="531" customFormat="false" ht="12.75" hidden="false" customHeight="true" outlineLevel="0" collapsed="false">
      <c r="C531" s="70"/>
      <c r="G531" s="2"/>
      <c r="H531" s="41"/>
      <c r="I531" s="41"/>
      <c r="J531" s="41"/>
      <c r="K531" s="41"/>
      <c r="L531" s="41"/>
      <c r="M531" s="41"/>
      <c r="N531" s="41"/>
      <c r="O531" s="41"/>
      <c r="P531" s="52"/>
      <c r="Q531" s="2"/>
    </row>
    <row r="532" customFormat="false" ht="12.75" hidden="false" customHeight="true" outlineLevel="0" collapsed="false">
      <c r="C532" s="70"/>
      <c r="G532" s="2"/>
      <c r="H532" s="41"/>
      <c r="I532" s="41"/>
      <c r="J532" s="41"/>
      <c r="K532" s="41"/>
      <c r="L532" s="41"/>
      <c r="M532" s="41"/>
      <c r="N532" s="41"/>
      <c r="O532" s="41"/>
      <c r="P532" s="52"/>
      <c r="Q532" s="2"/>
    </row>
    <row r="533" customFormat="false" ht="12.75" hidden="false" customHeight="true" outlineLevel="0" collapsed="false">
      <c r="C533" s="70"/>
      <c r="G533" s="2"/>
      <c r="H533" s="41"/>
      <c r="I533" s="41"/>
      <c r="J533" s="41"/>
      <c r="K533" s="41"/>
      <c r="L533" s="41"/>
      <c r="M533" s="41"/>
      <c r="N533" s="41"/>
      <c r="O533" s="41"/>
      <c r="P533" s="52"/>
      <c r="Q533" s="2"/>
    </row>
    <row r="534" customFormat="false" ht="12.75" hidden="false" customHeight="true" outlineLevel="0" collapsed="false">
      <c r="C534" s="70"/>
      <c r="G534" s="2"/>
      <c r="H534" s="41"/>
      <c r="I534" s="41"/>
      <c r="J534" s="41"/>
      <c r="K534" s="41"/>
      <c r="L534" s="41"/>
      <c r="M534" s="41"/>
      <c r="N534" s="41"/>
      <c r="O534" s="41"/>
      <c r="P534" s="52"/>
      <c r="Q534" s="2"/>
    </row>
    <row r="535" customFormat="false" ht="12.75" hidden="false" customHeight="true" outlineLevel="0" collapsed="false">
      <c r="C535" s="70"/>
      <c r="G535" s="2"/>
      <c r="H535" s="41"/>
      <c r="I535" s="41"/>
      <c r="J535" s="41"/>
      <c r="K535" s="41"/>
      <c r="L535" s="41"/>
      <c r="M535" s="41"/>
      <c r="N535" s="41"/>
      <c r="O535" s="41"/>
      <c r="P535" s="52"/>
      <c r="Q535" s="2"/>
    </row>
    <row r="536" customFormat="false" ht="12.75" hidden="false" customHeight="true" outlineLevel="0" collapsed="false">
      <c r="C536" s="70"/>
      <c r="G536" s="2"/>
      <c r="H536" s="41"/>
      <c r="I536" s="41"/>
      <c r="J536" s="41"/>
      <c r="K536" s="41"/>
      <c r="L536" s="41"/>
      <c r="M536" s="41"/>
      <c r="N536" s="41"/>
      <c r="O536" s="41"/>
      <c r="P536" s="52"/>
      <c r="Q536" s="2"/>
    </row>
    <row r="537" customFormat="false" ht="12.75" hidden="false" customHeight="true" outlineLevel="0" collapsed="false">
      <c r="C537" s="70"/>
      <c r="G537" s="2"/>
      <c r="H537" s="41"/>
      <c r="I537" s="41"/>
      <c r="J537" s="41"/>
      <c r="K537" s="41"/>
      <c r="L537" s="41"/>
      <c r="M537" s="41"/>
      <c r="N537" s="41"/>
      <c r="O537" s="41"/>
      <c r="P537" s="52"/>
      <c r="Q537" s="2"/>
    </row>
    <row r="538" customFormat="false" ht="12.75" hidden="false" customHeight="true" outlineLevel="0" collapsed="false">
      <c r="C538" s="70"/>
      <c r="G538" s="2"/>
      <c r="H538" s="41"/>
      <c r="I538" s="41"/>
      <c r="J538" s="41"/>
      <c r="K538" s="41"/>
      <c r="L538" s="41"/>
      <c r="M538" s="41"/>
      <c r="N538" s="41"/>
      <c r="O538" s="41"/>
      <c r="P538" s="52"/>
      <c r="Q538" s="2"/>
    </row>
    <row r="539" customFormat="false" ht="12.75" hidden="false" customHeight="true" outlineLevel="0" collapsed="false">
      <c r="C539" s="70"/>
      <c r="G539" s="2"/>
      <c r="H539" s="41"/>
      <c r="I539" s="41"/>
      <c r="J539" s="41"/>
      <c r="K539" s="41"/>
      <c r="L539" s="41"/>
      <c r="M539" s="41"/>
      <c r="N539" s="41"/>
      <c r="O539" s="41"/>
      <c r="P539" s="52"/>
      <c r="Q539" s="2"/>
    </row>
    <row r="540" customFormat="false" ht="12.75" hidden="false" customHeight="true" outlineLevel="0" collapsed="false">
      <c r="C540" s="70"/>
      <c r="G540" s="2"/>
      <c r="H540" s="41"/>
      <c r="I540" s="41"/>
      <c r="J540" s="41"/>
      <c r="K540" s="41"/>
      <c r="L540" s="41"/>
      <c r="M540" s="41"/>
      <c r="N540" s="41"/>
      <c r="O540" s="41"/>
      <c r="P540" s="52"/>
      <c r="Q540" s="2"/>
    </row>
    <row r="541" customFormat="false" ht="12.75" hidden="false" customHeight="true" outlineLevel="0" collapsed="false">
      <c r="C541" s="70"/>
      <c r="G541" s="2"/>
      <c r="H541" s="41"/>
      <c r="I541" s="41"/>
      <c r="J541" s="41"/>
      <c r="K541" s="41"/>
      <c r="L541" s="41"/>
      <c r="M541" s="41"/>
      <c r="N541" s="41"/>
      <c r="O541" s="41"/>
      <c r="P541" s="52"/>
      <c r="Q541" s="2"/>
    </row>
    <row r="542" customFormat="false" ht="12.75" hidden="false" customHeight="true" outlineLevel="0" collapsed="false">
      <c r="C542" s="70"/>
      <c r="G542" s="2"/>
      <c r="H542" s="41"/>
      <c r="I542" s="41"/>
      <c r="J542" s="41"/>
      <c r="K542" s="41"/>
      <c r="L542" s="41"/>
      <c r="M542" s="41"/>
      <c r="N542" s="41"/>
      <c r="O542" s="41"/>
      <c r="P542" s="52"/>
      <c r="Q542" s="2"/>
    </row>
    <row r="543" customFormat="false" ht="12.75" hidden="false" customHeight="true" outlineLevel="0" collapsed="false">
      <c r="C543" s="70"/>
      <c r="G543" s="2"/>
      <c r="H543" s="41"/>
      <c r="I543" s="41"/>
      <c r="J543" s="41"/>
      <c r="K543" s="41"/>
      <c r="L543" s="41"/>
      <c r="M543" s="41"/>
      <c r="N543" s="41"/>
      <c r="O543" s="41"/>
      <c r="P543" s="52"/>
      <c r="Q543" s="2"/>
    </row>
    <row r="544" customFormat="false" ht="12.75" hidden="false" customHeight="true" outlineLevel="0" collapsed="false">
      <c r="C544" s="70"/>
      <c r="G544" s="2"/>
      <c r="H544" s="41"/>
      <c r="I544" s="41"/>
      <c r="J544" s="41"/>
      <c r="K544" s="41"/>
      <c r="L544" s="41"/>
      <c r="M544" s="41"/>
      <c r="N544" s="41"/>
      <c r="O544" s="41"/>
      <c r="P544" s="52"/>
      <c r="Q544" s="2"/>
    </row>
    <row r="545" customFormat="false" ht="12.75" hidden="false" customHeight="true" outlineLevel="0" collapsed="false">
      <c r="C545" s="70"/>
      <c r="G545" s="2"/>
      <c r="H545" s="41"/>
      <c r="I545" s="41"/>
      <c r="J545" s="41"/>
      <c r="K545" s="41"/>
      <c r="L545" s="41"/>
      <c r="M545" s="41"/>
      <c r="N545" s="41"/>
      <c r="O545" s="41"/>
      <c r="P545" s="52"/>
      <c r="Q545" s="2"/>
    </row>
    <row r="546" customFormat="false" ht="12.75" hidden="false" customHeight="true" outlineLevel="0" collapsed="false">
      <c r="C546" s="70"/>
      <c r="G546" s="2"/>
      <c r="H546" s="41"/>
      <c r="I546" s="41"/>
      <c r="J546" s="41"/>
      <c r="K546" s="41"/>
      <c r="L546" s="41"/>
      <c r="M546" s="41"/>
      <c r="N546" s="41"/>
      <c r="O546" s="41"/>
      <c r="P546" s="52"/>
      <c r="Q546" s="2"/>
    </row>
    <row r="547" customFormat="false" ht="12.75" hidden="false" customHeight="true" outlineLevel="0" collapsed="false">
      <c r="C547" s="70"/>
      <c r="G547" s="2"/>
      <c r="H547" s="41"/>
      <c r="I547" s="41"/>
      <c r="J547" s="41"/>
      <c r="K547" s="41"/>
      <c r="L547" s="41"/>
      <c r="M547" s="41"/>
      <c r="N547" s="41"/>
      <c r="O547" s="41"/>
      <c r="P547" s="52"/>
      <c r="Q547" s="2"/>
    </row>
    <row r="548" customFormat="false" ht="12.75" hidden="false" customHeight="true" outlineLevel="0" collapsed="false">
      <c r="C548" s="70"/>
      <c r="G548" s="2"/>
      <c r="H548" s="41"/>
      <c r="I548" s="41"/>
      <c r="J548" s="41"/>
      <c r="K548" s="41"/>
      <c r="L548" s="41"/>
      <c r="M548" s="41"/>
      <c r="N548" s="41"/>
      <c r="O548" s="41"/>
      <c r="P548" s="52"/>
      <c r="Q548" s="2"/>
    </row>
    <row r="549" customFormat="false" ht="12.75" hidden="false" customHeight="true" outlineLevel="0" collapsed="false">
      <c r="C549" s="70"/>
      <c r="G549" s="2"/>
      <c r="H549" s="41"/>
      <c r="I549" s="41"/>
      <c r="J549" s="41"/>
      <c r="K549" s="41"/>
      <c r="L549" s="41"/>
      <c r="M549" s="41"/>
      <c r="N549" s="41"/>
      <c r="O549" s="41"/>
      <c r="P549" s="52"/>
      <c r="Q549" s="2"/>
    </row>
    <row r="550" customFormat="false" ht="12.75" hidden="false" customHeight="true" outlineLevel="0" collapsed="false">
      <c r="C550" s="70"/>
      <c r="G550" s="2"/>
      <c r="H550" s="41"/>
      <c r="I550" s="41"/>
      <c r="J550" s="41"/>
      <c r="K550" s="41"/>
      <c r="L550" s="41"/>
      <c r="M550" s="41"/>
      <c r="N550" s="41"/>
      <c r="O550" s="41"/>
      <c r="P550" s="52"/>
      <c r="Q550" s="2"/>
    </row>
    <row r="551" customFormat="false" ht="12.75" hidden="false" customHeight="true" outlineLevel="0" collapsed="false">
      <c r="C551" s="70"/>
      <c r="G551" s="2"/>
      <c r="H551" s="41"/>
      <c r="I551" s="41"/>
      <c r="J551" s="41"/>
      <c r="K551" s="41"/>
      <c r="L551" s="41"/>
      <c r="M551" s="41"/>
      <c r="N551" s="41"/>
      <c r="O551" s="41"/>
      <c r="P551" s="52"/>
      <c r="Q551" s="2"/>
    </row>
    <row r="552" customFormat="false" ht="12.75" hidden="false" customHeight="true" outlineLevel="0" collapsed="false">
      <c r="C552" s="70"/>
      <c r="G552" s="2"/>
      <c r="H552" s="41"/>
      <c r="I552" s="41"/>
      <c r="J552" s="41"/>
      <c r="K552" s="41"/>
      <c r="L552" s="41"/>
      <c r="M552" s="41"/>
      <c r="N552" s="41"/>
      <c r="O552" s="41"/>
      <c r="P552" s="52"/>
      <c r="Q552" s="2"/>
    </row>
    <row r="553" customFormat="false" ht="12.75" hidden="false" customHeight="true" outlineLevel="0" collapsed="false">
      <c r="C553" s="70"/>
      <c r="G553" s="2"/>
      <c r="H553" s="41"/>
      <c r="I553" s="41"/>
      <c r="J553" s="41"/>
      <c r="K553" s="41"/>
      <c r="L553" s="41"/>
      <c r="M553" s="41"/>
      <c r="N553" s="41"/>
      <c r="O553" s="41"/>
      <c r="P553" s="52"/>
      <c r="Q553" s="2"/>
    </row>
    <row r="554" customFormat="false" ht="12.75" hidden="false" customHeight="true" outlineLevel="0" collapsed="false">
      <c r="C554" s="70"/>
      <c r="G554" s="2"/>
      <c r="H554" s="41"/>
      <c r="I554" s="41"/>
      <c r="J554" s="41"/>
      <c r="K554" s="41"/>
      <c r="L554" s="41"/>
      <c r="M554" s="41"/>
      <c r="N554" s="41"/>
      <c r="O554" s="41"/>
      <c r="P554" s="52"/>
      <c r="Q554" s="2"/>
    </row>
    <row r="555" customFormat="false" ht="12.75" hidden="false" customHeight="true" outlineLevel="0" collapsed="false">
      <c r="C555" s="70"/>
      <c r="G555" s="2"/>
      <c r="H555" s="41"/>
      <c r="I555" s="41"/>
      <c r="J555" s="41"/>
      <c r="K555" s="41"/>
      <c r="L555" s="41"/>
      <c r="M555" s="41"/>
      <c r="N555" s="41"/>
      <c r="O555" s="41"/>
      <c r="P555" s="52"/>
      <c r="Q555" s="2"/>
    </row>
    <row r="556" customFormat="false" ht="12.75" hidden="false" customHeight="true" outlineLevel="0" collapsed="false">
      <c r="C556" s="70"/>
      <c r="G556" s="2"/>
      <c r="H556" s="41"/>
      <c r="I556" s="41"/>
      <c r="J556" s="41"/>
      <c r="K556" s="41"/>
      <c r="L556" s="41"/>
      <c r="M556" s="41"/>
      <c r="N556" s="41"/>
      <c r="O556" s="41"/>
      <c r="P556" s="52"/>
      <c r="Q556" s="2"/>
    </row>
    <row r="557" customFormat="false" ht="12.75" hidden="false" customHeight="true" outlineLevel="0" collapsed="false">
      <c r="C557" s="70"/>
      <c r="G557" s="2"/>
      <c r="H557" s="41"/>
      <c r="I557" s="41"/>
      <c r="J557" s="41"/>
      <c r="K557" s="41"/>
      <c r="L557" s="41"/>
      <c r="M557" s="41"/>
      <c r="N557" s="41"/>
      <c r="O557" s="41"/>
      <c r="P557" s="52"/>
      <c r="Q557" s="2"/>
    </row>
    <row r="558" customFormat="false" ht="12.75" hidden="false" customHeight="true" outlineLevel="0" collapsed="false">
      <c r="C558" s="70"/>
      <c r="G558" s="2"/>
      <c r="H558" s="41"/>
      <c r="I558" s="41"/>
      <c r="J558" s="41"/>
      <c r="K558" s="41"/>
      <c r="L558" s="41"/>
      <c r="M558" s="41"/>
      <c r="N558" s="41"/>
      <c r="O558" s="41"/>
      <c r="P558" s="52"/>
      <c r="Q558" s="2"/>
    </row>
    <row r="559" customFormat="false" ht="12.75" hidden="false" customHeight="true" outlineLevel="0" collapsed="false">
      <c r="C559" s="70"/>
      <c r="G559" s="2"/>
      <c r="H559" s="41"/>
      <c r="I559" s="41"/>
      <c r="J559" s="41"/>
      <c r="K559" s="41"/>
      <c r="L559" s="41"/>
      <c r="M559" s="41"/>
      <c r="N559" s="41"/>
      <c r="O559" s="41"/>
      <c r="P559" s="52"/>
      <c r="Q559" s="2"/>
    </row>
    <row r="560" customFormat="false" ht="12.75" hidden="false" customHeight="true" outlineLevel="0" collapsed="false">
      <c r="C560" s="70"/>
      <c r="G560" s="2"/>
      <c r="H560" s="41"/>
      <c r="I560" s="41"/>
      <c r="J560" s="41"/>
      <c r="K560" s="41"/>
      <c r="L560" s="41"/>
      <c r="M560" s="41"/>
      <c r="N560" s="41"/>
      <c r="O560" s="41"/>
      <c r="P560" s="52"/>
      <c r="Q560" s="2"/>
    </row>
    <row r="561" customFormat="false" ht="12.75" hidden="false" customHeight="true" outlineLevel="0" collapsed="false">
      <c r="C561" s="70"/>
      <c r="G561" s="2"/>
      <c r="H561" s="41"/>
      <c r="I561" s="41"/>
      <c r="J561" s="41"/>
      <c r="K561" s="41"/>
      <c r="L561" s="41"/>
      <c r="M561" s="41"/>
      <c r="N561" s="41"/>
      <c r="O561" s="41"/>
      <c r="P561" s="52"/>
      <c r="Q561" s="2"/>
    </row>
    <row r="562" customFormat="false" ht="12.75" hidden="false" customHeight="true" outlineLevel="0" collapsed="false">
      <c r="C562" s="70"/>
      <c r="G562" s="2"/>
      <c r="H562" s="41"/>
      <c r="I562" s="41"/>
      <c r="J562" s="41"/>
      <c r="K562" s="41"/>
      <c r="L562" s="41"/>
      <c r="M562" s="41"/>
      <c r="N562" s="41"/>
      <c r="O562" s="41"/>
      <c r="P562" s="52"/>
      <c r="Q562" s="2"/>
    </row>
    <row r="563" customFormat="false" ht="12.75" hidden="false" customHeight="true" outlineLevel="0" collapsed="false">
      <c r="C563" s="70"/>
      <c r="G563" s="2"/>
      <c r="H563" s="41"/>
      <c r="I563" s="41"/>
      <c r="J563" s="41"/>
      <c r="K563" s="41"/>
      <c r="L563" s="41"/>
      <c r="M563" s="41"/>
      <c r="N563" s="41"/>
      <c r="O563" s="41"/>
      <c r="P563" s="52"/>
      <c r="Q563" s="2"/>
    </row>
    <row r="564" customFormat="false" ht="12.75" hidden="false" customHeight="true" outlineLevel="0" collapsed="false">
      <c r="C564" s="70"/>
      <c r="G564" s="2"/>
      <c r="H564" s="41"/>
      <c r="I564" s="41"/>
      <c r="J564" s="41"/>
      <c r="K564" s="41"/>
      <c r="L564" s="41"/>
      <c r="M564" s="41"/>
      <c r="N564" s="41"/>
      <c r="O564" s="41"/>
      <c r="P564" s="52"/>
      <c r="Q564" s="2"/>
    </row>
    <row r="565" customFormat="false" ht="12.75" hidden="false" customHeight="true" outlineLevel="0" collapsed="false">
      <c r="C565" s="70"/>
      <c r="G565" s="2"/>
      <c r="H565" s="41"/>
      <c r="I565" s="41"/>
      <c r="J565" s="41"/>
      <c r="K565" s="41"/>
      <c r="L565" s="41"/>
      <c r="M565" s="41"/>
      <c r="N565" s="41"/>
      <c r="O565" s="41"/>
      <c r="P565" s="52"/>
      <c r="Q565" s="2"/>
    </row>
    <row r="566" customFormat="false" ht="12.75" hidden="false" customHeight="true" outlineLevel="0" collapsed="false">
      <c r="C566" s="70"/>
      <c r="G566" s="2"/>
      <c r="H566" s="41"/>
      <c r="I566" s="41"/>
      <c r="J566" s="41"/>
      <c r="K566" s="41"/>
      <c r="L566" s="41"/>
      <c r="M566" s="41"/>
      <c r="N566" s="41"/>
      <c r="O566" s="41"/>
      <c r="P566" s="52"/>
      <c r="Q566" s="2"/>
    </row>
    <row r="567" customFormat="false" ht="12.75" hidden="false" customHeight="true" outlineLevel="0" collapsed="false">
      <c r="C567" s="70"/>
      <c r="G567" s="2"/>
      <c r="H567" s="41"/>
      <c r="I567" s="41"/>
      <c r="J567" s="41"/>
      <c r="K567" s="41"/>
      <c r="L567" s="41"/>
      <c r="M567" s="41"/>
      <c r="N567" s="41"/>
      <c r="O567" s="41"/>
      <c r="P567" s="52"/>
      <c r="Q567" s="2"/>
    </row>
    <row r="568" customFormat="false" ht="12.75" hidden="false" customHeight="true" outlineLevel="0" collapsed="false">
      <c r="C568" s="70"/>
      <c r="G568" s="2"/>
      <c r="H568" s="41"/>
      <c r="I568" s="41"/>
      <c r="J568" s="41"/>
      <c r="K568" s="41"/>
      <c r="L568" s="41"/>
      <c r="M568" s="41"/>
      <c r="N568" s="41"/>
      <c r="O568" s="41"/>
      <c r="P568" s="52"/>
      <c r="Q568" s="2"/>
    </row>
    <row r="569" customFormat="false" ht="12.75" hidden="false" customHeight="true" outlineLevel="0" collapsed="false">
      <c r="C569" s="70"/>
      <c r="G569" s="2"/>
      <c r="H569" s="41"/>
      <c r="I569" s="41"/>
      <c r="J569" s="41"/>
      <c r="K569" s="41"/>
      <c r="L569" s="41"/>
      <c r="M569" s="41"/>
      <c r="N569" s="41"/>
      <c r="O569" s="41"/>
      <c r="P569" s="52"/>
      <c r="Q569" s="2"/>
    </row>
    <row r="570" customFormat="false" ht="12.75" hidden="false" customHeight="true" outlineLevel="0" collapsed="false">
      <c r="C570" s="70"/>
      <c r="G570" s="2"/>
      <c r="H570" s="41"/>
      <c r="I570" s="41"/>
      <c r="J570" s="41"/>
      <c r="K570" s="41"/>
      <c r="L570" s="41"/>
      <c r="M570" s="41"/>
      <c r="N570" s="41"/>
      <c r="O570" s="41"/>
      <c r="P570" s="52"/>
      <c r="Q570" s="2"/>
    </row>
    <row r="571" customFormat="false" ht="12.75" hidden="false" customHeight="true" outlineLevel="0" collapsed="false">
      <c r="C571" s="70"/>
      <c r="G571" s="2"/>
      <c r="H571" s="41"/>
      <c r="I571" s="41"/>
      <c r="J571" s="41"/>
      <c r="K571" s="41"/>
      <c r="L571" s="41"/>
      <c r="M571" s="41"/>
      <c r="N571" s="41"/>
      <c r="O571" s="41"/>
      <c r="P571" s="52"/>
      <c r="Q571" s="2"/>
    </row>
    <row r="572" customFormat="false" ht="12.75" hidden="false" customHeight="true" outlineLevel="0" collapsed="false">
      <c r="C572" s="70"/>
      <c r="G572" s="2"/>
      <c r="H572" s="41"/>
      <c r="I572" s="41"/>
      <c r="J572" s="41"/>
      <c r="K572" s="41"/>
      <c r="L572" s="41"/>
      <c r="M572" s="41"/>
      <c r="N572" s="41"/>
      <c r="O572" s="41"/>
      <c r="P572" s="52"/>
      <c r="Q572" s="2"/>
    </row>
    <row r="573" customFormat="false" ht="12.75" hidden="false" customHeight="true" outlineLevel="0" collapsed="false">
      <c r="C573" s="70"/>
      <c r="G573" s="2"/>
      <c r="H573" s="41"/>
      <c r="I573" s="41"/>
      <c r="J573" s="41"/>
      <c r="K573" s="41"/>
      <c r="L573" s="41"/>
      <c r="M573" s="41"/>
      <c r="N573" s="41"/>
      <c r="O573" s="41"/>
      <c r="P573" s="52"/>
      <c r="Q573" s="2"/>
    </row>
    <row r="574" customFormat="false" ht="12.75" hidden="false" customHeight="true" outlineLevel="0" collapsed="false">
      <c r="C574" s="70"/>
      <c r="G574" s="2"/>
      <c r="H574" s="41"/>
      <c r="I574" s="41"/>
      <c r="J574" s="41"/>
      <c r="K574" s="41"/>
      <c r="L574" s="41"/>
      <c r="M574" s="41"/>
      <c r="N574" s="41"/>
      <c r="O574" s="41"/>
      <c r="P574" s="52"/>
      <c r="Q574" s="2"/>
    </row>
    <row r="575" customFormat="false" ht="12.75" hidden="false" customHeight="true" outlineLevel="0" collapsed="false">
      <c r="C575" s="70"/>
      <c r="G575" s="2"/>
      <c r="H575" s="41"/>
      <c r="I575" s="41"/>
      <c r="J575" s="41"/>
      <c r="K575" s="41"/>
      <c r="L575" s="41"/>
      <c r="M575" s="41"/>
      <c r="N575" s="41"/>
      <c r="O575" s="41"/>
      <c r="P575" s="52"/>
      <c r="Q575" s="2"/>
    </row>
    <row r="576" customFormat="false" ht="12.75" hidden="false" customHeight="true" outlineLevel="0" collapsed="false">
      <c r="C576" s="70"/>
      <c r="G576" s="2"/>
      <c r="H576" s="41"/>
      <c r="I576" s="41"/>
      <c r="J576" s="41"/>
      <c r="K576" s="41"/>
      <c r="L576" s="41"/>
      <c r="M576" s="41"/>
      <c r="N576" s="41"/>
      <c r="O576" s="41"/>
      <c r="P576" s="52"/>
      <c r="Q576" s="2"/>
    </row>
    <row r="577" customFormat="false" ht="12.75" hidden="false" customHeight="true" outlineLevel="0" collapsed="false">
      <c r="C577" s="70"/>
      <c r="G577" s="2"/>
      <c r="H577" s="41"/>
      <c r="I577" s="41"/>
      <c r="J577" s="41"/>
      <c r="K577" s="41"/>
      <c r="L577" s="41"/>
      <c r="M577" s="41"/>
      <c r="N577" s="41"/>
      <c r="O577" s="41"/>
      <c r="P577" s="52"/>
      <c r="Q577" s="2"/>
    </row>
    <row r="578" customFormat="false" ht="12.75" hidden="false" customHeight="true" outlineLevel="0" collapsed="false">
      <c r="C578" s="70"/>
      <c r="G578" s="2"/>
      <c r="H578" s="41"/>
      <c r="I578" s="41"/>
      <c r="J578" s="41"/>
      <c r="K578" s="41"/>
      <c r="L578" s="41"/>
      <c r="M578" s="41"/>
      <c r="N578" s="41"/>
      <c r="O578" s="41"/>
      <c r="P578" s="52"/>
      <c r="Q578" s="2"/>
    </row>
    <row r="579" customFormat="false" ht="12.75" hidden="false" customHeight="true" outlineLevel="0" collapsed="false">
      <c r="C579" s="70"/>
      <c r="G579" s="2"/>
      <c r="H579" s="41"/>
      <c r="I579" s="41"/>
      <c r="J579" s="41"/>
      <c r="K579" s="41"/>
      <c r="L579" s="41"/>
      <c r="M579" s="41"/>
      <c r="N579" s="41"/>
      <c r="O579" s="41"/>
      <c r="P579" s="52"/>
      <c r="Q579" s="2"/>
    </row>
    <row r="580" customFormat="false" ht="12.75" hidden="false" customHeight="true" outlineLevel="0" collapsed="false">
      <c r="C580" s="70"/>
      <c r="G580" s="2"/>
      <c r="H580" s="41"/>
      <c r="I580" s="41"/>
      <c r="J580" s="41"/>
      <c r="K580" s="41"/>
      <c r="L580" s="41"/>
      <c r="M580" s="41"/>
      <c r="N580" s="41"/>
      <c r="O580" s="41"/>
      <c r="P580" s="52"/>
      <c r="Q580" s="2"/>
    </row>
    <row r="581" customFormat="false" ht="12.75" hidden="false" customHeight="true" outlineLevel="0" collapsed="false">
      <c r="C581" s="70"/>
      <c r="G581" s="2"/>
      <c r="H581" s="41"/>
      <c r="I581" s="41"/>
      <c r="J581" s="41"/>
      <c r="K581" s="41"/>
      <c r="L581" s="41"/>
      <c r="M581" s="41"/>
      <c r="N581" s="41"/>
      <c r="O581" s="41"/>
      <c r="P581" s="52"/>
      <c r="Q581" s="2"/>
    </row>
    <row r="582" customFormat="false" ht="12.75" hidden="false" customHeight="true" outlineLevel="0" collapsed="false">
      <c r="C582" s="70"/>
      <c r="G582" s="2"/>
      <c r="H582" s="41"/>
      <c r="I582" s="41"/>
      <c r="J582" s="41"/>
      <c r="K582" s="41"/>
      <c r="L582" s="41"/>
      <c r="M582" s="41"/>
      <c r="N582" s="41"/>
      <c r="O582" s="41"/>
      <c r="P582" s="52"/>
      <c r="Q582" s="2"/>
    </row>
    <row r="583" customFormat="false" ht="12.75" hidden="false" customHeight="true" outlineLevel="0" collapsed="false">
      <c r="C583" s="70"/>
      <c r="G583" s="2"/>
      <c r="H583" s="41"/>
      <c r="I583" s="41"/>
      <c r="J583" s="41"/>
      <c r="K583" s="41"/>
      <c r="L583" s="41"/>
      <c r="M583" s="41"/>
      <c r="N583" s="41"/>
      <c r="O583" s="41"/>
      <c r="P583" s="52"/>
      <c r="Q583" s="2"/>
    </row>
    <row r="584" customFormat="false" ht="12.75" hidden="false" customHeight="true" outlineLevel="0" collapsed="false">
      <c r="C584" s="70"/>
      <c r="G584" s="2"/>
      <c r="H584" s="41"/>
      <c r="I584" s="41"/>
      <c r="J584" s="41"/>
      <c r="K584" s="41"/>
      <c r="L584" s="41"/>
      <c r="M584" s="41"/>
      <c r="N584" s="41"/>
      <c r="O584" s="41"/>
      <c r="P584" s="52"/>
      <c r="Q584" s="2"/>
    </row>
    <row r="585" customFormat="false" ht="12.75" hidden="false" customHeight="true" outlineLevel="0" collapsed="false">
      <c r="C585" s="70"/>
      <c r="G585" s="2"/>
      <c r="H585" s="41"/>
      <c r="I585" s="41"/>
      <c r="J585" s="41"/>
      <c r="K585" s="41"/>
      <c r="L585" s="41"/>
      <c r="M585" s="41"/>
      <c r="N585" s="41"/>
      <c r="O585" s="41"/>
      <c r="P585" s="52"/>
      <c r="Q585" s="2"/>
    </row>
    <row r="586" customFormat="false" ht="12.75" hidden="false" customHeight="true" outlineLevel="0" collapsed="false">
      <c r="C586" s="70"/>
      <c r="G586" s="2"/>
      <c r="H586" s="41"/>
      <c r="I586" s="41"/>
      <c r="J586" s="41"/>
      <c r="K586" s="41"/>
      <c r="L586" s="41"/>
      <c r="M586" s="41"/>
      <c r="N586" s="41"/>
      <c r="O586" s="41"/>
      <c r="P586" s="52"/>
      <c r="Q586" s="2"/>
    </row>
    <row r="587" customFormat="false" ht="12.75" hidden="false" customHeight="true" outlineLevel="0" collapsed="false">
      <c r="C587" s="70"/>
      <c r="G587" s="2"/>
      <c r="H587" s="41"/>
      <c r="I587" s="41"/>
      <c r="J587" s="41"/>
      <c r="K587" s="41"/>
      <c r="L587" s="41"/>
      <c r="M587" s="41"/>
      <c r="N587" s="41"/>
      <c r="O587" s="41"/>
      <c r="P587" s="52"/>
      <c r="Q587" s="2"/>
    </row>
    <row r="588" customFormat="false" ht="12.75" hidden="false" customHeight="true" outlineLevel="0" collapsed="false">
      <c r="C588" s="70"/>
      <c r="G588" s="2"/>
      <c r="H588" s="41"/>
      <c r="I588" s="41"/>
      <c r="J588" s="41"/>
      <c r="K588" s="41"/>
      <c r="L588" s="41"/>
      <c r="M588" s="41"/>
      <c r="N588" s="41"/>
      <c r="O588" s="41"/>
      <c r="P588" s="52"/>
      <c r="Q588" s="2"/>
    </row>
    <row r="589" customFormat="false" ht="12.75" hidden="false" customHeight="true" outlineLevel="0" collapsed="false">
      <c r="C589" s="70"/>
      <c r="G589" s="2"/>
      <c r="H589" s="41"/>
      <c r="I589" s="41"/>
      <c r="J589" s="41"/>
      <c r="K589" s="41"/>
      <c r="L589" s="41"/>
      <c r="M589" s="41"/>
      <c r="N589" s="41"/>
      <c r="O589" s="41"/>
      <c r="P589" s="52"/>
      <c r="Q589" s="2"/>
    </row>
    <row r="590" customFormat="false" ht="12.75" hidden="false" customHeight="true" outlineLevel="0" collapsed="false">
      <c r="C590" s="70"/>
      <c r="G590" s="2"/>
      <c r="H590" s="41"/>
      <c r="I590" s="41"/>
      <c r="J590" s="41"/>
      <c r="K590" s="41"/>
      <c r="L590" s="41"/>
      <c r="M590" s="41"/>
      <c r="N590" s="41"/>
      <c r="O590" s="41"/>
      <c r="P590" s="52"/>
      <c r="Q590" s="2"/>
    </row>
    <row r="591" customFormat="false" ht="12.75" hidden="false" customHeight="true" outlineLevel="0" collapsed="false">
      <c r="C591" s="70"/>
      <c r="G591" s="2"/>
      <c r="H591" s="41"/>
      <c r="I591" s="41"/>
      <c r="J591" s="41"/>
      <c r="K591" s="41"/>
      <c r="L591" s="41"/>
      <c r="M591" s="41"/>
      <c r="N591" s="41"/>
      <c r="O591" s="41"/>
      <c r="P591" s="52"/>
      <c r="Q591" s="2"/>
    </row>
    <row r="592" customFormat="false" ht="12.75" hidden="false" customHeight="true" outlineLevel="0" collapsed="false">
      <c r="C592" s="70"/>
      <c r="G592" s="2"/>
      <c r="H592" s="41"/>
      <c r="I592" s="41"/>
      <c r="J592" s="41"/>
      <c r="K592" s="41"/>
      <c r="L592" s="41"/>
      <c r="M592" s="41"/>
      <c r="N592" s="41"/>
      <c r="O592" s="41"/>
      <c r="P592" s="52"/>
      <c r="Q592" s="2"/>
    </row>
    <row r="593" customFormat="false" ht="12.75" hidden="false" customHeight="true" outlineLevel="0" collapsed="false">
      <c r="C593" s="70"/>
      <c r="G593" s="2"/>
      <c r="H593" s="41"/>
      <c r="I593" s="41"/>
      <c r="J593" s="41"/>
      <c r="K593" s="41"/>
      <c r="L593" s="41"/>
      <c r="M593" s="41"/>
      <c r="N593" s="41"/>
      <c r="O593" s="41"/>
      <c r="P593" s="52"/>
      <c r="Q593" s="2"/>
    </row>
    <row r="594" customFormat="false" ht="12.75" hidden="false" customHeight="true" outlineLevel="0" collapsed="false">
      <c r="C594" s="70"/>
      <c r="G594" s="2"/>
      <c r="H594" s="41"/>
      <c r="I594" s="41"/>
      <c r="J594" s="41"/>
      <c r="K594" s="41"/>
      <c r="L594" s="41"/>
      <c r="M594" s="41"/>
      <c r="N594" s="41"/>
      <c r="O594" s="41"/>
      <c r="P594" s="52"/>
      <c r="Q594" s="2"/>
    </row>
    <row r="595" customFormat="false" ht="12.75" hidden="false" customHeight="true" outlineLevel="0" collapsed="false">
      <c r="C595" s="70"/>
      <c r="G595" s="2"/>
      <c r="H595" s="41"/>
      <c r="I595" s="41"/>
      <c r="J595" s="41"/>
      <c r="K595" s="41"/>
      <c r="L595" s="41"/>
      <c r="M595" s="41"/>
      <c r="N595" s="41"/>
      <c r="O595" s="41"/>
      <c r="P595" s="52"/>
      <c r="Q595" s="2"/>
    </row>
    <row r="596" customFormat="false" ht="12.75" hidden="false" customHeight="true" outlineLevel="0" collapsed="false">
      <c r="C596" s="70"/>
      <c r="G596" s="2"/>
      <c r="H596" s="41"/>
      <c r="I596" s="41"/>
      <c r="J596" s="41"/>
      <c r="K596" s="41"/>
      <c r="L596" s="41"/>
      <c r="M596" s="41"/>
      <c r="N596" s="41"/>
      <c r="O596" s="41"/>
      <c r="P596" s="52"/>
      <c r="Q596" s="2"/>
    </row>
    <row r="597" customFormat="false" ht="12.75" hidden="false" customHeight="true" outlineLevel="0" collapsed="false">
      <c r="C597" s="70"/>
      <c r="G597" s="2"/>
      <c r="H597" s="41"/>
      <c r="I597" s="41"/>
      <c r="J597" s="41"/>
      <c r="K597" s="41"/>
      <c r="L597" s="41"/>
      <c r="M597" s="41"/>
      <c r="N597" s="41"/>
      <c r="O597" s="41"/>
      <c r="P597" s="52"/>
      <c r="Q597" s="2"/>
    </row>
    <row r="598" customFormat="false" ht="12.75" hidden="false" customHeight="true" outlineLevel="0" collapsed="false">
      <c r="C598" s="70"/>
      <c r="G598" s="2"/>
      <c r="H598" s="41"/>
      <c r="I598" s="41"/>
      <c r="J598" s="41"/>
      <c r="K598" s="41"/>
      <c r="L598" s="41"/>
      <c r="M598" s="41"/>
      <c r="N598" s="41"/>
      <c r="O598" s="41"/>
      <c r="P598" s="52"/>
      <c r="Q598" s="2"/>
    </row>
    <row r="599" customFormat="false" ht="12.75" hidden="false" customHeight="true" outlineLevel="0" collapsed="false">
      <c r="C599" s="70"/>
      <c r="G599" s="2"/>
      <c r="H599" s="41"/>
      <c r="I599" s="41"/>
      <c r="J599" s="41"/>
      <c r="K599" s="41"/>
      <c r="L599" s="41"/>
      <c r="M599" s="41"/>
      <c r="N599" s="41"/>
      <c r="O599" s="41"/>
      <c r="P599" s="52"/>
      <c r="Q599" s="2"/>
    </row>
    <row r="600" customFormat="false" ht="12.75" hidden="false" customHeight="true" outlineLevel="0" collapsed="false">
      <c r="C600" s="70"/>
      <c r="G600" s="2"/>
      <c r="H600" s="41"/>
      <c r="I600" s="41"/>
      <c r="J600" s="41"/>
      <c r="K600" s="41"/>
      <c r="L600" s="41"/>
      <c r="M600" s="41"/>
      <c r="N600" s="41"/>
      <c r="O600" s="41"/>
      <c r="P600" s="52"/>
      <c r="Q600" s="2"/>
    </row>
    <row r="601" customFormat="false" ht="12.75" hidden="false" customHeight="true" outlineLevel="0" collapsed="false">
      <c r="C601" s="70"/>
      <c r="G601" s="2"/>
      <c r="H601" s="41"/>
      <c r="I601" s="41"/>
      <c r="J601" s="41"/>
      <c r="K601" s="41"/>
      <c r="L601" s="41"/>
      <c r="M601" s="41"/>
      <c r="N601" s="41"/>
      <c r="O601" s="41"/>
      <c r="P601" s="52"/>
      <c r="Q601" s="2"/>
    </row>
    <row r="602" customFormat="false" ht="12.75" hidden="false" customHeight="true" outlineLevel="0" collapsed="false">
      <c r="C602" s="70"/>
      <c r="G602" s="2"/>
      <c r="H602" s="41"/>
      <c r="I602" s="41"/>
      <c r="J602" s="41"/>
      <c r="K602" s="41"/>
      <c r="L602" s="41"/>
      <c r="M602" s="41"/>
      <c r="N602" s="41"/>
      <c r="O602" s="41"/>
      <c r="P602" s="52"/>
      <c r="Q602" s="2"/>
    </row>
    <row r="603" customFormat="false" ht="12.75" hidden="false" customHeight="true" outlineLevel="0" collapsed="false">
      <c r="C603" s="70"/>
      <c r="G603" s="2"/>
      <c r="H603" s="41"/>
      <c r="I603" s="41"/>
      <c r="J603" s="41"/>
      <c r="K603" s="41"/>
      <c r="L603" s="41"/>
      <c r="M603" s="41"/>
      <c r="N603" s="41"/>
      <c r="O603" s="41"/>
      <c r="P603" s="52"/>
      <c r="Q603" s="2"/>
    </row>
    <row r="604" customFormat="false" ht="12.75" hidden="false" customHeight="true" outlineLevel="0" collapsed="false">
      <c r="C604" s="70"/>
      <c r="G604" s="2"/>
      <c r="H604" s="41"/>
      <c r="I604" s="41"/>
      <c r="J604" s="41"/>
      <c r="K604" s="41"/>
      <c r="L604" s="41"/>
      <c r="M604" s="41"/>
      <c r="N604" s="41"/>
      <c r="O604" s="41"/>
      <c r="P604" s="52"/>
      <c r="Q604" s="2"/>
    </row>
    <row r="605" customFormat="false" ht="12.75" hidden="false" customHeight="true" outlineLevel="0" collapsed="false">
      <c r="C605" s="70"/>
      <c r="G605" s="2"/>
      <c r="H605" s="41"/>
      <c r="I605" s="41"/>
      <c r="J605" s="41"/>
      <c r="K605" s="41"/>
      <c r="L605" s="41"/>
      <c r="M605" s="41"/>
      <c r="N605" s="41"/>
      <c r="O605" s="41"/>
      <c r="P605" s="52"/>
      <c r="Q605" s="2"/>
    </row>
    <row r="606" customFormat="false" ht="12.75" hidden="false" customHeight="true" outlineLevel="0" collapsed="false">
      <c r="C606" s="70"/>
      <c r="G606" s="2"/>
      <c r="H606" s="41"/>
      <c r="I606" s="41"/>
      <c r="J606" s="41"/>
      <c r="K606" s="41"/>
      <c r="L606" s="41"/>
      <c r="M606" s="41"/>
      <c r="N606" s="41"/>
      <c r="O606" s="41"/>
      <c r="P606" s="52"/>
      <c r="Q606" s="2"/>
    </row>
    <row r="607" customFormat="false" ht="12.75" hidden="false" customHeight="true" outlineLevel="0" collapsed="false">
      <c r="C607" s="70"/>
      <c r="G607" s="2"/>
      <c r="H607" s="41"/>
      <c r="I607" s="41"/>
      <c r="J607" s="41"/>
      <c r="K607" s="41"/>
      <c r="L607" s="41"/>
      <c r="M607" s="41"/>
      <c r="N607" s="41"/>
      <c r="O607" s="41"/>
      <c r="P607" s="52"/>
      <c r="Q607" s="2"/>
    </row>
    <row r="608" customFormat="false" ht="12.75" hidden="false" customHeight="true" outlineLevel="0" collapsed="false">
      <c r="C608" s="70"/>
      <c r="G608" s="2"/>
      <c r="H608" s="41"/>
      <c r="I608" s="41"/>
      <c r="J608" s="41"/>
      <c r="K608" s="41"/>
      <c r="L608" s="41"/>
      <c r="M608" s="41"/>
      <c r="N608" s="41"/>
      <c r="O608" s="41"/>
      <c r="P608" s="52"/>
      <c r="Q608" s="2"/>
    </row>
    <row r="609" customFormat="false" ht="12.75" hidden="false" customHeight="true" outlineLevel="0" collapsed="false">
      <c r="C609" s="70"/>
      <c r="G609" s="2"/>
      <c r="H609" s="41"/>
      <c r="I609" s="41"/>
      <c r="J609" s="41"/>
      <c r="K609" s="41"/>
      <c r="L609" s="41"/>
      <c r="M609" s="41"/>
      <c r="N609" s="41"/>
      <c r="O609" s="41"/>
      <c r="P609" s="52"/>
      <c r="Q609" s="2"/>
    </row>
    <row r="610" customFormat="false" ht="12.75" hidden="false" customHeight="true" outlineLevel="0" collapsed="false">
      <c r="C610" s="70"/>
      <c r="G610" s="2"/>
      <c r="H610" s="41"/>
      <c r="I610" s="41"/>
      <c r="J610" s="41"/>
      <c r="K610" s="41"/>
      <c r="L610" s="41"/>
      <c r="M610" s="41"/>
      <c r="N610" s="41"/>
      <c r="O610" s="41"/>
      <c r="P610" s="52"/>
      <c r="Q610" s="2"/>
    </row>
    <row r="611" customFormat="false" ht="12.75" hidden="false" customHeight="true" outlineLevel="0" collapsed="false">
      <c r="C611" s="70"/>
      <c r="G611" s="2"/>
      <c r="H611" s="41"/>
      <c r="I611" s="41"/>
      <c r="J611" s="41"/>
      <c r="K611" s="41"/>
      <c r="L611" s="41"/>
      <c r="M611" s="41"/>
      <c r="N611" s="41"/>
      <c r="O611" s="41"/>
      <c r="P611" s="52"/>
      <c r="Q611" s="2"/>
    </row>
    <row r="612" customFormat="false" ht="12.75" hidden="false" customHeight="true" outlineLevel="0" collapsed="false">
      <c r="C612" s="70"/>
      <c r="G612" s="2"/>
      <c r="H612" s="41"/>
      <c r="I612" s="41"/>
      <c r="J612" s="41"/>
      <c r="K612" s="41"/>
      <c r="L612" s="41"/>
      <c r="M612" s="41"/>
      <c r="N612" s="41"/>
      <c r="O612" s="41"/>
      <c r="P612" s="52"/>
      <c r="Q612" s="2"/>
    </row>
    <row r="613" customFormat="false" ht="12.75" hidden="false" customHeight="true" outlineLevel="0" collapsed="false">
      <c r="C613" s="70"/>
      <c r="G613" s="2"/>
      <c r="H613" s="41"/>
      <c r="I613" s="41"/>
      <c r="J613" s="41"/>
      <c r="K613" s="41"/>
      <c r="L613" s="41"/>
      <c r="M613" s="41"/>
      <c r="N613" s="41"/>
      <c r="O613" s="41"/>
      <c r="P613" s="52"/>
      <c r="Q613" s="2"/>
    </row>
    <row r="614" customFormat="false" ht="12.75" hidden="false" customHeight="true" outlineLevel="0" collapsed="false">
      <c r="C614" s="70"/>
      <c r="G614" s="2"/>
      <c r="H614" s="41"/>
      <c r="I614" s="41"/>
      <c r="J614" s="41"/>
      <c r="K614" s="41"/>
      <c r="L614" s="41"/>
      <c r="M614" s="41"/>
      <c r="N614" s="41"/>
      <c r="O614" s="41"/>
      <c r="P614" s="52"/>
      <c r="Q614" s="2"/>
    </row>
    <row r="615" customFormat="false" ht="12.75" hidden="false" customHeight="true" outlineLevel="0" collapsed="false">
      <c r="C615" s="70"/>
      <c r="G615" s="2"/>
      <c r="H615" s="41"/>
      <c r="I615" s="41"/>
      <c r="J615" s="41"/>
      <c r="K615" s="41"/>
      <c r="L615" s="41"/>
      <c r="M615" s="41"/>
      <c r="N615" s="41"/>
      <c r="O615" s="41"/>
      <c r="P615" s="52"/>
      <c r="Q615" s="2"/>
    </row>
    <row r="616" customFormat="false" ht="12.75" hidden="false" customHeight="true" outlineLevel="0" collapsed="false">
      <c r="C616" s="70"/>
      <c r="G616" s="2"/>
      <c r="H616" s="41"/>
      <c r="I616" s="41"/>
      <c r="J616" s="41"/>
      <c r="K616" s="41"/>
      <c r="L616" s="41"/>
      <c r="M616" s="41"/>
      <c r="N616" s="41"/>
      <c r="O616" s="41"/>
      <c r="P616" s="52"/>
      <c r="Q616" s="2"/>
    </row>
    <row r="617" customFormat="false" ht="12.75" hidden="false" customHeight="true" outlineLevel="0" collapsed="false">
      <c r="C617" s="70"/>
      <c r="G617" s="2"/>
      <c r="H617" s="41"/>
      <c r="I617" s="41"/>
      <c r="J617" s="41"/>
      <c r="K617" s="41"/>
      <c r="L617" s="41"/>
      <c r="M617" s="41"/>
      <c r="N617" s="41"/>
      <c r="O617" s="41"/>
      <c r="P617" s="52"/>
      <c r="Q617" s="2"/>
    </row>
    <row r="618" customFormat="false" ht="12.75" hidden="false" customHeight="true" outlineLevel="0" collapsed="false">
      <c r="C618" s="70"/>
      <c r="G618" s="2"/>
      <c r="H618" s="41"/>
      <c r="I618" s="41"/>
      <c r="J618" s="41"/>
      <c r="K618" s="41"/>
      <c r="L618" s="41"/>
      <c r="M618" s="41"/>
      <c r="N618" s="41"/>
      <c r="O618" s="41"/>
      <c r="P618" s="52"/>
      <c r="Q618" s="2"/>
    </row>
    <row r="619" customFormat="false" ht="12.75" hidden="false" customHeight="true" outlineLevel="0" collapsed="false">
      <c r="C619" s="70"/>
      <c r="G619" s="2"/>
      <c r="H619" s="41"/>
      <c r="I619" s="41"/>
      <c r="J619" s="41"/>
      <c r="K619" s="41"/>
      <c r="L619" s="41"/>
      <c r="M619" s="41"/>
      <c r="N619" s="41"/>
      <c r="O619" s="41"/>
      <c r="P619" s="52"/>
      <c r="Q619" s="2"/>
    </row>
    <row r="620" customFormat="false" ht="12.75" hidden="false" customHeight="true" outlineLevel="0" collapsed="false">
      <c r="C620" s="70"/>
      <c r="G620" s="2"/>
      <c r="H620" s="41"/>
      <c r="I620" s="41"/>
      <c r="J620" s="41"/>
      <c r="K620" s="41"/>
      <c r="L620" s="41"/>
      <c r="M620" s="41"/>
      <c r="N620" s="41"/>
      <c r="O620" s="41"/>
      <c r="P620" s="52"/>
      <c r="Q620" s="2"/>
    </row>
    <row r="621" customFormat="false" ht="12.75" hidden="false" customHeight="true" outlineLevel="0" collapsed="false">
      <c r="C621" s="70"/>
      <c r="G621" s="2"/>
      <c r="H621" s="41"/>
      <c r="I621" s="41"/>
      <c r="J621" s="41"/>
      <c r="K621" s="41"/>
      <c r="L621" s="41"/>
      <c r="M621" s="41"/>
      <c r="N621" s="41"/>
      <c r="O621" s="41"/>
      <c r="P621" s="52"/>
      <c r="Q621" s="2"/>
    </row>
    <row r="622" customFormat="false" ht="12.75" hidden="false" customHeight="true" outlineLevel="0" collapsed="false">
      <c r="C622" s="70"/>
      <c r="G622" s="2"/>
      <c r="H622" s="41"/>
      <c r="I622" s="41"/>
      <c r="J622" s="41"/>
      <c r="K622" s="41"/>
      <c r="L622" s="41"/>
      <c r="M622" s="41"/>
      <c r="N622" s="41"/>
      <c r="O622" s="41"/>
      <c r="P622" s="52"/>
      <c r="Q622" s="2"/>
    </row>
    <row r="623" customFormat="false" ht="12.75" hidden="false" customHeight="true" outlineLevel="0" collapsed="false">
      <c r="C623" s="70"/>
      <c r="G623" s="2"/>
      <c r="H623" s="41"/>
      <c r="I623" s="41"/>
      <c r="J623" s="41"/>
      <c r="K623" s="41"/>
      <c r="L623" s="41"/>
      <c r="M623" s="41"/>
      <c r="N623" s="41"/>
      <c r="O623" s="41"/>
      <c r="P623" s="52"/>
      <c r="Q623" s="2"/>
    </row>
    <row r="624" customFormat="false" ht="12.75" hidden="false" customHeight="true" outlineLevel="0" collapsed="false">
      <c r="C624" s="70"/>
      <c r="G624" s="2"/>
      <c r="H624" s="41"/>
      <c r="I624" s="41"/>
      <c r="J624" s="41"/>
      <c r="K624" s="41"/>
      <c r="L624" s="41"/>
      <c r="M624" s="41"/>
      <c r="N624" s="41"/>
      <c r="O624" s="41"/>
      <c r="P624" s="52"/>
      <c r="Q624" s="2"/>
    </row>
    <row r="625" customFormat="false" ht="12.75" hidden="false" customHeight="true" outlineLevel="0" collapsed="false">
      <c r="C625" s="70"/>
      <c r="G625" s="2"/>
      <c r="H625" s="41"/>
      <c r="I625" s="41"/>
      <c r="J625" s="41"/>
      <c r="K625" s="41"/>
      <c r="L625" s="41"/>
      <c r="M625" s="41"/>
      <c r="N625" s="41"/>
      <c r="O625" s="41"/>
      <c r="P625" s="52"/>
      <c r="Q625" s="2"/>
    </row>
    <row r="626" customFormat="false" ht="12.75" hidden="false" customHeight="true" outlineLevel="0" collapsed="false">
      <c r="C626" s="70"/>
      <c r="G626" s="2"/>
      <c r="H626" s="41"/>
      <c r="I626" s="41"/>
      <c r="J626" s="41"/>
      <c r="K626" s="41"/>
      <c r="L626" s="41"/>
      <c r="M626" s="41"/>
      <c r="N626" s="41"/>
      <c r="O626" s="41"/>
      <c r="P626" s="52"/>
      <c r="Q626" s="2"/>
    </row>
    <row r="627" customFormat="false" ht="12.75" hidden="false" customHeight="true" outlineLevel="0" collapsed="false">
      <c r="C627" s="70"/>
      <c r="G627" s="2"/>
      <c r="H627" s="41"/>
      <c r="I627" s="41"/>
      <c r="J627" s="41"/>
      <c r="K627" s="41"/>
      <c r="L627" s="41"/>
      <c r="M627" s="41"/>
      <c r="N627" s="41"/>
      <c r="O627" s="41"/>
      <c r="P627" s="52"/>
      <c r="Q627" s="2"/>
    </row>
    <row r="628" customFormat="false" ht="12.75" hidden="false" customHeight="true" outlineLevel="0" collapsed="false">
      <c r="C628" s="70"/>
      <c r="G628" s="2"/>
      <c r="H628" s="41"/>
      <c r="I628" s="41"/>
      <c r="J628" s="41"/>
      <c r="K628" s="41"/>
      <c r="L628" s="41"/>
      <c r="M628" s="41"/>
      <c r="N628" s="41"/>
      <c r="O628" s="41"/>
      <c r="P628" s="52"/>
      <c r="Q628" s="2"/>
    </row>
    <row r="629" customFormat="false" ht="12.75" hidden="false" customHeight="true" outlineLevel="0" collapsed="false">
      <c r="C629" s="70"/>
      <c r="G629" s="2"/>
      <c r="H629" s="41"/>
      <c r="I629" s="41"/>
      <c r="J629" s="41"/>
      <c r="K629" s="41"/>
      <c r="L629" s="41"/>
      <c r="M629" s="41"/>
      <c r="N629" s="41"/>
      <c r="O629" s="41"/>
      <c r="P629" s="52"/>
      <c r="Q629" s="2"/>
    </row>
    <row r="630" customFormat="false" ht="12.75" hidden="false" customHeight="true" outlineLevel="0" collapsed="false">
      <c r="C630" s="70"/>
      <c r="G630" s="2"/>
      <c r="H630" s="41"/>
      <c r="I630" s="41"/>
      <c r="J630" s="41"/>
      <c r="K630" s="41"/>
      <c r="L630" s="41"/>
      <c r="M630" s="41"/>
      <c r="N630" s="41"/>
      <c r="O630" s="41"/>
      <c r="P630" s="52"/>
      <c r="Q630" s="2"/>
    </row>
    <row r="631" customFormat="false" ht="12.75" hidden="false" customHeight="true" outlineLevel="0" collapsed="false">
      <c r="C631" s="70"/>
      <c r="G631" s="2"/>
      <c r="H631" s="41"/>
      <c r="I631" s="41"/>
      <c r="J631" s="41"/>
      <c r="K631" s="41"/>
      <c r="L631" s="41"/>
      <c r="M631" s="41"/>
      <c r="N631" s="41"/>
      <c r="O631" s="41"/>
      <c r="P631" s="52"/>
      <c r="Q631" s="2"/>
    </row>
    <row r="632" customFormat="false" ht="12.75" hidden="false" customHeight="true" outlineLevel="0" collapsed="false">
      <c r="C632" s="70"/>
      <c r="G632" s="2"/>
      <c r="H632" s="41"/>
      <c r="I632" s="41"/>
      <c r="J632" s="41"/>
      <c r="K632" s="41"/>
      <c r="L632" s="41"/>
      <c r="M632" s="41"/>
      <c r="N632" s="41"/>
      <c r="O632" s="41"/>
      <c r="P632" s="52"/>
      <c r="Q632" s="2"/>
    </row>
    <row r="633" customFormat="false" ht="12.75" hidden="false" customHeight="true" outlineLevel="0" collapsed="false">
      <c r="C633" s="70"/>
      <c r="G633" s="2"/>
      <c r="H633" s="41"/>
      <c r="I633" s="41"/>
      <c r="J633" s="41"/>
      <c r="K633" s="41"/>
      <c r="L633" s="41"/>
      <c r="M633" s="41"/>
      <c r="N633" s="41"/>
      <c r="O633" s="41"/>
      <c r="P633" s="52"/>
      <c r="Q633" s="2"/>
    </row>
    <row r="634" customFormat="false" ht="12.75" hidden="false" customHeight="true" outlineLevel="0" collapsed="false">
      <c r="C634" s="70"/>
      <c r="G634" s="2"/>
      <c r="H634" s="41"/>
      <c r="I634" s="41"/>
      <c r="J634" s="41"/>
      <c r="K634" s="41"/>
      <c r="L634" s="41"/>
      <c r="M634" s="41"/>
      <c r="N634" s="41"/>
      <c r="O634" s="41"/>
      <c r="P634" s="52"/>
      <c r="Q634" s="2"/>
    </row>
    <row r="635" customFormat="false" ht="12.75" hidden="false" customHeight="true" outlineLevel="0" collapsed="false">
      <c r="C635" s="70"/>
      <c r="G635" s="2"/>
      <c r="H635" s="41"/>
      <c r="I635" s="41"/>
      <c r="J635" s="41"/>
      <c r="K635" s="41"/>
      <c r="L635" s="41"/>
      <c r="M635" s="41"/>
      <c r="N635" s="41"/>
      <c r="O635" s="41"/>
      <c r="P635" s="52"/>
      <c r="Q635" s="2"/>
    </row>
    <row r="636" customFormat="false" ht="12.75" hidden="false" customHeight="true" outlineLevel="0" collapsed="false">
      <c r="C636" s="70"/>
      <c r="G636" s="2"/>
      <c r="H636" s="41"/>
      <c r="I636" s="41"/>
      <c r="J636" s="41"/>
      <c r="K636" s="41"/>
      <c r="L636" s="41"/>
      <c r="M636" s="41"/>
      <c r="N636" s="41"/>
      <c r="O636" s="41"/>
      <c r="P636" s="52"/>
      <c r="Q636" s="2"/>
    </row>
    <row r="637" customFormat="false" ht="12.75" hidden="false" customHeight="true" outlineLevel="0" collapsed="false">
      <c r="C637" s="70"/>
      <c r="G637" s="2"/>
      <c r="H637" s="41"/>
      <c r="I637" s="41"/>
      <c r="J637" s="41"/>
      <c r="K637" s="41"/>
      <c r="L637" s="41"/>
      <c r="M637" s="41"/>
      <c r="N637" s="41"/>
      <c r="O637" s="41"/>
      <c r="P637" s="52"/>
      <c r="Q637" s="2"/>
    </row>
    <row r="638" customFormat="false" ht="12.75" hidden="false" customHeight="true" outlineLevel="0" collapsed="false">
      <c r="C638" s="70"/>
      <c r="G638" s="2"/>
      <c r="H638" s="41"/>
      <c r="I638" s="41"/>
      <c r="J638" s="41"/>
      <c r="K638" s="41"/>
      <c r="L638" s="41"/>
      <c r="M638" s="41"/>
      <c r="N638" s="41"/>
      <c r="O638" s="41"/>
      <c r="P638" s="52"/>
      <c r="Q638" s="2"/>
    </row>
    <row r="639" customFormat="false" ht="12.75" hidden="false" customHeight="true" outlineLevel="0" collapsed="false">
      <c r="C639" s="70"/>
      <c r="G639" s="2"/>
      <c r="H639" s="41"/>
      <c r="I639" s="41"/>
      <c r="J639" s="41"/>
      <c r="K639" s="41"/>
      <c r="L639" s="41"/>
      <c r="M639" s="41"/>
      <c r="N639" s="41"/>
      <c r="O639" s="41"/>
      <c r="P639" s="52"/>
      <c r="Q639" s="2"/>
    </row>
    <row r="640" customFormat="false" ht="12.75" hidden="false" customHeight="true" outlineLevel="0" collapsed="false">
      <c r="C640" s="70"/>
      <c r="G640" s="2"/>
      <c r="H640" s="41"/>
      <c r="I640" s="41"/>
      <c r="J640" s="41"/>
      <c r="K640" s="41"/>
      <c r="L640" s="41"/>
      <c r="M640" s="41"/>
      <c r="N640" s="41"/>
      <c r="O640" s="41"/>
      <c r="P640" s="52"/>
      <c r="Q640" s="2"/>
    </row>
    <row r="641" customFormat="false" ht="12.75" hidden="false" customHeight="true" outlineLevel="0" collapsed="false">
      <c r="C641" s="70"/>
      <c r="G641" s="2"/>
      <c r="H641" s="41"/>
      <c r="I641" s="41"/>
      <c r="J641" s="41"/>
      <c r="K641" s="41"/>
      <c r="L641" s="41"/>
      <c r="M641" s="41"/>
      <c r="N641" s="41"/>
      <c r="O641" s="41"/>
      <c r="P641" s="52"/>
      <c r="Q641" s="2"/>
    </row>
    <row r="642" customFormat="false" ht="12.75" hidden="false" customHeight="true" outlineLevel="0" collapsed="false">
      <c r="C642" s="70"/>
      <c r="G642" s="2"/>
      <c r="H642" s="41"/>
      <c r="I642" s="41"/>
      <c r="J642" s="41"/>
      <c r="K642" s="41"/>
      <c r="L642" s="41"/>
      <c r="M642" s="41"/>
      <c r="N642" s="41"/>
      <c r="O642" s="41"/>
      <c r="P642" s="52"/>
      <c r="Q642" s="2"/>
    </row>
    <row r="643" customFormat="false" ht="12.75" hidden="false" customHeight="true" outlineLevel="0" collapsed="false">
      <c r="C643" s="70"/>
      <c r="G643" s="2"/>
      <c r="H643" s="41"/>
      <c r="I643" s="41"/>
      <c r="J643" s="41"/>
      <c r="K643" s="41"/>
      <c r="L643" s="41"/>
      <c r="M643" s="41"/>
      <c r="N643" s="41"/>
      <c r="O643" s="41"/>
      <c r="P643" s="52"/>
      <c r="Q643" s="2"/>
    </row>
    <row r="644" customFormat="false" ht="12.75" hidden="false" customHeight="true" outlineLevel="0" collapsed="false">
      <c r="C644" s="70"/>
      <c r="G644" s="2"/>
      <c r="H644" s="41"/>
      <c r="I644" s="41"/>
      <c r="J644" s="41"/>
      <c r="K644" s="41"/>
      <c r="L644" s="41"/>
      <c r="M644" s="41"/>
      <c r="N644" s="41"/>
      <c r="O644" s="41"/>
      <c r="P644" s="52"/>
      <c r="Q644" s="2"/>
    </row>
    <row r="645" customFormat="false" ht="12.75" hidden="false" customHeight="true" outlineLevel="0" collapsed="false">
      <c r="C645" s="70"/>
      <c r="G645" s="2"/>
      <c r="H645" s="41"/>
      <c r="I645" s="41"/>
      <c r="J645" s="41"/>
      <c r="K645" s="41"/>
      <c r="L645" s="41"/>
      <c r="M645" s="41"/>
      <c r="N645" s="41"/>
      <c r="O645" s="41"/>
      <c r="P645" s="52"/>
      <c r="Q645" s="2"/>
    </row>
    <row r="646" customFormat="false" ht="12.75" hidden="false" customHeight="true" outlineLevel="0" collapsed="false">
      <c r="C646" s="70"/>
      <c r="G646" s="2"/>
      <c r="H646" s="41"/>
      <c r="I646" s="41"/>
      <c r="J646" s="41"/>
      <c r="K646" s="41"/>
      <c r="L646" s="41"/>
      <c r="M646" s="41"/>
      <c r="N646" s="41"/>
      <c r="O646" s="41"/>
      <c r="P646" s="52"/>
      <c r="Q646" s="2"/>
    </row>
    <row r="647" customFormat="false" ht="12.75" hidden="false" customHeight="true" outlineLevel="0" collapsed="false">
      <c r="C647" s="70"/>
      <c r="G647" s="2"/>
      <c r="H647" s="41"/>
      <c r="I647" s="41"/>
      <c r="J647" s="41"/>
      <c r="K647" s="41"/>
      <c r="L647" s="41"/>
      <c r="M647" s="41"/>
      <c r="N647" s="41"/>
      <c r="O647" s="41"/>
      <c r="P647" s="52"/>
      <c r="Q647" s="2"/>
    </row>
    <row r="648" customFormat="false" ht="12.75" hidden="false" customHeight="true" outlineLevel="0" collapsed="false">
      <c r="C648" s="70"/>
      <c r="G648" s="2"/>
      <c r="H648" s="41"/>
      <c r="I648" s="41"/>
      <c r="J648" s="41"/>
      <c r="K648" s="41"/>
      <c r="L648" s="41"/>
      <c r="M648" s="41"/>
      <c r="N648" s="41"/>
      <c r="O648" s="41"/>
      <c r="P648" s="52"/>
      <c r="Q648" s="2"/>
    </row>
    <row r="649" customFormat="false" ht="12.75" hidden="false" customHeight="true" outlineLevel="0" collapsed="false">
      <c r="C649" s="70"/>
      <c r="G649" s="2"/>
      <c r="H649" s="41"/>
      <c r="I649" s="41"/>
      <c r="J649" s="41"/>
      <c r="K649" s="41"/>
      <c r="L649" s="41"/>
      <c r="M649" s="41"/>
      <c r="N649" s="41"/>
      <c r="O649" s="41"/>
      <c r="P649" s="52"/>
      <c r="Q649" s="2"/>
    </row>
    <row r="650" customFormat="false" ht="12.75" hidden="false" customHeight="true" outlineLevel="0" collapsed="false">
      <c r="C650" s="70"/>
      <c r="G650" s="2"/>
      <c r="H650" s="41"/>
      <c r="I650" s="41"/>
      <c r="J650" s="41"/>
      <c r="K650" s="41"/>
      <c r="L650" s="41"/>
      <c r="M650" s="41"/>
      <c r="N650" s="41"/>
      <c r="O650" s="41"/>
      <c r="P650" s="52"/>
      <c r="Q650" s="2"/>
    </row>
    <row r="651" customFormat="false" ht="12.75" hidden="false" customHeight="true" outlineLevel="0" collapsed="false">
      <c r="C651" s="70"/>
      <c r="G651" s="2"/>
      <c r="H651" s="41"/>
      <c r="I651" s="41"/>
      <c r="J651" s="41"/>
      <c r="K651" s="41"/>
      <c r="L651" s="41"/>
      <c r="M651" s="41"/>
      <c r="N651" s="41"/>
      <c r="O651" s="41"/>
      <c r="P651" s="52"/>
      <c r="Q651" s="2"/>
    </row>
    <row r="652" customFormat="false" ht="12.75" hidden="false" customHeight="true" outlineLevel="0" collapsed="false">
      <c r="C652" s="70"/>
      <c r="G652" s="2"/>
      <c r="H652" s="41"/>
      <c r="I652" s="41"/>
      <c r="J652" s="41"/>
      <c r="K652" s="41"/>
      <c r="L652" s="41"/>
      <c r="M652" s="41"/>
      <c r="N652" s="41"/>
      <c r="O652" s="41"/>
      <c r="P652" s="52"/>
      <c r="Q652" s="2"/>
    </row>
    <row r="653" customFormat="false" ht="12.75" hidden="false" customHeight="true" outlineLevel="0" collapsed="false">
      <c r="C653" s="70"/>
      <c r="G653" s="2"/>
      <c r="H653" s="41"/>
      <c r="I653" s="41"/>
      <c r="J653" s="41"/>
      <c r="K653" s="41"/>
      <c r="L653" s="41"/>
      <c r="M653" s="41"/>
      <c r="N653" s="41"/>
      <c r="O653" s="41"/>
      <c r="P653" s="52"/>
      <c r="Q653" s="2"/>
    </row>
    <row r="654" customFormat="false" ht="12.75" hidden="false" customHeight="true" outlineLevel="0" collapsed="false">
      <c r="C654" s="70"/>
      <c r="G654" s="2"/>
      <c r="H654" s="41"/>
      <c r="I654" s="41"/>
      <c r="J654" s="41"/>
      <c r="K654" s="41"/>
      <c r="L654" s="41"/>
      <c r="M654" s="41"/>
      <c r="N654" s="41"/>
      <c r="O654" s="41"/>
      <c r="P654" s="52"/>
      <c r="Q654" s="2"/>
    </row>
    <row r="655" customFormat="false" ht="12.75" hidden="false" customHeight="true" outlineLevel="0" collapsed="false">
      <c r="C655" s="70"/>
      <c r="G655" s="2"/>
      <c r="H655" s="41"/>
      <c r="I655" s="41"/>
      <c r="J655" s="41"/>
      <c r="K655" s="41"/>
      <c r="L655" s="41"/>
      <c r="M655" s="41"/>
      <c r="N655" s="41"/>
      <c r="O655" s="41"/>
      <c r="P655" s="52"/>
      <c r="Q655" s="2"/>
    </row>
    <row r="656" customFormat="false" ht="12.75" hidden="false" customHeight="true" outlineLevel="0" collapsed="false">
      <c r="C656" s="70"/>
      <c r="G656" s="2"/>
      <c r="H656" s="41"/>
      <c r="I656" s="41"/>
      <c r="J656" s="41"/>
      <c r="K656" s="41"/>
      <c r="L656" s="41"/>
      <c r="M656" s="41"/>
      <c r="N656" s="41"/>
      <c r="O656" s="41"/>
      <c r="P656" s="52"/>
      <c r="Q656" s="2"/>
    </row>
    <row r="657" customFormat="false" ht="12.75" hidden="false" customHeight="true" outlineLevel="0" collapsed="false">
      <c r="C657" s="70"/>
      <c r="G657" s="2"/>
      <c r="H657" s="41"/>
      <c r="I657" s="41"/>
      <c r="J657" s="41"/>
      <c r="K657" s="41"/>
      <c r="L657" s="41"/>
      <c r="M657" s="41"/>
      <c r="N657" s="41"/>
      <c r="O657" s="41"/>
      <c r="P657" s="52"/>
      <c r="Q657" s="2"/>
    </row>
    <row r="658" customFormat="false" ht="12.75" hidden="false" customHeight="true" outlineLevel="0" collapsed="false">
      <c r="C658" s="70"/>
      <c r="G658" s="2"/>
      <c r="H658" s="41"/>
      <c r="I658" s="41"/>
      <c r="J658" s="41"/>
      <c r="K658" s="41"/>
      <c r="L658" s="41"/>
      <c r="M658" s="41"/>
      <c r="N658" s="41"/>
      <c r="O658" s="41"/>
      <c r="P658" s="52"/>
      <c r="Q658" s="2"/>
    </row>
    <row r="659" customFormat="false" ht="12.75" hidden="false" customHeight="true" outlineLevel="0" collapsed="false">
      <c r="C659" s="70"/>
      <c r="G659" s="2"/>
      <c r="H659" s="41"/>
      <c r="I659" s="41"/>
      <c r="J659" s="41"/>
      <c r="K659" s="41"/>
      <c r="L659" s="41"/>
      <c r="M659" s="41"/>
      <c r="N659" s="41"/>
      <c r="O659" s="41"/>
      <c r="P659" s="52"/>
      <c r="Q659" s="2"/>
    </row>
    <row r="660" customFormat="false" ht="12.75" hidden="false" customHeight="true" outlineLevel="0" collapsed="false">
      <c r="C660" s="70"/>
      <c r="G660" s="2"/>
      <c r="H660" s="41"/>
      <c r="I660" s="41"/>
      <c r="J660" s="41"/>
      <c r="K660" s="41"/>
      <c r="L660" s="41"/>
      <c r="M660" s="41"/>
      <c r="N660" s="41"/>
      <c r="O660" s="41"/>
      <c r="P660" s="52"/>
      <c r="Q660" s="2"/>
    </row>
    <row r="661" customFormat="false" ht="12.75" hidden="false" customHeight="true" outlineLevel="0" collapsed="false">
      <c r="C661" s="70"/>
      <c r="G661" s="2"/>
      <c r="H661" s="41"/>
      <c r="I661" s="41"/>
      <c r="J661" s="41"/>
      <c r="K661" s="41"/>
      <c r="L661" s="41"/>
      <c r="M661" s="41"/>
      <c r="N661" s="41"/>
      <c r="O661" s="41"/>
      <c r="P661" s="52"/>
      <c r="Q661" s="2"/>
    </row>
    <row r="662" customFormat="false" ht="12.75" hidden="false" customHeight="true" outlineLevel="0" collapsed="false">
      <c r="C662" s="70"/>
      <c r="G662" s="2"/>
      <c r="H662" s="41"/>
      <c r="I662" s="41"/>
      <c r="J662" s="41"/>
      <c r="K662" s="41"/>
      <c r="L662" s="41"/>
      <c r="M662" s="41"/>
      <c r="N662" s="41"/>
      <c r="O662" s="41"/>
      <c r="P662" s="52"/>
      <c r="Q662" s="2"/>
    </row>
    <row r="663" customFormat="false" ht="12.75" hidden="false" customHeight="true" outlineLevel="0" collapsed="false">
      <c r="C663" s="70"/>
      <c r="G663" s="2"/>
      <c r="H663" s="41"/>
      <c r="I663" s="41"/>
      <c r="J663" s="41"/>
      <c r="K663" s="41"/>
      <c r="L663" s="41"/>
      <c r="M663" s="41"/>
      <c r="N663" s="41"/>
      <c r="O663" s="41"/>
      <c r="P663" s="52"/>
      <c r="Q663" s="2"/>
    </row>
    <row r="664" customFormat="false" ht="12.75" hidden="false" customHeight="true" outlineLevel="0" collapsed="false">
      <c r="C664" s="70"/>
      <c r="G664" s="2"/>
      <c r="H664" s="41"/>
      <c r="I664" s="41"/>
      <c r="J664" s="41"/>
      <c r="K664" s="41"/>
      <c r="L664" s="41"/>
      <c r="M664" s="41"/>
      <c r="N664" s="41"/>
      <c r="O664" s="41"/>
      <c r="P664" s="52"/>
      <c r="Q664" s="2"/>
    </row>
    <row r="665" customFormat="false" ht="12.75" hidden="false" customHeight="true" outlineLevel="0" collapsed="false">
      <c r="C665" s="70"/>
      <c r="G665" s="2"/>
      <c r="H665" s="41"/>
      <c r="I665" s="41"/>
      <c r="J665" s="41"/>
      <c r="K665" s="41"/>
      <c r="L665" s="41"/>
      <c r="M665" s="41"/>
      <c r="N665" s="41"/>
      <c r="O665" s="41"/>
      <c r="P665" s="52"/>
      <c r="Q665" s="2"/>
    </row>
    <row r="666" customFormat="false" ht="12.75" hidden="false" customHeight="true" outlineLevel="0" collapsed="false">
      <c r="C666" s="70"/>
      <c r="G666" s="2"/>
      <c r="H666" s="41"/>
      <c r="I666" s="41"/>
      <c r="J666" s="41"/>
      <c r="K666" s="41"/>
      <c r="L666" s="41"/>
      <c r="M666" s="41"/>
      <c r="N666" s="41"/>
      <c r="O666" s="41"/>
      <c r="P666" s="52"/>
      <c r="Q666" s="2"/>
    </row>
    <row r="667" customFormat="false" ht="12.75" hidden="false" customHeight="true" outlineLevel="0" collapsed="false">
      <c r="C667" s="70"/>
      <c r="G667" s="2"/>
      <c r="H667" s="41"/>
      <c r="I667" s="41"/>
      <c r="J667" s="41"/>
      <c r="K667" s="41"/>
      <c r="L667" s="41"/>
      <c r="M667" s="41"/>
      <c r="N667" s="41"/>
      <c r="O667" s="41"/>
      <c r="P667" s="52"/>
      <c r="Q667" s="2"/>
    </row>
    <row r="668" customFormat="false" ht="12.75" hidden="false" customHeight="true" outlineLevel="0" collapsed="false">
      <c r="C668" s="70"/>
      <c r="G668" s="2"/>
      <c r="H668" s="41"/>
      <c r="I668" s="41"/>
      <c r="J668" s="41"/>
      <c r="K668" s="41"/>
      <c r="L668" s="41"/>
      <c r="M668" s="41"/>
      <c r="N668" s="41"/>
      <c r="O668" s="41"/>
      <c r="P668" s="52"/>
      <c r="Q668" s="2"/>
    </row>
    <row r="669" customFormat="false" ht="12.75" hidden="false" customHeight="true" outlineLevel="0" collapsed="false">
      <c r="C669" s="70"/>
      <c r="G669" s="2"/>
      <c r="H669" s="41"/>
      <c r="I669" s="41"/>
      <c r="J669" s="41"/>
      <c r="K669" s="41"/>
      <c r="L669" s="41"/>
      <c r="M669" s="41"/>
      <c r="N669" s="41"/>
      <c r="O669" s="41"/>
      <c r="P669" s="52"/>
      <c r="Q669" s="2"/>
    </row>
    <row r="670" customFormat="false" ht="12.75" hidden="false" customHeight="true" outlineLevel="0" collapsed="false">
      <c r="C670" s="70"/>
      <c r="G670" s="2"/>
      <c r="H670" s="41"/>
      <c r="I670" s="41"/>
      <c r="J670" s="41"/>
      <c r="K670" s="41"/>
      <c r="L670" s="41"/>
      <c r="M670" s="41"/>
      <c r="N670" s="41"/>
      <c r="O670" s="41"/>
      <c r="P670" s="52"/>
      <c r="Q670" s="2"/>
    </row>
    <row r="671" customFormat="false" ht="12.75" hidden="false" customHeight="true" outlineLevel="0" collapsed="false">
      <c r="C671" s="70"/>
      <c r="G671" s="2"/>
      <c r="H671" s="41"/>
      <c r="I671" s="41"/>
      <c r="J671" s="41"/>
      <c r="K671" s="41"/>
      <c r="L671" s="41"/>
      <c r="M671" s="41"/>
      <c r="N671" s="41"/>
      <c r="O671" s="41"/>
      <c r="P671" s="52"/>
      <c r="Q671" s="2"/>
    </row>
    <row r="672" customFormat="false" ht="12.75" hidden="false" customHeight="true" outlineLevel="0" collapsed="false">
      <c r="C672" s="70"/>
      <c r="G672" s="2"/>
      <c r="H672" s="41"/>
      <c r="I672" s="41"/>
      <c r="J672" s="41"/>
      <c r="K672" s="41"/>
      <c r="L672" s="41"/>
      <c r="M672" s="41"/>
      <c r="N672" s="41"/>
      <c r="O672" s="41"/>
      <c r="P672" s="52"/>
      <c r="Q672" s="2"/>
    </row>
    <row r="673" customFormat="false" ht="12.75" hidden="false" customHeight="true" outlineLevel="0" collapsed="false">
      <c r="C673" s="70"/>
      <c r="G673" s="2"/>
      <c r="H673" s="41"/>
      <c r="I673" s="41"/>
      <c r="J673" s="41"/>
      <c r="K673" s="41"/>
      <c r="L673" s="41"/>
      <c r="M673" s="41"/>
      <c r="N673" s="41"/>
      <c r="O673" s="41"/>
      <c r="P673" s="52"/>
      <c r="Q673" s="2"/>
    </row>
    <row r="674" customFormat="false" ht="12.75" hidden="false" customHeight="true" outlineLevel="0" collapsed="false">
      <c r="C674" s="70"/>
      <c r="G674" s="2"/>
      <c r="H674" s="41"/>
      <c r="I674" s="41"/>
      <c r="J674" s="41"/>
      <c r="K674" s="41"/>
      <c r="L674" s="41"/>
      <c r="M674" s="41"/>
      <c r="N674" s="41"/>
      <c r="O674" s="41"/>
      <c r="P674" s="52"/>
      <c r="Q674" s="2"/>
    </row>
    <row r="675" customFormat="false" ht="12.75" hidden="false" customHeight="true" outlineLevel="0" collapsed="false">
      <c r="C675" s="70"/>
      <c r="G675" s="2"/>
      <c r="H675" s="41"/>
      <c r="I675" s="41"/>
      <c r="J675" s="41"/>
      <c r="K675" s="41"/>
      <c r="L675" s="41"/>
      <c r="M675" s="41"/>
      <c r="N675" s="41"/>
      <c r="O675" s="41"/>
      <c r="P675" s="52"/>
      <c r="Q675" s="2"/>
    </row>
    <row r="676" customFormat="false" ht="12.75" hidden="false" customHeight="true" outlineLevel="0" collapsed="false">
      <c r="C676" s="70"/>
      <c r="G676" s="2"/>
      <c r="H676" s="41"/>
      <c r="I676" s="41"/>
      <c r="J676" s="41"/>
      <c r="K676" s="41"/>
      <c r="L676" s="41"/>
      <c r="M676" s="41"/>
      <c r="N676" s="41"/>
      <c r="O676" s="41"/>
      <c r="P676" s="52"/>
      <c r="Q676" s="2"/>
    </row>
    <row r="677" customFormat="false" ht="12.75" hidden="false" customHeight="true" outlineLevel="0" collapsed="false">
      <c r="C677" s="70"/>
      <c r="G677" s="2"/>
      <c r="H677" s="41"/>
      <c r="I677" s="41"/>
      <c r="J677" s="41"/>
      <c r="K677" s="41"/>
      <c r="L677" s="41"/>
      <c r="M677" s="41"/>
      <c r="N677" s="41"/>
      <c r="O677" s="41"/>
      <c r="P677" s="52"/>
      <c r="Q677" s="2"/>
    </row>
    <row r="678" customFormat="false" ht="12.75" hidden="false" customHeight="true" outlineLevel="0" collapsed="false">
      <c r="C678" s="70"/>
      <c r="G678" s="2"/>
      <c r="H678" s="41"/>
      <c r="I678" s="41"/>
      <c r="J678" s="41"/>
      <c r="K678" s="41"/>
      <c r="L678" s="41"/>
      <c r="M678" s="41"/>
      <c r="N678" s="41"/>
      <c r="O678" s="41"/>
      <c r="P678" s="52"/>
      <c r="Q678" s="2"/>
    </row>
    <row r="679" customFormat="false" ht="12.75" hidden="false" customHeight="true" outlineLevel="0" collapsed="false">
      <c r="C679" s="70"/>
      <c r="G679" s="2"/>
      <c r="H679" s="41"/>
      <c r="I679" s="41"/>
      <c r="J679" s="41"/>
      <c r="K679" s="41"/>
      <c r="L679" s="41"/>
      <c r="M679" s="41"/>
      <c r="N679" s="41"/>
      <c r="O679" s="41"/>
      <c r="P679" s="52"/>
      <c r="Q679" s="2"/>
    </row>
    <row r="680" customFormat="false" ht="12.75" hidden="false" customHeight="true" outlineLevel="0" collapsed="false">
      <c r="C680" s="70"/>
      <c r="G680" s="2"/>
      <c r="H680" s="41"/>
      <c r="I680" s="41"/>
      <c r="J680" s="41"/>
      <c r="K680" s="41"/>
      <c r="L680" s="41"/>
      <c r="M680" s="41"/>
      <c r="N680" s="41"/>
      <c r="O680" s="41"/>
      <c r="P680" s="52"/>
      <c r="Q680" s="2"/>
    </row>
    <row r="681" customFormat="false" ht="12.75" hidden="false" customHeight="true" outlineLevel="0" collapsed="false">
      <c r="C681" s="70"/>
      <c r="G681" s="2"/>
      <c r="H681" s="41"/>
      <c r="I681" s="41"/>
      <c r="J681" s="41"/>
      <c r="K681" s="41"/>
      <c r="L681" s="41"/>
      <c r="M681" s="41"/>
      <c r="N681" s="41"/>
      <c r="O681" s="41"/>
      <c r="P681" s="52"/>
      <c r="Q681" s="2"/>
    </row>
    <row r="682" customFormat="false" ht="12.75" hidden="false" customHeight="true" outlineLevel="0" collapsed="false">
      <c r="C682" s="70"/>
      <c r="G682" s="2"/>
      <c r="H682" s="41"/>
      <c r="I682" s="41"/>
      <c r="J682" s="41"/>
      <c r="K682" s="41"/>
      <c r="L682" s="41"/>
      <c r="M682" s="41"/>
      <c r="N682" s="41"/>
      <c r="O682" s="41"/>
      <c r="P682" s="52"/>
      <c r="Q682" s="2"/>
    </row>
    <row r="683" customFormat="false" ht="12.75" hidden="false" customHeight="true" outlineLevel="0" collapsed="false">
      <c r="C683" s="70"/>
      <c r="G683" s="2"/>
      <c r="H683" s="41"/>
      <c r="I683" s="41"/>
      <c r="J683" s="41"/>
      <c r="K683" s="41"/>
      <c r="L683" s="41"/>
      <c r="M683" s="41"/>
      <c r="N683" s="41"/>
      <c r="O683" s="41"/>
      <c r="P683" s="52"/>
      <c r="Q683" s="2"/>
    </row>
    <row r="684" customFormat="false" ht="12.75" hidden="false" customHeight="true" outlineLevel="0" collapsed="false">
      <c r="C684" s="70"/>
      <c r="G684" s="2"/>
      <c r="H684" s="41"/>
      <c r="I684" s="41"/>
      <c r="J684" s="41"/>
      <c r="K684" s="41"/>
      <c r="L684" s="41"/>
      <c r="M684" s="41"/>
      <c r="N684" s="41"/>
      <c r="O684" s="41"/>
      <c r="P684" s="52"/>
      <c r="Q684" s="2"/>
    </row>
    <row r="685" customFormat="false" ht="12.75" hidden="false" customHeight="true" outlineLevel="0" collapsed="false">
      <c r="C685" s="70"/>
      <c r="G685" s="2"/>
      <c r="H685" s="41"/>
      <c r="I685" s="41"/>
      <c r="J685" s="41"/>
      <c r="K685" s="41"/>
      <c r="L685" s="41"/>
      <c r="M685" s="41"/>
      <c r="N685" s="41"/>
      <c r="O685" s="41"/>
      <c r="P685" s="52"/>
      <c r="Q685" s="2"/>
    </row>
    <row r="686" customFormat="false" ht="12.75" hidden="false" customHeight="true" outlineLevel="0" collapsed="false">
      <c r="C686" s="70"/>
      <c r="G686" s="2"/>
      <c r="H686" s="41"/>
      <c r="I686" s="41"/>
      <c r="J686" s="41"/>
      <c r="K686" s="41"/>
      <c r="L686" s="41"/>
      <c r="M686" s="41"/>
      <c r="N686" s="41"/>
      <c r="O686" s="41"/>
      <c r="P686" s="52"/>
      <c r="Q686" s="2"/>
    </row>
    <row r="687" customFormat="false" ht="12.75" hidden="false" customHeight="true" outlineLevel="0" collapsed="false">
      <c r="C687" s="70"/>
      <c r="G687" s="2"/>
      <c r="H687" s="41"/>
      <c r="I687" s="41"/>
      <c r="J687" s="41"/>
      <c r="K687" s="41"/>
      <c r="L687" s="41"/>
      <c r="M687" s="41"/>
      <c r="N687" s="41"/>
      <c r="O687" s="41"/>
      <c r="P687" s="52"/>
      <c r="Q687" s="2"/>
    </row>
    <row r="688" customFormat="false" ht="12.75" hidden="false" customHeight="true" outlineLevel="0" collapsed="false">
      <c r="C688" s="70"/>
      <c r="G688" s="2"/>
      <c r="H688" s="41"/>
      <c r="I688" s="41"/>
      <c r="J688" s="41"/>
      <c r="K688" s="41"/>
      <c r="L688" s="41"/>
      <c r="M688" s="41"/>
      <c r="N688" s="41"/>
      <c r="O688" s="41"/>
      <c r="P688" s="52"/>
      <c r="Q688" s="2"/>
    </row>
    <row r="689" customFormat="false" ht="12.75" hidden="false" customHeight="true" outlineLevel="0" collapsed="false">
      <c r="C689" s="70"/>
      <c r="G689" s="2"/>
      <c r="H689" s="41"/>
      <c r="I689" s="41"/>
      <c r="J689" s="41"/>
      <c r="K689" s="41"/>
      <c r="L689" s="41"/>
      <c r="M689" s="41"/>
      <c r="N689" s="41"/>
      <c r="O689" s="41"/>
      <c r="P689" s="52"/>
      <c r="Q689" s="2"/>
    </row>
    <row r="690" customFormat="false" ht="12.75" hidden="false" customHeight="true" outlineLevel="0" collapsed="false">
      <c r="C690" s="70"/>
      <c r="G690" s="2"/>
      <c r="H690" s="41"/>
      <c r="I690" s="41"/>
      <c r="J690" s="41"/>
      <c r="K690" s="41"/>
      <c r="L690" s="41"/>
      <c r="M690" s="41"/>
      <c r="N690" s="41"/>
      <c r="O690" s="41"/>
      <c r="P690" s="52"/>
      <c r="Q690" s="2"/>
    </row>
    <row r="691" customFormat="false" ht="12.75" hidden="false" customHeight="true" outlineLevel="0" collapsed="false">
      <c r="C691" s="70"/>
      <c r="G691" s="2"/>
      <c r="H691" s="41"/>
      <c r="I691" s="41"/>
      <c r="J691" s="41"/>
      <c r="K691" s="41"/>
      <c r="L691" s="41"/>
      <c r="M691" s="41"/>
      <c r="N691" s="41"/>
      <c r="O691" s="41"/>
      <c r="P691" s="52"/>
      <c r="Q691" s="2"/>
    </row>
    <row r="692" customFormat="false" ht="12.75" hidden="false" customHeight="true" outlineLevel="0" collapsed="false">
      <c r="C692" s="70"/>
      <c r="G692" s="2"/>
      <c r="H692" s="41"/>
      <c r="I692" s="41"/>
      <c r="J692" s="41"/>
      <c r="K692" s="41"/>
      <c r="L692" s="41"/>
      <c r="M692" s="41"/>
      <c r="N692" s="41"/>
      <c r="O692" s="41"/>
      <c r="P692" s="52"/>
      <c r="Q692" s="2"/>
    </row>
    <row r="693" customFormat="false" ht="12.75" hidden="false" customHeight="true" outlineLevel="0" collapsed="false">
      <c r="C693" s="70"/>
      <c r="G693" s="2"/>
      <c r="H693" s="41"/>
      <c r="I693" s="41"/>
      <c r="J693" s="41"/>
      <c r="K693" s="41"/>
      <c r="L693" s="41"/>
      <c r="M693" s="41"/>
      <c r="N693" s="41"/>
      <c r="O693" s="41"/>
      <c r="P693" s="52"/>
      <c r="Q693" s="2"/>
    </row>
    <row r="694" customFormat="false" ht="12.75" hidden="false" customHeight="true" outlineLevel="0" collapsed="false">
      <c r="C694" s="70"/>
      <c r="G694" s="2"/>
      <c r="H694" s="41"/>
      <c r="I694" s="41"/>
      <c r="J694" s="41"/>
      <c r="K694" s="41"/>
      <c r="L694" s="41"/>
      <c r="M694" s="41"/>
      <c r="N694" s="41"/>
      <c r="O694" s="41"/>
      <c r="P694" s="52"/>
      <c r="Q694" s="2"/>
    </row>
    <row r="695" customFormat="false" ht="12.75" hidden="false" customHeight="true" outlineLevel="0" collapsed="false">
      <c r="C695" s="70"/>
      <c r="G695" s="2"/>
      <c r="H695" s="41"/>
      <c r="I695" s="41"/>
      <c r="J695" s="41"/>
      <c r="K695" s="41"/>
      <c r="L695" s="41"/>
      <c r="M695" s="41"/>
      <c r="N695" s="41"/>
      <c r="O695" s="41"/>
      <c r="P695" s="52"/>
      <c r="Q695" s="2"/>
    </row>
    <row r="696" customFormat="false" ht="12.75" hidden="false" customHeight="true" outlineLevel="0" collapsed="false">
      <c r="C696" s="70"/>
      <c r="G696" s="2"/>
      <c r="H696" s="41"/>
      <c r="I696" s="41"/>
      <c r="J696" s="41"/>
      <c r="K696" s="41"/>
      <c r="L696" s="41"/>
      <c r="M696" s="41"/>
      <c r="N696" s="41"/>
      <c r="O696" s="41"/>
      <c r="P696" s="52"/>
      <c r="Q696" s="2"/>
    </row>
    <row r="697" customFormat="false" ht="12.75" hidden="false" customHeight="true" outlineLevel="0" collapsed="false">
      <c r="C697" s="70"/>
      <c r="G697" s="2"/>
      <c r="H697" s="41"/>
      <c r="I697" s="41"/>
      <c r="J697" s="41"/>
      <c r="K697" s="41"/>
      <c r="L697" s="41"/>
      <c r="M697" s="41"/>
      <c r="N697" s="41"/>
      <c r="O697" s="41"/>
      <c r="P697" s="52"/>
      <c r="Q697" s="2"/>
    </row>
    <row r="698" customFormat="false" ht="12.75" hidden="false" customHeight="true" outlineLevel="0" collapsed="false">
      <c r="C698" s="70"/>
      <c r="G698" s="2"/>
      <c r="H698" s="41"/>
      <c r="I698" s="41"/>
      <c r="J698" s="41"/>
      <c r="K698" s="41"/>
      <c r="L698" s="41"/>
      <c r="M698" s="41"/>
      <c r="N698" s="41"/>
      <c r="O698" s="41"/>
      <c r="P698" s="52"/>
      <c r="Q698" s="2"/>
    </row>
    <row r="699" customFormat="false" ht="12.75" hidden="false" customHeight="true" outlineLevel="0" collapsed="false">
      <c r="C699" s="70"/>
      <c r="G699" s="2"/>
      <c r="H699" s="41"/>
      <c r="I699" s="41"/>
      <c r="J699" s="41"/>
      <c r="K699" s="41"/>
      <c r="L699" s="41"/>
      <c r="M699" s="41"/>
      <c r="N699" s="41"/>
      <c r="O699" s="41"/>
      <c r="P699" s="52"/>
      <c r="Q699" s="2"/>
    </row>
    <row r="700" customFormat="false" ht="12.75" hidden="false" customHeight="true" outlineLevel="0" collapsed="false">
      <c r="C700" s="70"/>
      <c r="G700" s="2"/>
      <c r="H700" s="41"/>
      <c r="I700" s="41"/>
      <c r="J700" s="41"/>
      <c r="K700" s="41"/>
      <c r="L700" s="41"/>
      <c r="M700" s="41"/>
      <c r="N700" s="41"/>
      <c r="O700" s="41"/>
      <c r="P700" s="52"/>
      <c r="Q700" s="2"/>
    </row>
    <row r="701" customFormat="false" ht="12.75" hidden="false" customHeight="true" outlineLevel="0" collapsed="false">
      <c r="C701" s="70"/>
      <c r="G701" s="2"/>
      <c r="H701" s="41"/>
      <c r="I701" s="41"/>
      <c r="J701" s="41"/>
      <c r="K701" s="41"/>
      <c r="L701" s="41"/>
      <c r="M701" s="41"/>
      <c r="N701" s="41"/>
      <c r="O701" s="41"/>
      <c r="P701" s="52"/>
      <c r="Q701" s="2"/>
    </row>
    <row r="702" customFormat="false" ht="12.75" hidden="false" customHeight="true" outlineLevel="0" collapsed="false">
      <c r="C702" s="70"/>
      <c r="G702" s="2"/>
      <c r="H702" s="41"/>
      <c r="I702" s="41"/>
      <c r="J702" s="41"/>
      <c r="K702" s="41"/>
      <c r="L702" s="41"/>
      <c r="M702" s="41"/>
      <c r="N702" s="41"/>
      <c r="O702" s="41"/>
      <c r="P702" s="52"/>
      <c r="Q702" s="2"/>
    </row>
    <row r="703" customFormat="false" ht="12.75" hidden="false" customHeight="true" outlineLevel="0" collapsed="false">
      <c r="C703" s="70"/>
      <c r="G703" s="2"/>
      <c r="H703" s="41"/>
      <c r="I703" s="41"/>
      <c r="J703" s="41"/>
      <c r="K703" s="41"/>
      <c r="L703" s="41"/>
      <c r="M703" s="41"/>
      <c r="N703" s="41"/>
      <c r="O703" s="41"/>
      <c r="P703" s="52"/>
      <c r="Q703" s="2"/>
    </row>
    <row r="704" customFormat="false" ht="12.75" hidden="false" customHeight="true" outlineLevel="0" collapsed="false">
      <c r="C704" s="70"/>
      <c r="G704" s="2"/>
      <c r="H704" s="41"/>
      <c r="I704" s="41"/>
      <c r="J704" s="41"/>
      <c r="K704" s="41"/>
      <c r="L704" s="41"/>
      <c r="M704" s="41"/>
      <c r="N704" s="41"/>
      <c r="O704" s="41"/>
      <c r="P704" s="52"/>
      <c r="Q704" s="2"/>
    </row>
    <row r="705" customFormat="false" ht="12.75" hidden="false" customHeight="true" outlineLevel="0" collapsed="false">
      <c r="C705" s="70"/>
      <c r="G705" s="2"/>
      <c r="H705" s="41"/>
      <c r="I705" s="41"/>
      <c r="J705" s="41"/>
      <c r="K705" s="41"/>
      <c r="L705" s="41"/>
      <c r="M705" s="41"/>
      <c r="N705" s="41"/>
      <c r="O705" s="41"/>
      <c r="P705" s="52"/>
      <c r="Q705" s="2"/>
    </row>
    <row r="706" customFormat="false" ht="12.75" hidden="false" customHeight="true" outlineLevel="0" collapsed="false">
      <c r="C706" s="70"/>
      <c r="G706" s="2"/>
      <c r="H706" s="41"/>
      <c r="I706" s="41"/>
      <c r="J706" s="41"/>
      <c r="K706" s="41"/>
      <c r="L706" s="41"/>
      <c r="M706" s="41"/>
      <c r="N706" s="41"/>
      <c r="O706" s="41"/>
      <c r="P706" s="52"/>
      <c r="Q706" s="2"/>
    </row>
    <row r="707" customFormat="false" ht="12.75" hidden="false" customHeight="true" outlineLevel="0" collapsed="false">
      <c r="C707" s="70"/>
      <c r="G707" s="2"/>
      <c r="H707" s="41"/>
      <c r="I707" s="41"/>
      <c r="J707" s="41"/>
      <c r="K707" s="41"/>
      <c r="L707" s="41"/>
      <c r="M707" s="41"/>
      <c r="N707" s="41"/>
      <c r="O707" s="41"/>
      <c r="P707" s="52"/>
      <c r="Q707" s="2"/>
    </row>
    <row r="708" customFormat="false" ht="12.75" hidden="false" customHeight="true" outlineLevel="0" collapsed="false">
      <c r="C708" s="70"/>
      <c r="G708" s="2"/>
      <c r="H708" s="41"/>
      <c r="I708" s="41"/>
      <c r="J708" s="41"/>
      <c r="K708" s="41"/>
      <c r="L708" s="41"/>
      <c r="M708" s="41"/>
      <c r="N708" s="41"/>
      <c r="O708" s="41"/>
      <c r="P708" s="52"/>
      <c r="Q708" s="2"/>
    </row>
    <row r="709" customFormat="false" ht="12.75" hidden="false" customHeight="true" outlineLevel="0" collapsed="false">
      <c r="C709" s="70"/>
      <c r="G709" s="2"/>
      <c r="H709" s="41"/>
      <c r="I709" s="41"/>
      <c r="J709" s="41"/>
      <c r="K709" s="41"/>
      <c r="L709" s="41"/>
      <c r="M709" s="41"/>
      <c r="N709" s="41"/>
      <c r="O709" s="41"/>
      <c r="P709" s="52"/>
      <c r="Q709" s="2"/>
    </row>
    <row r="710" customFormat="false" ht="12.75" hidden="false" customHeight="true" outlineLevel="0" collapsed="false">
      <c r="C710" s="70"/>
      <c r="G710" s="2"/>
      <c r="H710" s="41"/>
      <c r="I710" s="41"/>
      <c r="J710" s="41"/>
      <c r="K710" s="41"/>
      <c r="L710" s="41"/>
      <c r="M710" s="41"/>
      <c r="N710" s="41"/>
      <c r="O710" s="41"/>
      <c r="P710" s="52"/>
      <c r="Q710" s="2"/>
    </row>
    <row r="711" customFormat="false" ht="12.75" hidden="false" customHeight="true" outlineLevel="0" collapsed="false">
      <c r="C711" s="70"/>
      <c r="G711" s="2"/>
      <c r="H711" s="41"/>
      <c r="I711" s="41"/>
      <c r="J711" s="41"/>
      <c r="K711" s="41"/>
      <c r="L711" s="41"/>
      <c r="M711" s="41"/>
      <c r="N711" s="41"/>
      <c r="O711" s="41"/>
      <c r="P711" s="52"/>
      <c r="Q711" s="2"/>
    </row>
    <row r="712" customFormat="false" ht="12.75" hidden="false" customHeight="true" outlineLevel="0" collapsed="false">
      <c r="C712" s="70"/>
      <c r="G712" s="2"/>
      <c r="H712" s="41"/>
      <c r="I712" s="41"/>
      <c r="J712" s="41"/>
      <c r="K712" s="41"/>
      <c r="L712" s="41"/>
      <c r="M712" s="41"/>
      <c r="N712" s="41"/>
      <c r="O712" s="41"/>
      <c r="P712" s="52"/>
      <c r="Q712" s="2"/>
    </row>
    <row r="713" customFormat="false" ht="12.75" hidden="false" customHeight="true" outlineLevel="0" collapsed="false">
      <c r="C713" s="70"/>
      <c r="G713" s="2"/>
      <c r="H713" s="41"/>
      <c r="I713" s="41"/>
      <c r="J713" s="41"/>
      <c r="K713" s="41"/>
      <c r="L713" s="41"/>
      <c r="M713" s="41"/>
      <c r="N713" s="41"/>
      <c r="O713" s="41"/>
      <c r="P713" s="52"/>
      <c r="Q713" s="2"/>
    </row>
    <row r="714" customFormat="false" ht="12.75" hidden="false" customHeight="true" outlineLevel="0" collapsed="false">
      <c r="C714" s="70"/>
      <c r="G714" s="2"/>
      <c r="H714" s="41"/>
      <c r="I714" s="41"/>
      <c r="J714" s="41"/>
      <c r="K714" s="41"/>
      <c r="L714" s="41"/>
      <c r="M714" s="41"/>
      <c r="N714" s="41"/>
      <c r="O714" s="41"/>
      <c r="P714" s="52"/>
      <c r="Q714" s="2"/>
    </row>
    <row r="715" customFormat="false" ht="12.75" hidden="false" customHeight="true" outlineLevel="0" collapsed="false">
      <c r="C715" s="70"/>
      <c r="G715" s="2"/>
      <c r="H715" s="41"/>
      <c r="I715" s="41"/>
      <c r="J715" s="41"/>
      <c r="K715" s="41"/>
      <c r="L715" s="41"/>
      <c r="M715" s="41"/>
      <c r="N715" s="41"/>
      <c r="O715" s="41"/>
      <c r="P715" s="52"/>
      <c r="Q715" s="2"/>
    </row>
    <row r="716" customFormat="false" ht="12.75" hidden="false" customHeight="true" outlineLevel="0" collapsed="false">
      <c r="C716" s="70"/>
      <c r="G716" s="2"/>
      <c r="H716" s="41"/>
      <c r="I716" s="41"/>
      <c r="J716" s="41"/>
      <c r="K716" s="41"/>
      <c r="L716" s="41"/>
      <c r="M716" s="41"/>
      <c r="N716" s="41"/>
      <c r="O716" s="41"/>
      <c r="P716" s="52"/>
      <c r="Q716" s="2"/>
    </row>
    <row r="717" customFormat="false" ht="12.75" hidden="false" customHeight="true" outlineLevel="0" collapsed="false">
      <c r="C717" s="70"/>
      <c r="G717" s="2"/>
      <c r="H717" s="41"/>
      <c r="I717" s="41"/>
      <c r="J717" s="41"/>
      <c r="K717" s="41"/>
      <c r="L717" s="41"/>
      <c r="M717" s="41"/>
      <c r="N717" s="41"/>
      <c r="O717" s="41"/>
      <c r="P717" s="52"/>
      <c r="Q717" s="2"/>
    </row>
    <row r="718" customFormat="false" ht="12.75" hidden="false" customHeight="true" outlineLevel="0" collapsed="false">
      <c r="C718" s="70"/>
      <c r="G718" s="2"/>
      <c r="H718" s="41"/>
      <c r="I718" s="41"/>
      <c r="J718" s="41"/>
      <c r="K718" s="41"/>
      <c r="L718" s="41"/>
      <c r="M718" s="41"/>
      <c r="N718" s="41"/>
      <c r="O718" s="41"/>
      <c r="P718" s="52"/>
      <c r="Q718" s="2"/>
    </row>
    <row r="719" customFormat="false" ht="12.75" hidden="false" customHeight="true" outlineLevel="0" collapsed="false">
      <c r="C719" s="70"/>
      <c r="G719" s="2"/>
      <c r="H719" s="41"/>
      <c r="I719" s="41"/>
      <c r="J719" s="41"/>
      <c r="K719" s="41"/>
      <c r="L719" s="41"/>
      <c r="M719" s="41"/>
      <c r="N719" s="41"/>
      <c r="O719" s="41"/>
      <c r="P719" s="52"/>
      <c r="Q719" s="2"/>
    </row>
    <row r="720" customFormat="false" ht="12.75" hidden="false" customHeight="true" outlineLevel="0" collapsed="false">
      <c r="C720" s="70"/>
      <c r="G720" s="2"/>
      <c r="H720" s="41"/>
      <c r="I720" s="41"/>
      <c r="J720" s="41"/>
      <c r="K720" s="41"/>
      <c r="L720" s="41"/>
      <c r="M720" s="41"/>
      <c r="N720" s="41"/>
      <c r="O720" s="41"/>
      <c r="P720" s="52"/>
      <c r="Q720" s="2"/>
    </row>
    <row r="721" customFormat="false" ht="12.75" hidden="false" customHeight="true" outlineLevel="0" collapsed="false">
      <c r="C721" s="70"/>
      <c r="G721" s="2"/>
      <c r="H721" s="41"/>
      <c r="I721" s="41"/>
      <c r="J721" s="41"/>
      <c r="K721" s="41"/>
      <c r="L721" s="41"/>
      <c r="M721" s="41"/>
      <c r="N721" s="41"/>
      <c r="O721" s="41"/>
      <c r="P721" s="52"/>
      <c r="Q721" s="2"/>
    </row>
    <row r="722" customFormat="false" ht="12.75" hidden="false" customHeight="true" outlineLevel="0" collapsed="false">
      <c r="C722" s="70"/>
      <c r="G722" s="2"/>
      <c r="H722" s="41"/>
      <c r="I722" s="41"/>
      <c r="J722" s="41"/>
      <c r="K722" s="41"/>
      <c r="L722" s="41"/>
      <c r="M722" s="41"/>
      <c r="N722" s="41"/>
      <c r="O722" s="41"/>
      <c r="P722" s="52"/>
      <c r="Q722" s="2"/>
    </row>
    <row r="723" customFormat="false" ht="12.75" hidden="false" customHeight="true" outlineLevel="0" collapsed="false">
      <c r="C723" s="70"/>
      <c r="G723" s="2"/>
      <c r="H723" s="41"/>
      <c r="I723" s="41"/>
      <c r="J723" s="41"/>
      <c r="K723" s="41"/>
      <c r="L723" s="41"/>
      <c r="M723" s="41"/>
      <c r="N723" s="41"/>
      <c r="O723" s="41"/>
      <c r="P723" s="52"/>
      <c r="Q723" s="2"/>
    </row>
    <row r="724" customFormat="false" ht="12.75" hidden="false" customHeight="true" outlineLevel="0" collapsed="false">
      <c r="C724" s="70"/>
      <c r="G724" s="2"/>
      <c r="H724" s="41"/>
      <c r="I724" s="41"/>
      <c r="J724" s="41"/>
      <c r="K724" s="41"/>
      <c r="L724" s="41"/>
      <c r="M724" s="41"/>
      <c r="N724" s="41"/>
      <c r="O724" s="41"/>
      <c r="P724" s="52"/>
      <c r="Q724" s="2"/>
    </row>
    <row r="725" customFormat="false" ht="12.75" hidden="false" customHeight="true" outlineLevel="0" collapsed="false">
      <c r="C725" s="70"/>
      <c r="G725" s="2"/>
      <c r="H725" s="41"/>
      <c r="I725" s="41"/>
      <c r="J725" s="41"/>
      <c r="K725" s="41"/>
      <c r="L725" s="41"/>
      <c r="M725" s="41"/>
      <c r="N725" s="41"/>
      <c r="O725" s="41"/>
      <c r="P725" s="52"/>
      <c r="Q725" s="2"/>
    </row>
    <row r="726" customFormat="false" ht="12.75" hidden="false" customHeight="true" outlineLevel="0" collapsed="false">
      <c r="C726" s="70"/>
      <c r="G726" s="2"/>
      <c r="H726" s="41"/>
      <c r="I726" s="41"/>
      <c r="J726" s="41"/>
      <c r="K726" s="41"/>
      <c r="L726" s="41"/>
      <c r="M726" s="41"/>
      <c r="N726" s="41"/>
      <c r="O726" s="41"/>
      <c r="P726" s="52"/>
      <c r="Q726" s="2"/>
    </row>
    <row r="727" customFormat="false" ht="12.75" hidden="false" customHeight="true" outlineLevel="0" collapsed="false">
      <c r="C727" s="70"/>
      <c r="G727" s="2"/>
      <c r="H727" s="41"/>
      <c r="I727" s="41"/>
      <c r="J727" s="41"/>
      <c r="K727" s="41"/>
      <c r="L727" s="41"/>
      <c r="M727" s="41"/>
      <c r="N727" s="41"/>
      <c r="O727" s="41"/>
      <c r="P727" s="52"/>
      <c r="Q727" s="2"/>
    </row>
    <row r="728" customFormat="false" ht="12.75" hidden="false" customHeight="true" outlineLevel="0" collapsed="false">
      <c r="C728" s="70"/>
      <c r="G728" s="2"/>
      <c r="H728" s="41"/>
      <c r="I728" s="41"/>
      <c r="J728" s="41"/>
      <c r="K728" s="41"/>
      <c r="L728" s="41"/>
      <c r="M728" s="41"/>
      <c r="N728" s="41"/>
      <c r="O728" s="41"/>
      <c r="P728" s="52"/>
      <c r="Q728" s="2"/>
    </row>
    <row r="729" customFormat="false" ht="12.75" hidden="false" customHeight="true" outlineLevel="0" collapsed="false">
      <c r="C729" s="70"/>
      <c r="G729" s="2"/>
      <c r="H729" s="41"/>
      <c r="I729" s="41"/>
      <c r="J729" s="41"/>
      <c r="K729" s="41"/>
      <c r="L729" s="41"/>
      <c r="M729" s="41"/>
      <c r="N729" s="41"/>
      <c r="O729" s="41"/>
      <c r="P729" s="52"/>
      <c r="Q729" s="2"/>
    </row>
    <row r="730" customFormat="false" ht="12.75" hidden="false" customHeight="true" outlineLevel="0" collapsed="false">
      <c r="C730" s="70"/>
      <c r="G730" s="2"/>
      <c r="H730" s="41"/>
      <c r="I730" s="41"/>
      <c r="J730" s="41"/>
      <c r="K730" s="41"/>
      <c r="L730" s="41"/>
      <c r="M730" s="41"/>
      <c r="N730" s="41"/>
      <c r="O730" s="41"/>
      <c r="P730" s="52"/>
      <c r="Q730" s="2"/>
    </row>
    <row r="731" customFormat="false" ht="12.75" hidden="false" customHeight="true" outlineLevel="0" collapsed="false">
      <c r="C731" s="70"/>
      <c r="G731" s="2"/>
      <c r="H731" s="41"/>
      <c r="I731" s="41"/>
      <c r="J731" s="41"/>
      <c r="K731" s="41"/>
      <c r="L731" s="41"/>
      <c r="M731" s="41"/>
      <c r="N731" s="41"/>
      <c r="O731" s="41"/>
      <c r="P731" s="52"/>
      <c r="Q731" s="2"/>
    </row>
    <row r="732" customFormat="false" ht="12.75" hidden="false" customHeight="true" outlineLevel="0" collapsed="false">
      <c r="C732" s="70"/>
      <c r="G732" s="2"/>
      <c r="H732" s="41"/>
      <c r="I732" s="41"/>
      <c r="J732" s="41"/>
      <c r="K732" s="41"/>
      <c r="L732" s="41"/>
      <c r="M732" s="41"/>
      <c r="N732" s="41"/>
      <c r="O732" s="41"/>
      <c r="P732" s="52"/>
      <c r="Q732" s="2"/>
    </row>
    <row r="733" customFormat="false" ht="12.75" hidden="false" customHeight="true" outlineLevel="0" collapsed="false">
      <c r="C733" s="70"/>
      <c r="G733" s="2"/>
      <c r="H733" s="41"/>
      <c r="I733" s="41"/>
      <c r="J733" s="41"/>
      <c r="K733" s="41"/>
      <c r="L733" s="41"/>
      <c r="M733" s="41"/>
      <c r="N733" s="41"/>
      <c r="O733" s="41"/>
      <c r="P733" s="52"/>
      <c r="Q733" s="2"/>
    </row>
    <row r="734" customFormat="false" ht="12.75" hidden="false" customHeight="true" outlineLevel="0" collapsed="false">
      <c r="C734" s="70"/>
      <c r="G734" s="2"/>
      <c r="H734" s="41"/>
      <c r="I734" s="41"/>
      <c r="J734" s="41"/>
      <c r="K734" s="41"/>
      <c r="L734" s="41"/>
      <c r="M734" s="41"/>
      <c r="N734" s="41"/>
      <c r="O734" s="41"/>
      <c r="P734" s="52"/>
      <c r="Q734" s="2"/>
    </row>
    <row r="735" customFormat="false" ht="12.75" hidden="false" customHeight="true" outlineLevel="0" collapsed="false">
      <c r="C735" s="70"/>
      <c r="G735" s="2"/>
      <c r="H735" s="41"/>
      <c r="I735" s="41"/>
      <c r="J735" s="41"/>
      <c r="K735" s="41"/>
      <c r="L735" s="41"/>
      <c r="M735" s="41"/>
      <c r="N735" s="41"/>
      <c r="O735" s="41"/>
      <c r="P735" s="52"/>
      <c r="Q735" s="2"/>
    </row>
    <row r="736" customFormat="false" ht="12.75" hidden="false" customHeight="true" outlineLevel="0" collapsed="false">
      <c r="C736" s="70"/>
      <c r="G736" s="2"/>
      <c r="H736" s="41"/>
      <c r="I736" s="41"/>
      <c r="J736" s="41"/>
      <c r="K736" s="41"/>
      <c r="L736" s="41"/>
      <c r="M736" s="41"/>
      <c r="N736" s="41"/>
      <c r="O736" s="41"/>
      <c r="P736" s="52"/>
      <c r="Q736" s="2"/>
    </row>
    <row r="737" customFormat="false" ht="12.75" hidden="false" customHeight="true" outlineLevel="0" collapsed="false">
      <c r="C737" s="70"/>
      <c r="G737" s="2"/>
      <c r="H737" s="41"/>
      <c r="I737" s="41"/>
      <c r="J737" s="41"/>
      <c r="K737" s="41"/>
      <c r="L737" s="41"/>
      <c r="M737" s="41"/>
      <c r="N737" s="41"/>
      <c r="O737" s="41"/>
      <c r="P737" s="52"/>
      <c r="Q737" s="2"/>
    </row>
    <row r="738" customFormat="false" ht="12.75" hidden="false" customHeight="true" outlineLevel="0" collapsed="false">
      <c r="C738" s="70"/>
      <c r="G738" s="2"/>
      <c r="H738" s="41"/>
      <c r="I738" s="41"/>
      <c r="J738" s="41"/>
      <c r="K738" s="41"/>
      <c r="L738" s="41"/>
      <c r="M738" s="41"/>
      <c r="N738" s="41"/>
      <c r="O738" s="41"/>
      <c r="P738" s="52"/>
      <c r="Q738" s="2"/>
    </row>
    <row r="739" customFormat="false" ht="12.75" hidden="false" customHeight="true" outlineLevel="0" collapsed="false">
      <c r="C739" s="70"/>
      <c r="G739" s="2"/>
      <c r="H739" s="41"/>
      <c r="I739" s="41"/>
      <c r="J739" s="41"/>
      <c r="K739" s="41"/>
      <c r="L739" s="41"/>
      <c r="M739" s="41"/>
      <c r="N739" s="41"/>
      <c r="O739" s="41"/>
      <c r="P739" s="52"/>
      <c r="Q739" s="2"/>
    </row>
    <row r="740" customFormat="false" ht="12.75" hidden="false" customHeight="true" outlineLevel="0" collapsed="false">
      <c r="C740" s="70"/>
      <c r="G740" s="2"/>
      <c r="H740" s="41"/>
      <c r="I740" s="41"/>
      <c r="J740" s="41"/>
      <c r="K740" s="41"/>
      <c r="L740" s="41"/>
      <c r="M740" s="41"/>
      <c r="N740" s="41"/>
      <c r="O740" s="41"/>
      <c r="P740" s="52"/>
      <c r="Q740" s="2"/>
    </row>
    <row r="741" customFormat="false" ht="12.75" hidden="false" customHeight="true" outlineLevel="0" collapsed="false">
      <c r="C741" s="70"/>
      <c r="G741" s="2"/>
      <c r="H741" s="41"/>
      <c r="I741" s="41"/>
      <c r="J741" s="41"/>
      <c r="K741" s="41"/>
      <c r="L741" s="41"/>
      <c r="M741" s="41"/>
      <c r="N741" s="41"/>
      <c r="O741" s="41"/>
      <c r="P741" s="52"/>
      <c r="Q741" s="2"/>
    </row>
    <row r="742" customFormat="false" ht="12.75" hidden="false" customHeight="true" outlineLevel="0" collapsed="false">
      <c r="C742" s="70"/>
      <c r="G742" s="2"/>
      <c r="H742" s="41"/>
      <c r="I742" s="41"/>
      <c r="J742" s="41"/>
      <c r="K742" s="41"/>
      <c r="L742" s="41"/>
      <c r="M742" s="41"/>
      <c r="N742" s="41"/>
      <c r="O742" s="41"/>
      <c r="P742" s="52"/>
      <c r="Q742" s="2"/>
    </row>
    <row r="743" customFormat="false" ht="12.75" hidden="false" customHeight="true" outlineLevel="0" collapsed="false">
      <c r="C743" s="70"/>
      <c r="G743" s="2"/>
      <c r="H743" s="41"/>
      <c r="I743" s="41"/>
      <c r="J743" s="41"/>
      <c r="K743" s="41"/>
      <c r="L743" s="41"/>
      <c r="M743" s="41"/>
      <c r="N743" s="41"/>
      <c r="O743" s="41"/>
      <c r="P743" s="52"/>
      <c r="Q743" s="2"/>
    </row>
    <row r="744" customFormat="false" ht="12.75" hidden="false" customHeight="true" outlineLevel="0" collapsed="false">
      <c r="C744" s="70"/>
      <c r="G744" s="2"/>
      <c r="H744" s="41"/>
      <c r="I744" s="41"/>
      <c r="J744" s="41"/>
      <c r="K744" s="41"/>
      <c r="L744" s="41"/>
      <c r="M744" s="41"/>
      <c r="N744" s="41"/>
      <c r="O744" s="41"/>
      <c r="P744" s="52"/>
      <c r="Q744" s="2"/>
    </row>
    <row r="745" customFormat="false" ht="12.75" hidden="false" customHeight="true" outlineLevel="0" collapsed="false">
      <c r="C745" s="70"/>
      <c r="G745" s="2"/>
      <c r="H745" s="41"/>
      <c r="I745" s="41"/>
      <c r="J745" s="41"/>
      <c r="K745" s="41"/>
      <c r="L745" s="41"/>
      <c r="M745" s="41"/>
      <c r="N745" s="41"/>
      <c r="O745" s="41"/>
      <c r="P745" s="52"/>
      <c r="Q745" s="2"/>
    </row>
    <row r="746" customFormat="false" ht="12.75" hidden="false" customHeight="true" outlineLevel="0" collapsed="false">
      <c r="C746" s="70"/>
      <c r="G746" s="2"/>
      <c r="H746" s="41"/>
      <c r="I746" s="41"/>
      <c r="J746" s="41"/>
      <c r="K746" s="41"/>
      <c r="L746" s="41"/>
      <c r="M746" s="41"/>
      <c r="N746" s="41"/>
      <c r="O746" s="41"/>
      <c r="P746" s="52"/>
      <c r="Q746" s="2"/>
    </row>
    <row r="747" customFormat="false" ht="12.75" hidden="false" customHeight="true" outlineLevel="0" collapsed="false">
      <c r="C747" s="70"/>
      <c r="G747" s="2"/>
      <c r="H747" s="41"/>
      <c r="I747" s="41"/>
      <c r="J747" s="41"/>
      <c r="K747" s="41"/>
      <c r="L747" s="41"/>
      <c r="M747" s="41"/>
      <c r="N747" s="41"/>
      <c r="O747" s="41"/>
      <c r="P747" s="52"/>
      <c r="Q747" s="2"/>
    </row>
    <row r="748" customFormat="false" ht="12.75" hidden="false" customHeight="true" outlineLevel="0" collapsed="false">
      <c r="C748" s="70"/>
      <c r="G748" s="2"/>
      <c r="H748" s="41"/>
      <c r="I748" s="41"/>
      <c r="J748" s="41"/>
      <c r="K748" s="41"/>
      <c r="L748" s="41"/>
      <c r="M748" s="41"/>
      <c r="N748" s="41"/>
      <c r="O748" s="41"/>
      <c r="P748" s="52"/>
      <c r="Q748" s="2"/>
    </row>
    <row r="749" customFormat="false" ht="12.75" hidden="false" customHeight="true" outlineLevel="0" collapsed="false">
      <c r="C749" s="70"/>
      <c r="G749" s="2"/>
      <c r="H749" s="41"/>
      <c r="I749" s="41"/>
      <c r="J749" s="41"/>
      <c r="K749" s="41"/>
      <c r="L749" s="41"/>
      <c r="M749" s="41"/>
      <c r="N749" s="41"/>
      <c r="O749" s="41"/>
      <c r="P749" s="52"/>
      <c r="Q749" s="2"/>
    </row>
    <row r="750" customFormat="false" ht="12.75" hidden="false" customHeight="true" outlineLevel="0" collapsed="false">
      <c r="C750" s="70"/>
      <c r="G750" s="2"/>
      <c r="H750" s="41"/>
      <c r="I750" s="41"/>
      <c r="J750" s="41"/>
      <c r="K750" s="41"/>
      <c r="L750" s="41"/>
      <c r="M750" s="41"/>
      <c r="N750" s="41"/>
      <c r="O750" s="41"/>
      <c r="P750" s="52"/>
      <c r="Q750" s="2"/>
    </row>
    <row r="751" customFormat="false" ht="12.75" hidden="false" customHeight="true" outlineLevel="0" collapsed="false">
      <c r="C751" s="70"/>
      <c r="G751" s="2"/>
      <c r="H751" s="41"/>
      <c r="I751" s="41"/>
      <c r="J751" s="41"/>
      <c r="K751" s="41"/>
      <c r="L751" s="41"/>
      <c r="M751" s="41"/>
      <c r="N751" s="41"/>
      <c r="O751" s="41"/>
      <c r="P751" s="52"/>
      <c r="Q751" s="2"/>
    </row>
    <row r="752" customFormat="false" ht="12.75" hidden="false" customHeight="true" outlineLevel="0" collapsed="false">
      <c r="C752" s="70"/>
      <c r="G752" s="2"/>
      <c r="H752" s="41"/>
      <c r="I752" s="41"/>
      <c r="J752" s="41"/>
      <c r="K752" s="41"/>
      <c r="L752" s="41"/>
      <c r="M752" s="41"/>
      <c r="N752" s="41"/>
      <c r="O752" s="41"/>
      <c r="P752" s="52"/>
      <c r="Q752" s="2"/>
    </row>
    <row r="753" customFormat="false" ht="12.75" hidden="false" customHeight="true" outlineLevel="0" collapsed="false">
      <c r="C753" s="70"/>
      <c r="G753" s="2"/>
      <c r="H753" s="41"/>
      <c r="I753" s="41"/>
      <c r="J753" s="41"/>
      <c r="K753" s="41"/>
      <c r="L753" s="41"/>
      <c r="M753" s="41"/>
      <c r="N753" s="41"/>
      <c r="O753" s="41"/>
      <c r="P753" s="52"/>
      <c r="Q753" s="2"/>
    </row>
    <row r="754" customFormat="false" ht="12.75" hidden="false" customHeight="true" outlineLevel="0" collapsed="false">
      <c r="C754" s="70"/>
      <c r="G754" s="2"/>
      <c r="H754" s="41"/>
      <c r="I754" s="41"/>
      <c r="J754" s="41"/>
      <c r="K754" s="41"/>
      <c r="L754" s="41"/>
      <c r="M754" s="41"/>
      <c r="N754" s="41"/>
      <c r="O754" s="41"/>
      <c r="P754" s="52"/>
      <c r="Q754" s="2"/>
    </row>
    <row r="755" customFormat="false" ht="12.75" hidden="false" customHeight="true" outlineLevel="0" collapsed="false">
      <c r="C755" s="70"/>
      <c r="G755" s="2"/>
      <c r="H755" s="41"/>
      <c r="I755" s="41"/>
      <c r="J755" s="41"/>
      <c r="K755" s="41"/>
      <c r="L755" s="41"/>
      <c r="M755" s="41"/>
      <c r="N755" s="41"/>
      <c r="O755" s="41"/>
      <c r="P755" s="52"/>
      <c r="Q755" s="2"/>
    </row>
    <row r="756" customFormat="false" ht="12.75" hidden="false" customHeight="true" outlineLevel="0" collapsed="false">
      <c r="C756" s="70"/>
      <c r="G756" s="2"/>
      <c r="H756" s="41"/>
      <c r="I756" s="41"/>
      <c r="J756" s="41"/>
      <c r="K756" s="41"/>
      <c r="L756" s="41"/>
      <c r="M756" s="41"/>
      <c r="N756" s="41"/>
      <c r="O756" s="41"/>
      <c r="P756" s="52"/>
      <c r="Q756" s="2"/>
    </row>
    <row r="757" customFormat="false" ht="12.75" hidden="false" customHeight="true" outlineLevel="0" collapsed="false">
      <c r="C757" s="70"/>
      <c r="G757" s="2"/>
      <c r="H757" s="41"/>
      <c r="I757" s="41"/>
      <c r="J757" s="41"/>
      <c r="K757" s="41"/>
      <c r="L757" s="41"/>
      <c r="M757" s="41"/>
      <c r="N757" s="41"/>
      <c r="O757" s="41"/>
      <c r="P757" s="52"/>
      <c r="Q757" s="2"/>
    </row>
    <row r="758" customFormat="false" ht="12.75" hidden="false" customHeight="true" outlineLevel="0" collapsed="false">
      <c r="C758" s="70"/>
      <c r="G758" s="2"/>
      <c r="H758" s="41"/>
      <c r="I758" s="41"/>
      <c r="J758" s="41"/>
      <c r="K758" s="41"/>
      <c r="L758" s="41"/>
      <c r="M758" s="41"/>
      <c r="N758" s="41"/>
      <c r="O758" s="41"/>
      <c r="P758" s="52"/>
      <c r="Q758" s="2"/>
    </row>
    <row r="759" customFormat="false" ht="12.75" hidden="false" customHeight="true" outlineLevel="0" collapsed="false">
      <c r="C759" s="70"/>
      <c r="G759" s="2"/>
      <c r="H759" s="41"/>
      <c r="I759" s="41"/>
      <c r="J759" s="41"/>
      <c r="K759" s="41"/>
      <c r="L759" s="41"/>
      <c r="M759" s="41"/>
      <c r="N759" s="41"/>
      <c r="O759" s="41"/>
      <c r="P759" s="52"/>
      <c r="Q759" s="2"/>
    </row>
    <row r="760" customFormat="false" ht="12.75" hidden="false" customHeight="true" outlineLevel="0" collapsed="false">
      <c r="C760" s="70"/>
      <c r="G760" s="2"/>
      <c r="H760" s="41"/>
      <c r="I760" s="41"/>
      <c r="J760" s="41"/>
      <c r="K760" s="41"/>
      <c r="L760" s="41"/>
      <c r="M760" s="41"/>
      <c r="N760" s="41"/>
      <c r="O760" s="41"/>
      <c r="P760" s="52"/>
      <c r="Q760" s="2"/>
    </row>
    <row r="761" customFormat="false" ht="12.75" hidden="false" customHeight="true" outlineLevel="0" collapsed="false">
      <c r="C761" s="70"/>
      <c r="G761" s="2"/>
      <c r="H761" s="41"/>
      <c r="I761" s="41"/>
      <c r="J761" s="41"/>
      <c r="K761" s="41"/>
      <c r="L761" s="41"/>
      <c r="M761" s="41"/>
      <c r="N761" s="41"/>
      <c r="O761" s="41"/>
      <c r="P761" s="52"/>
      <c r="Q761" s="2"/>
    </row>
    <row r="762" customFormat="false" ht="12.75" hidden="false" customHeight="true" outlineLevel="0" collapsed="false">
      <c r="C762" s="70"/>
      <c r="G762" s="2"/>
      <c r="H762" s="41"/>
      <c r="I762" s="41"/>
      <c r="J762" s="41"/>
      <c r="K762" s="41"/>
      <c r="L762" s="41"/>
      <c r="M762" s="41"/>
      <c r="N762" s="41"/>
      <c r="O762" s="41"/>
      <c r="P762" s="52"/>
      <c r="Q762" s="2"/>
    </row>
    <row r="763" customFormat="false" ht="12.75" hidden="false" customHeight="true" outlineLevel="0" collapsed="false">
      <c r="C763" s="70"/>
      <c r="G763" s="2"/>
      <c r="H763" s="41"/>
      <c r="I763" s="41"/>
      <c r="J763" s="41"/>
      <c r="K763" s="41"/>
      <c r="L763" s="41"/>
      <c r="M763" s="41"/>
      <c r="N763" s="41"/>
      <c r="O763" s="41"/>
      <c r="P763" s="52"/>
      <c r="Q763" s="2"/>
    </row>
    <row r="764" customFormat="false" ht="12.75" hidden="false" customHeight="true" outlineLevel="0" collapsed="false">
      <c r="C764" s="70"/>
      <c r="G764" s="2"/>
      <c r="H764" s="41"/>
      <c r="I764" s="41"/>
      <c r="J764" s="41"/>
      <c r="K764" s="41"/>
      <c r="L764" s="41"/>
      <c r="M764" s="41"/>
      <c r="N764" s="41"/>
      <c r="O764" s="41"/>
      <c r="P764" s="52"/>
      <c r="Q764" s="2"/>
    </row>
    <row r="765" customFormat="false" ht="12.75" hidden="false" customHeight="true" outlineLevel="0" collapsed="false">
      <c r="C765" s="70"/>
      <c r="G765" s="2"/>
      <c r="H765" s="41"/>
      <c r="I765" s="41"/>
      <c r="J765" s="41"/>
      <c r="K765" s="41"/>
      <c r="L765" s="41"/>
      <c r="M765" s="41"/>
      <c r="N765" s="41"/>
      <c r="O765" s="41"/>
      <c r="P765" s="52"/>
      <c r="Q765" s="2"/>
    </row>
    <row r="766" customFormat="false" ht="12.75" hidden="false" customHeight="true" outlineLevel="0" collapsed="false">
      <c r="C766" s="70"/>
      <c r="G766" s="2"/>
      <c r="H766" s="41"/>
      <c r="I766" s="41"/>
      <c r="J766" s="41"/>
      <c r="K766" s="41"/>
      <c r="L766" s="41"/>
      <c r="M766" s="41"/>
      <c r="N766" s="41"/>
      <c r="O766" s="41"/>
      <c r="P766" s="52"/>
      <c r="Q766" s="2"/>
    </row>
    <row r="767" customFormat="false" ht="12.75" hidden="false" customHeight="true" outlineLevel="0" collapsed="false">
      <c r="C767" s="70"/>
      <c r="G767" s="2"/>
      <c r="H767" s="41"/>
      <c r="I767" s="41"/>
      <c r="J767" s="41"/>
      <c r="K767" s="41"/>
      <c r="L767" s="41"/>
      <c r="M767" s="41"/>
      <c r="N767" s="41"/>
      <c r="O767" s="41"/>
      <c r="P767" s="52"/>
      <c r="Q767" s="2"/>
    </row>
    <row r="768" customFormat="false" ht="12.75" hidden="false" customHeight="true" outlineLevel="0" collapsed="false">
      <c r="C768" s="70"/>
      <c r="G768" s="2"/>
      <c r="H768" s="41"/>
      <c r="I768" s="41"/>
      <c r="J768" s="41"/>
      <c r="K768" s="41"/>
      <c r="L768" s="41"/>
      <c r="M768" s="41"/>
      <c r="N768" s="41"/>
      <c r="O768" s="41"/>
      <c r="P768" s="52"/>
      <c r="Q768" s="2"/>
    </row>
    <row r="769" customFormat="false" ht="12.75" hidden="false" customHeight="true" outlineLevel="0" collapsed="false">
      <c r="C769" s="70"/>
      <c r="G769" s="2"/>
      <c r="H769" s="41"/>
      <c r="I769" s="41"/>
      <c r="J769" s="41"/>
      <c r="K769" s="41"/>
      <c r="L769" s="41"/>
      <c r="M769" s="41"/>
      <c r="N769" s="41"/>
      <c r="O769" s="41"/>
      <c r="P769" s="52"/>
      <c r="Q769" s="2"/>
    </row>
    <row r="770" customFormat="false" ht="12.75" hidden="false" customHeight="true" outlineLevel="0" collapsed="false">
      <c r="C770" s="70"/>
      <c r="G770" s="2"/>
      <c r="H770" s="41"/>
      <c r="I770" s="41"/>
      <c r="J770" s="41"/>
      <c r="K770" s="41"/>
      <c r="L770" s="41"/>
      <c r="M770" s="41"/>
      <c r="N770" s="41"/>
      <c r="O770" s="41"/>
      <c r="P770" s="52"/>
      <c r="Q770" s="2"/>
    </row>
    <row r="771" customFormat="false" ht="12.75" hidden="false" customHeight="true" outlineLevel="0" collapsed="false">
      <c r="C771" s="70"/>
      <c r="G771" s="2"/>
      <c r="H771" s="41"/>
      <c r="I771" s="41"/>
      <c r="J771" s="41"/>
      <c r="K771" s="41"/>
      <c r="L771" s="41"/>
      <c r="M771" s="41"/>
      <c r="N771" s="41"/>
      <c r="O771" s="41"/>
      <c r="P771" s="52"/>
      <c r="Q771" s="2"/>
    </row>
    <row r="772" customFormat="false" ht="12.75" hidden="false" customHeight="true" outlineLevel="0" collapsed="false">
      <c r="C772" s="70"/>
      <c r="G772" s="2"/>
      <c r="H772" s="41"/>
      <c r="I772" s="41"/>
      <c r="J772" s="41"/>
      <c r="K772" s="41"/>
      <c r="L772" s="41"/>
      <c r="M772" s="41"/>
      <c r="N772" s="41"/>
      <c r="O772" s="41"/>
      <c r="P772" s="52"/>
      <c r="Q772" s="2"/>
    </row>
    <row r="773" customFormat="false" ht="12.75" hidden="false" customHeight="true" outlineLevel="0" collapsed="false">
      <c r="C773" s="70"/>
      <c r="G773" s="2"/>
      <c r="H773" s="41"/>
      <c r="I773" s="41"/>
      <c r="J773" s="41"/>
      <c r="K773" s="41"/>
      <c r="L773" s="41"/>
      <c r="M773" s="41"/>
      <c r="N773" s="41"/>
      <c r="O773" s="41"/>
      <c r="P773" s="52"/>
      <c r="Q773" s="2"/>
    </row>
    <row r="774" customFormat="false" ht="12.75" hidden="false" customHeight="true" outlineLevel="0" collapsed="false">
      <c r="C774" s="70"/>
      <c r="G774" s="2"/>
      <c r="H774" s="41"/>
      <c r="I774" s="41"/>
      <c r="J774" s="41"/>
      <c r="K774" s="41"/>
      <c r="L774" s="41"/>
      <c r="M774" s="41"/>
      <c r="N774" s="41"/>
      <c r="O774" s="41"/>
      <c r="P774" s="52"/>
      <c r="Q774" s="2"/>
    </row>
    <row r="775" customFormat="false" ht="12.75" hidden="false" customHeight="true" outlineLevel="0" collapsed="false">
      <c r="C775" s="70"/>
      <c r="G775" s="2"/>
      <c r="H775" s="41"/>
      <c r="I775" s="41"/>
      <c r="J775" s="41"/>
      <c r="K775" s="41"/>
      <c r="L775" s="41"/>
      <c r="M775" s="41"/>
      <c r="N775" s="41"/>
      <c r="O775" s="41"/>
      <c r="P775" s="52"/>
      <c r="Q775" s="2"/>
    </row>
    <row r="776" customFormat="false" ht="12.75" hidden="false" customHeight="true" outlineLevel="0" collapsed="false">
      <c r="C776" s="70"/>
      <c r="G776" s="2"/>
      <c r="H776" s="41"/>
      <c r="I776" s="41"/>
      <c r="J776" s="41"/>
      <c r="K776" s="41"/>
      <c r="L776" s="41"/>
      <c r="M776" s="41"/>
      <c r="N776" s="41"/>
      <c r="O776" s="41"/>
      <c r="P776" s="52"/>
      <c r="Q776" s="2"/>
    </row>
    <row r="777" customFormat="false" ht="12.75" hidden="false" customHeight="true" outlineLevel="0" collapsed="false">
      <c r="C777" s="70"/>
      <c r="G777" s="2"/>
      <c r="H777" s="41"/>
      <c r="I777" s="41"/>
      <c r="J777" s="41"/>
      <c r="K777" s="41"/>
      <c r="L777" s="41"/>
      <c r="M777" s="41"/>
      <c r="N777" s="41"/>
      <c r="O777" s="41"/>
      <c r="P777" s="52"/>
      <c r="Q777" s="2"/>
    </row>
    <row r="778" customFormat="false" ht="12.75" hidden="false" customHeight="true" outlineLevel="0" collapsed="false">
      <c r="C778" s="70"/>
      <c r="G778" s="2"/>
      <c r="H778" s="41"/>
      <c r="I778" s="41"/>
      <c r="J778" s="41"/>
      <c r="K778" s="41"/>
      <c r="L778" s="41"/>
      <c r="M778" s="41"/>
      <c r="N778" s="41"/>
      <c r="O778" s="41"/>
      <c r="P778" s="52"/>
      <c r="Q778" s="2"/>
    </row>
    <row r="779" customFormat="false" ht="12.75" hidden="false" customHeight="true" outlineLevel="0" collapsed="false">
      <c r="C779" s="70"/>
      <c r="G779" s="2"/>
      <c r="H779" s="41"/>
      <c r="I779" s="41"/>
      <c r="J779" s="41"/>
      <c r="K779" s="41"/>
      <c r="L779" s="41"/>
      <c r="M779" s="41"/>
      <c r="N779" s="41"/>
      <c r="O779" s="41"/>
      <c r="P779" s="52"/>
      <c r="Q779" s="2"/>
    </row>
    <row r="780" customFormat="false" ht="12.75" hidden="false" customHeight="true" outlineLevel="0" collapsed="false">
      <c r="C780" s="70"/>
      <c r="G780" s="2"/>
      <c r="H780" s="41"/>
      <c r="I780" s="41"/>
      <c r="J780" s="41"/>
      <c r="K780" s="41"/>
      <c r="L780" s="41"/>
      <c r="M780" s="41"/>
      <c r="N780" s="41"/>
      <c r="O780" s="41"/>
      <c r="P780" s="52"/>
      <c r="Q780" s="2"/>
    </row>
    <row r="781" customFormat="false" ht="12.75" hidden="false" customHeight="true" outlineLevel="0" collapsed="false">
      <c r="C781" s="70"/>
      <c r="G781" s="2"/>
      <c r="H781" s="41"/>
      <c r="I781" s="41"/>
      <c r="J781" s="41"/>
      <c r="K781" s="41"/>
      <c r="L781" s="41"/>
      <c r="M781" s="41"/>
      <c r="N781" s="41"/>
      <c r="O781" s="41"/>
      <c r="P781" s="52"/>
      <c r="Q781" s="2"/>
    </row>
    <row r="782" customFormat="false" ht="12.75" hidden="false" customHeight="true" outlineLevel="0" collapsed="false">
      <c r="C782" s="70"/>
      <c r="G782" s="2"/>
      <c r="H782" s="41"/>
      <c r="I782" s="41"/>
      <c r="J782" s="41"/>
      <c r="K782" s="41"/>
      <c r="L782" s="41"/>
      <c r="M782" s="41"/>
      <c r="N782" s="41"/>
      <c r="O782" s="41"/>
      <c r="P782" s="52"/>
      <c r="Q782" s="2"/>
    </row>
    <row r="783" customFormat="false" ht="12.75" hidden="false" customHeight="true" outlineLevel="0" collapsed="false">
      <c r="C783" s="70"/>
      <c r="G783" s="2"/>
      <c r="H783" s="41"/>
      <c r="I783" s="41"/>
      <c r="J783" s="41"/>
      <c r="K783" s="41"/>
      <c r="L783" s="41"/>
      <c r="M783" s="41"/>
      <c r="N783" s="41"/>
      <c r="O783" s="41"/>
      <c r="P783" s="52"/>
      <c r="Q783" s="2"/>
    </row>
    <row r="784" customFormat="false" ht="12.75" hidden="false" customHeight="true" outlineLevel="0" collapsed="false">
      <c r="C784" s="70"/>
      <c r="G784" s="2"/>
      <c r="H784" s="41"/>
      <c r="I784" s="41"/>
      <c r="J784" s="41"/>
      <c r="K784" s="41"/>
      <c r="L784" s="41"/>
      <c r="M784" s="41"/>
      <c r="N784" s="41"/>
      <c r="O784" s="41"/>
      <c r="P784" s="52"/>
      <c r="Q784" s="2"/>
    </row>
    <row r="785" customFormat="false" ht="12.75" hidden="false" customHeight="true" outlineLevel="0" collapsed="false">
      <c r="C785" s="70"/>
      <c r="G785" s="2"/>
      <c r="H785" s="41"/>
      <c r="I785" s="41"/>
      <c r="J785" s="41"/>
      <c r="K785" s="41"/>
      <c r="L785" s="41"/>
      <c r="M785" s="41"/>
      <c r="N785" s="41"/>
      <c r="O785" s="41"/>
      <c r="P785" s="52"/>
      <c r="Q785" s="2"/>
    </row>
    <row r="786" customFormat="false" ht="12.75" hidden="false" customHeight="true" outlineLevel="0" collapsed="false">
      <c r="C786" s="70"/>
      <c r="G786" s="2"/>
      <c r="H786" s="41"/>
      <c r="I786" s="41"/>
      <c r="J786" s="41"/>
      <c r="K786" s="41"/>
      <c r="L786" s="41"/>
      <c r="M786" s="41"/>
      <c r="N786" s="41"/>
      <c r="O786" s="41"/>
      <c r="P786" s="52"/>
      <c r="Q786" s="2"/>
    </row>
    <row r="787" customFormat="false" ht="12.75" hidden="false" customHeight="true" outlineLevel="0" collapsed="false">
      <c r="C787" s="70"/>
      <c r="G787" s="2"/>
      <c r="H787" s="41"/>
      <c r="I787" s="41"/>
      <c r="J787" s="41"/>
      <c r="K787" s="41"/>
      <c r="L787" s="41"/>
      <c r="M787" s="41"/>
      <c r="N787" s="41"/>
      <c r="O787" s="41"/>
      <c r="P787" s="52"/>
      <c r="Q787" s="2"/>
    </row>
    <row r="788" customFormat="false" ht="12.75" hidden="false" customHeight="true" outlineLevel="0" collapsed="false">
      <c r="C788" s="70"/>
      <c r="G788" s="2"/>
      <c r="H788" s="41"/>
      <c r="I788" s="41"/>
      <c r="J788" s="41"/>
      <c r="K788" s="41"/>
      <c r="L788" s="41"/>
      <c r="M788" s="41"/>
      <c r="N788" s="41"/>
      <c r="O788" s="41"/>
      <c r="P788" s="52"/>
      <c r="Q788" s="2"/>
    </row>
    <row r="789" customFormat="false" ht="12.75" hidden="false" customHeight="true" outlineLevel="0" collapsed="false">
      <c r="C789" s="70"/>
      <c r="G789" s="2"/>
      <c r="H789" s="41"/>
      <c r="I789" s="41"/>
      <c r="J789" s="41"/>
      <c r="K789" s="41"/>
      <c r="L789" s="41"/>
      <c r="M789" s="41"/>
      <c r="N789" s="41"/>
      <c r="O789" s="41"/>
      <c r="P789" s="52"/>
      <c r="Q789" s="2"/>
    </row>
    <row r="790" customFormat="false" ht="12.75" hidden="false" customHeight="true" outlineLevel="0" collapsed="false">
      <c r="C790" s="70"/>
      <c r="G790" s="2"/>
      <c r="H790" s="41"/>
      <c r="I790" s="41"/>
      <c r="J790" s="41"/>
      <c r="K790" s="41"/>
      <c r="L790" s="41"/>
      <c r="M790" s="41"/>
      <c r="N790" s="41"/>
      <c r="O790" s="41"/>
      <c r="P790" s="52"/>
      <c r="Q790" s="2"/>
    </row>
    <row r="791" customFormat="false" ht="12.75" hidden="false" customHeight="true" outlineLevel="0" collapsed="false">
      <c r="C791" s="70"/>
      <c r="G791" s="2"/>
      <c r="H791" s="41"/>
      <c r="I791" s="41"/>
      <c r="J791" s="41"/>
      <c r="K791" s="41"/>
      <c r="L791" s="41"/>
      <c r="M791" s="41"/>
      <c r="N791" s="41"/>
      <c r="O791" s="41"/>
      <c r="P791" s="52"/>
      <c r="Q791" s="2"/>
    </row>
    <row r="792" customFormat="false" ht="12.75" hidden="false" customHeight="true" outlineLevel="0" collapsed="false">
      <c r="C792" s="70"/>
      <c r="G792" s="2"/>
      <c r="H792" s="41"/>
      <c r="I792" s="41"/>
      <c r="J792" s="41"/>
      <c r="K792" s="41"/>
      <c r="L792" s="41"/>
      <c r="M792" s="41"/>
      <c r="N792" s="41"/>
      <c r="O792" s="41"/>
      <c r="P792" s="52"/>
      <c r="Q792" s="2"/>
    </row>
    <row r="793" customFormat="false" ht="12.75" hidden="false" customHeight="true" outlineLevel="0" collapsed="false">
      <c r="C793" s="70"/>
      <c r="G793" s="2"/>
      <c r="H793" s="41"/>
      <c r="I793" s="41"/>
      <c r="J793" s="41"/>
      <c r="K793" s="41"/>
      <c r="L793" s="41"/>
      <c r="M793" s="41"/>
      <c r="N793" s="41"/>
      <c r="O793" s="41"/>
      <c r="P793" s="52"/>
      <c r="Q793" s="2"/>
    </row>
    <row r="794" customFormat="false" ht="12.75" hidden="false" customHeight="true" outlineLevel="0" collapsed="false">
      <c r="C794" s="70"/>
      <c r="G794" s="2"/>
      <c r="H794" s="41"/>
      <c r="I794" s="41"/>
      <c r="J794" s="41"/>
      <c r="K794" s="41"/>
      <c r="L794" s="41"/>
      <c r="M794" s="41"/>
      <c r="N794" s="41"/>
      <c r="O794" s="41"/>
      <c r="P794" s="52"/>
      <c r="Q794" s="2"/>
    </row>
    <row r="795" customFormat="false" ht="12.75" hidden="false" customHeight="true" outlineLevel="0" collapsed="false">
      <c r="C795" s="70"/>
      <c r="G795" s="2"/>
      <c r="H795" s="41"/>
      <c r="I795" s="41"/>
      <c r="J795" s="41"/>
      <c r="K795" s="41"/>
      <c r="L795" s="41"/>
      <c r="M795" s="41"/>
      <c r="N795" s="41"/>
      <c r="O795" s="41"/>
      <c r="P795" s="52"/>
      <c r="Q795" s="2"/>
    </row>
    <row r="796" customFormat="false" ht="12.75" hidden="false" customHeight="true" outlineLevel="0" collapsed="false">
      <c r="C796" s="70"/>
      <c r="G796" s="2"/>
      <c r="H796" s="41"/>
      <c r="I796" s="41"/>
      <c r="J796" s="41"/>
      <c r="K796" s="41"/>
      <c r="L796" s="41"/>
      <c r="M796" s="41"/>
      <c r="N796" s="41"/>
      <c r="O796" s="41"/>
      <c r="P796" s="52"/>
      <c r="Q796" s="2"/>
    </row>
    <row r="797" customFormat="false" ht="12.75" hidden="false" customHeight="true" outlineLevel="0" collapsed="false">
      <c r="C797" s="70"/>
      <c r="G797" s="2"/>
      <c r="H797" s="41"/>
      <c r="I797" s="41"/>
      <c r="J797" s="41"/>
      <c r="K797" s="41"/>
      <c r="L797" s="41"/>
      <c r="M797" s="41"/>
      <c r="N797" s="41"/>
      <c r="O797" s="41"/>
      <c r="P797" s="52"/>
      <c r="Q797" s="2"/>
    </row>
    <row r="798" customFormat="false" ht="12.75" hidden="false" customHeight="true" outlineLevel="0" collapsed="false">
      <c r="C798" s="70"/>
      <c r="G798" s="2"/>
      <c r="H798" s="41"/>
      <c r="I798" s="41"/>
      <c r="J798" s="41"/>
      <c r="K798" s="41"/>
      <c r="L798" s="41"/>
      <c r="M798" s="41"/>
      <c r="N798" s="41"/>
      <c r="O798" s="41"/>
      <c r="P798" s="52"/>
      <c r="Q798" s="2"/>
    </row>
    <row r="799" customFormat="false" ht="12.75" hidden="false" customHeight="true" outlineLevel="0" collapsed="false">
      <c r="C799" s="70"/>
      <c r="G799" s="2"/>
      <c r="H799" s="41"/>
      <c r="I799" s="41"/>
      <c r="J799" s="41"/>
      <c r="K799" s="41"/>
      <c r="L799" s="41"/>
      <c r="M799" s="41"/>
      <c r="N799" s="41"/>
      <c r="O799" s="41"/>
      <c r="P799" s="52"/>
      <c r="Q799" s="2"/>
    </row>
    <row r="800" customFormat="false" ht="12.75" hidden="false" customHeight="true" outlineLevel="0" collapsed="false">
      <c r="C800" s="70"/>
      <c r="G800" s="2"/>
      <c r="H800" s="41"/>
      <c r="I800" s="41"/>
      <c r="J800" s="41"/>
      <c r="K800" s="41"/>
      <c r="L800" s="41"/>
      <c r="M800" s="41"/>
      <c r="N800" s="41"/>
      <c r="O800" s="41"/>
      <c r="P800" s="52"/>
      <c r="Q800" s="2"/>
    </row>
    <row r="801" customFormat="false" ht="12.75" hidden="false" customHeight="true" outlineLevel="0" collapsed="false">
      <c r="C801" s="70"/>
      <c r="G801" s="2"/>
      <c r="H801" s="41"/>
      <c r="I801" s="41"/>
      <c r="J801" s="41"/>
      <c r="K801" s="41"/>
      <c r="L801" s="41"/>
      <c r="M801" s="41"/>
      <c r="N801" s="41"/>
      <c r="O801" s="41"/>
      <c r="P801" s="52"/>
      <c r="Q801" s="2"/>
    </row>
    <row r="802" customFormat="false" ht="12.75" hidden="false" customHeight="true" outlineLevel="0" collapsed="false">
      <c r="C802" s="70"/>
      <c r="G802" s="2"/>
      <c r="H802" s="41"/>
      <c r="I802" s="41"/>
      <c r="J802" s="41"/>
      <c r="K802" s="41"/>
      <c r="L802" s="41"/>
      <c r="M802" s="41"/>
      <c r="N802" s="41"/>
      <c r="O802" s="41"/>
      <c r="P802" s="52"/>
      <c r="Q802" s="2"/>
    </row>
    <row r="803" customFormat="false" ht="12.75" hidden="false" customHeight="true" outlineLevel="0" collapsed="false">
      <c r="C803" s="70"/>
      <c r="G803" s="2"/>
      <c r="H803" s="41"/>
      <c r="I803" s="41"/>
      <c r="J803" s="41"/>
      <c r="K803" s="41"/>
      <c r="L803" s="41"/>
      <c r="M803" s="41"/>
      <c r="N803" s="41"/>
      <c r="O803" s="41"/>
      <c r="P803" s="52"/>
      <c r="Q803" s="2"/>
    </row>
    <row r="804" customFormat="false" ht="12.75" hidden="false" customHeight="true" outlineLevel="0" collapsed="false">
      <c r="C804" s="70"/>
      <c r="G804" s="2"/>
      <c r="H804" s="41"/>
      <c r="I804" s="41"/>
      <c r="J804" s="41"/>
      <c r="K804" s="41"/>
      <c r="L804" s="41"/>
      <c r="M804" s="41"/>
      <c r="N804" s="41"/>
      <c r="O804" s="41"/>
      <c r="P804" s="52"/>
      <c r="Q804" s="2"/>
    </row>
    <row r="805" customFormat="false" ht="12.75" hidden="false" customHeight="true" outlineLevel="0" collapsed="false">
      <c r="C805" s="70"/>
      <c r="G805" s="2"/>
      <c r="H805" s="41"/>
      <c r="I805" s="41"/>
      <c r="J805" s="41"/>
      <c r="K805" s="41"/>
      <c r="L805" s="41"/>
      <c r="M805" s="41"/>
      <c r="N805" s="41"/>
      <c r="O805" s="41"/>
      <c r="P805" s="52"/>
      <c r="Q805" s="2"/>
    </row>
    <row r="806" customFormat="false" ht="12.75" hidden="false" customHeight="true" outlineLevel="0" collapsed="false">
      <c r="C806" s="70"/>
      <c r="G806" s="2"/>
      <c r="H806" s="41"/>
      <c r="I806" s="41"/>
      <c r="J806" s="41"/>
      <c r="K806" s="41"/>
      <c r="L806" s="41"/>
      <c r="M806" s="41"/>
      <c r="N806" s="41"/>
      <c r="O806" s="41"/>
      <c r="P806" s="52"/>
      <c r="Q806" s="2"/>
    </row>
    <row r="807" customFormat="false" ht="12.75" hidden="false" customHeight="true" outlineLevel="0" collapsed="false">
      <c r="C807" s="70"/>
      <c r="G807" s="2"/>
      <c r="H807" s="41"/>
      <c r="I807" s="41"/>
      <c r="J807" s="41"/>
      <c r="K807" s="41"/>
      <c r="L807" s="41"/>
      <c r="M807" s="41"/>
      <c r="N807" s="41"/>
      <c r="O807" s="41"/>
      <c r="P807" s="52"/>
      <c r="Q807" s="2"/>
    </row>
    <row r="808" customFormat="false" ht="12.75" hidden="false" customHeight="true" outlineLevel="0" collapsed="false">
      <c r="C808" s="70"/>
      <c r="G808" s="2"/>
      <c r="H808" s="41"/>
      <c r="I808" s="41"/>
      <c r="J808" s="41"/>
      <c r="K808" s="41"/>
      <c r="L808" s="41"/>
      <c r="M808" s="41"/>
      <c r="N808" s="41"/>
      <c r="O808" s="41"/>
      <c r="P808" s="52"/>
      <c r="Q808" s="2"/>
    </row>
    <row r="809" customFormat="false" ht="12.75" hidden="false" customHeight="true" outlineLevel="0" collapsed="false">
      <c r="C809" s="70"/>
      <c r="G809" s="2"/>
      <c r="H809" s="41"/>
      <c r="I809" s="41"/>
      <c r="J809" s="41"/>
      <c r="K809" s="41"/>
      <c r="L809" s="41"/>
      <c r="M809" s="41"/>
      <c r="N809" s="41"/>
      <c r="O809" s="41"/>
      <c r="P809" s="52"/>
      <c r="Q809" s="2"/>
    </row>
    <row r="810" customFormat="false" ht="12.75" hidden="false" customHeight="true" outlineLevel="0" collapsed="false">
      <c r="C810" s="70"/>
      <c r="G810" s="2"/>
      <c r="H810" s="41"/>
      <c r="I810" s="41"/>
      <c r="J810" s="41"/>
      <c r="K810" s="41"/>
      <c r="L810" s="41"/>
      <c r="M810" s="41"/>
      <c r="N810" s="41"/>
      <c r="O810" s="41"/>
      <c r="P810" s="52"/>
      <c r="Q810" s="2"/>
    </row>
    <row r="811" customFormat="false" ht="12.75" hidden="false" customHeight="true" outlineLevel="0" collapsed="false">
      <c r="C811" s="70"/>
      <c r="G811" s="2"/>
      <c r="H811" s="41"/>
      <c r="I811" s="41"/>
      <c r="J811" s="41"/>
      <c r="K811" s="41"/>
      <c r="L811" s="41"/>
      <c r="M811" s="41"/>
      <c r="N811" s="41"/>
      <c r="O811" s="41"/>
      <c r="P811" s="52"/>
      <c r="Q811" s="2"/>
    </row>
    <row r="812" customFormat="false" ht="12.75" hidden="false" customHeight="true" outlineLevel="0" collapsed="false">
      <c r="C812" s="70"/>
      <c r="G812" s="2"/>
      <c r="H812" s="41"/>
      <c r="I812" s="41"/>
      <c r="J812" s="41"/>
      <c r="K812" s="41"/>
      <c r="L812" s="41"/>
      <c r="M812" s="41"/>
      <c r="N812" s="41"/>
      <c r="O812" s="41"/>
      <c r="P812" s="52"/>
      <c r="Q812" s="2"/>
    </row>
    <row r="813" customFormat="false" ht="12.75" hidden="false" customHeight="true" outlineLevel="0" collapsed="false">
      <c r="C813" s="70"/>
      <c r="G813" s="2"/>
      <c r="H813" s="41"/>
      <c r="I813" s="41"/>
      <c r="J813" s="41"/>
      <c r="K813" s="41"/>
      <c r="L813" s="41"/>
      <c r="M813" s="41"/>
      <c r="N813" s="41"/>
      <c r="O813" s="41"/>
      <c r="P813" s="52"/>
      <c r="Q813" s="2"/>
    </row>
    <row r="814" customFormat="false" ht="12.75" hidden="false" customHeight="true" outlineLevel="0" collapsed="false">
      <c r="C814" s="70"/>
      <c r="G814" s="2"/>
      <c r="H814" s="41"/>
      <c r="I814" s="41"/>
      <c r="J814" s="41"/>
      <c r="K814" s="41"/>
      <c r="L814" s="41"/>
      <c r="M814" s="41"/>
      <c r="N814" s="41"/>
      <c r="O814" s="41"/>
      <c r="P814" s="52"/>
      <c r="Q814" s="2"/>
    </row>
    <row r="815" customFormat="false" ht="12.75" hidden="false" customHeight="true" outlineLevel="0" collapsed="false">
      <c r="C815" s="70"/>
      <c r="G815" s="2"/>
      <c r="H815" s="41"/>
      <c r="I815" s="41"/>
      <c r="J815" s="41"/>
      <c r="K815" s="41"/>
      <c r="L815" s="41"/>
      <c r="M815" s="41"/>
      <c r="N815" s="41"/>
      <c r="O815" s="41"/>
      <c r="P815" s="52"/>
      <c r="Q815" s="2"/>
    </row>
    <row r="816" customFormat="false" ht="12.75" hidden="false" customHeight="true" outlineLevel="0" collapsed="false">
      <c r="C816" s="70"/>
      <c r="G816" s="2"/>
      <c r="H816" s="41"/>
      <c r="I816" s="41"/>
      <c r="J816" s="41"/>
      <c r="K816" s="41"/>
      <c r="L816" s="41"/>
      <c r="M816" s="41"/>
      <c r="N816" s="41"/>
      <c r="O816" s="41"/>
      <c r="P816" s="52"/>
      <c r="Q816" s="2"/>
    </row>
    <row r="817" customFormat="false" ht="12.75" hidden="false" customHeight="true" outlineLevel="0" collapsed="false">
      <c r="C817" s="70"/>
      <c r="G817" s="2"/>
      <c r="H817" s="41"/>
      <c r="I817" s="41"/>
      <c r="J817" s="41"/>
      <c r="K817" s="41"/>
      <c r="L817" s="41"/>
      <c r="M817" s="41"/>
      <c r="N817" s="41"/>
      <c r="O817" s="41"/>
      <c r="P817" s="52"/>
      <c r="Q817" s="2"/>
    </row>
    <row r="818" customFormat="false" ht="12.75" hidden="false" customHeight="true" outlineLevel="0" collapsed="false">
      <c r="C818" s="70"/>
      <c r="G818" s="2"/>
      <c r="H818" s="41"/>
      <c r="I818" s="41"/>
      <c r="J818" s="41"/>
      <c r="K818" s="41"/>
      <c r="L818" s="41"/>
      <c r="M818" s="41"/>
      <c r="N818" s="41"/>
      <c r="O818" s="41"/>
      <c r="P818" s="52"/>
      <c r="Q818" s="2"/>
    </row>
    <row r="819" customFormat="false" ht="12.75" hidden="false" customHeight="true" outlineLevel="0" collapsed="false">
      <c r="C819" s="70"/>
      <c r="G819" s="2"/>
      <c r="H819" s="41"/>
      <c r="I819" s="41"/>
      <c r="J819" s="41"/>
      <c r="K819" s="41"/>
      <c r="L819" s="41"/>
      <c r="M819" s="41"/>
      <c r="N819" s="41"/>
      <c r="O819" s="41"/>
      <c r="P819" s="52"/>
      <c r="Q819" s="2"/>
    </row>
    <row r="820" customFormat="false" ht="12.75" hidden="false" customHeight="true" outlineLevel="0" collapsed="false">
      <c r="C820" s="70"/>
      <c r="G820" s="2"/>
      <c r="H820" s="41"/>
      <c r="I820" s="41"/>
      <c r="J820" s="41"/>
      <c r="K820" s="41"/>
      <c r="L820" s="41"/>
      <c r="M820" s="41"/>
      <c r="N820" s="41"/>
      <c r="O820" s="41"/>
      <c r="P820" s="52"/>
      <c r="Q820" s="2"/>
    </row>
    <row r="821" customFormat="false" ht="12.75" hidden="false" customHeight="true" outlineLevel="0" collapsed="false">
      <c r="C821" s="70"/>
      <c r="G821" s="2"/>
      <c r="H821" s="41"/>
      <c r="I821" s="41"/>
      <c r="J821" s="41"/>
      <c r="K821" s="41"/>
      <c r="L821" s="41"/>
      <c r="M821" s="41"/>
      <c r="N821" s="41"/>
      <c r="O821" s="41"/>
      <c r="P821" s="52"/>
      <c r="Q821" s="2"/>
    </row>
    <row r="822" customFormat="false" ht="12.75" hidden="false" customHeight="true" outlineLevel="0" collapsed="false">
      <c r="C822" s="70"/>
      <c r="G822" s="2"/>
      <c r="H822" s="41"/>
      <c r="I822" s="41"/>
      <c r="J822" s="41"/>
      <c r="K822" s="41"/>
      <c r="L822" s="41"/>
      <c r="M822" s="41"/>
      <c r="N822" s="41"/>
      <c r="O822" s="41"/>
      <c r="P822" s="52"/>
      <c r="Q822" s="2"/>
    </row>
    <row r="823" customFormat="false" ht="12.75" hidden="false" customHeight="true" outlineLevel="0" collapsed="false">
      <c r="C823" s="70"/>
      <c r="G823" s="2"/>
      <c r="H823" s="41"/>
      <c r="I823" s="41"/>
      <c r="J823" s="41"/>
      <c r="K823" s="41"/>
      <c r="L823" s="41"/>
      <c r="M823" s="41"/>
      <c r="N823" s="41"/>
      <c r="O823" s="41"/>
      <c r="P823" s="52"/>
      <c r="Q823" s="2"/>
    </row>
    <row r="824" customFormat="false" ht="12.75" hidden="false" customHeight="true" outlineLevel="0" collapsed="false">
      <c r="C824" s="70"/>
      <c r="G824" s="2"/>
      <c r="H824" s="41"/>
      <c r="I824" s="41"/>
      <c r="J824" s="41"/>
      <c r="K824" s="41"/>
      <c r="L824" s="41"/>
      <c r="M824" s="41"/>
      <c r="N824" s="41"/>
      <c r="O824" s="41"/>
      <c r="P824" s="52"/>
      <c r="Q824" s="2"/>
    </row>
    <row r="825" customFormat="false" ht="12.75" hidden="false" customHeight="true" outlineLevel="0" collapsed="false">
      <c r="C825" s="70"/>
      <c r="G825" s="2"/>
      <c r="H825" s="41"/>
      <c r="I825" s="41"/>
      <c r="J825" s="41"/>
      <c r="K825" s="41"/>
      <c r="L825" s="41"/>
      <c r="M825" s="41"/>
      <c r="N825" s="41"/>
      <c r="O825" s="41"/>
      <c r="P825" s="52"/>
      <c r="Q825" s="2"/>
    </row>
    <row r="826" customFormat="false" ht="12.75" hidden="false" customHeight="true" outlineLevel="0" collapsed="false">
      <c r="C826" s="70"/>
      <c r="G826" s="2"/>
      <c r="H826" s="41"/>
      <c r="I826" s="41"/>
      <c r="J826" s="41"/>
      <c r="K826" s="41"/>
      <c r="L826" s="41"/>
      <c r="M826" s="41"/>
      <c r="N826" s="41"/>
      <c r="O826" s="41"/>
      <c r="P826" s="52"/>
      <c r="Q826" s="2"/>
    </row>
    <row r="827" customFormat="false" ht="12.75" hidden="false" customHeight="true" outlineLevel="0" collapsed="false">
      <c r="C827" s="70"/>
      <c r="G827" s="2"/>
      <c r="H827" s="41"/>
      <c r="I827" s="41"/>
      <c r="J827" s="41"/>
      <c r="K827" s="41"/>
      <c r="L827" s="41"/>
      <c r="M827" s="41"/>
      <c r="N827" s="41"/>
      <c r="O827" s="41"/>
      <c r="P827" s="52"/>
      <c r="Q827" s="2"/>
    </row>
    <row r="828" customFormat="false" ht="12.75" hidden="false" customHeight="true" outlineLevel="0" collapsed="false">
      <c r="C828" s="70"/>
      <c r="G828" s="2"/>
      <c r="H828" s="41"/>
      <c r="I828" s="41"/>
      <c r="J828" s="41"/>
      <c r="K828" s="41"/>
      <c r="L828" s="41"/>
      <c r="M828" s="41"/>
      <c r="N828" s="41"/>
      <c r="O828" s="41"/>
      <c r="P828" s="52"/>
      <c r="Q828" s="2"/>
    </row>
    <row r="829" customFormat="false" ht="12.75" hidden="false" customHeight="true" outlineLevel="0" collapsed="false">
      <c r="C829" s="70"/>
      <c r="G829" s="2"/>
      <c r="H829" s="41"/>
      <c r="I829" s="41"/>
      <c r="J829" s="41"/>
      <c r="K829" s="41"/>
      <c r="L829" s="41"/>
      <c r="M829" s="41"/>
      <c r="N829" s="41"/>
      <c r="O829" s="41"/>
      <c r="P829" s="52"/>
      <c r="Q829" s="2"/>
    </row>
    <row r="830" customFormat="false" ht="12.75" hidden="false" customHeight="true" outlineLevel="0" collapsed="false">
      <c r="C830" s="70"/>
      <c r="G830" s="2"/>
      <c r="H830" s="41"/>
      <c r="I830" s="41"/>
      <c r="J830" s="41"/>
      <c r="K830" s="41"/>
      <c r="L830" s="41"/>
      <c r="M830" s="41"/>
      <c r="N830" s="41"/>
      <c r="O830" s="41"/>
      <c r="P830" s="52"/>
      <c r="Q830" s="2"/>
    </row>
    <row r="831" customFormat="false" ht="12.75" hidden="false" customHeight="true" outlineLevel="0" collapsed="false">
      <c r="C831" s="70"/>
      <c r="G831" s="2"/>
      <c r="H831" s="41"/>
      <c r="I831" s="41"/>
      <c r="J831" s="41"/>
      <c r="K831" s="41"/>
      <c r="L831" s="41"/>
      <c r="M831" s="41"/>
      <c r="N831" s="41"/>
      <c r="O831" s="41"/>
      <c r="P831" s="52"/>
      <c r="Q831" s="2"/>
    </row>
    <row r="832" customFormat="false" ht="12.75" hidden="false" customHeight="true" outlineLevel="0" collapsed="false">
      <c r="C832" s="70"/>
      <c r="G832" s="2"/>
      <c r="H832" s="41"/>
      <c r="I832" s="41"/>
      <c r="J832" s="41"/>
      <c r="K832" s="41"/>
      <c r="L832" s="41"/>
      <c r="M832" s="41"/>
      <c r="N832" s="41"/>
      <c r="O832" s="41"/>
      <c r="P832" s="52"/>
      <c r="Q832" s="2"/>
    </row>
    <row r="833" customFormat="false" ht="12.75" hidden="false" customHeight="true" outlineLevel="0" collapsed="false">
      <c r="C833" s="70"/>
      <c r="G833" s="2"/>
      <c r="H833" s="41"/>
      <c r="I833" s="41"/>
      <c r="J833" s="41"/>
      <c r="K833" s="41"/>
      <c r="L833" s="41"/>
      <c r="M833" s="41"/>
      <c r="N833" s="41"/>
      <c r="O833" s="41"/>
      <c r="P833" s="52"/>
      <c r="Q833" s="2"/>
    </row>
    <row r="834" customFormat="false" ht="12.75" hidden="false" customHeight="true" outlineLevel="0" collapsed="false">
      <c r="C834" s="70"/>
      <c r="G834" s="2"/>
      <c r="H834" s="41"/>
      <c r="I834" s="41"/>
      <c r="J834" s="41"/>
      <c r="K834" s="41"/>
      <c r="L834" s="41"/>
      <c r="M834" s="41"/>
      <c r="N834" s="41"/>
      <c r="O834" s="41"/>
      <c r="P834" s="52"/>
      <c r="Q834" s="2"/>
    </row>
    <row r="835" customFormat="false" ht="12.75" hidden="false" customHeight="true" outlineLevel="0" collapsed="false">
      <c r="C835" s="70"/>
      <c r="G835" s="2"/>
      <c r="H835" s="41"/>
      <c r="I835" s="41"/>
      <c r="J835" s="41"/>
      <c r="K835" s="41"/>
      <c r="L835" s="41"/>
      <c r="M835" s="41"/>
      <c r="N835" s="41"/>
      <c r="O835" s="41"/>
      <c r="P835" s="52"/>
      <c r="Q835" s="2"/>
    </row>
    <row r="836" customFormat="false" ht="12.75" hidden="false" customHeight="true" outlineLevel="0" collapsed="false">
      <c r="C836" s="70"/>
      <c r="G836" s="2"/>
      <c r="H836" s="41"/>
      <c r="I836" s="41"/>
      <c r="J836" s="41"/>
      <c r="K836" s="41"/>
      <c r="L836" s="41"/>
      <c r="M836" s="41"/>
      <c r="N836" s="41"/>
      <c r="O836" s="41"/>
      <c r="P836" s="52"/>
      <c r="Q836" s="2"/>
    </row>
    <row r="837" customFormat="false" ht="12.75" hidden="false" customHeight="true" outlineLevel="0" collapsed="false">
      <c r="C837" s="70"/>
      <c r="G837" s="2"/>
      <c r="H837" s="41"/>
      <c r="I837" s="41"/>
      <c r="J837" s="41"/>
      <c r="K837" s="41"/>
      <c r="L837" s="41"/>
      <c r="M837" s="41"/>
      <c r="N837" s="41"/>
      <c r="O837" s="41"/>
      <c r="P837" s="52"/>
      <c r="Q837" s="2"/>
    </row>
    <row r="838" customFormat="false" ht="12.75" hidden="false" customHeight="true" outlineLevel="0" collapsed="false">
      <c r="C838" s="70"/>
      <c r="G838" s="2"/>
      <c r="H838" s="41"/>
      <c r="I838" s="41"/>
      <c r="J838" s="41"/>
      <c r="K838" s="41"/>
      <c r="L838" s="41"/>
      <c r="M838" s="41"/>
      <c r="N838" s="41"/>
      <c r="O838" s="41"/>
      <c r="P838" s="52"/>
      <c r="Q838" s="2"/>
    </row>
    <row r="839" customFormat="false" ht="12.75" hidden="false" customHeight="true" outlineLevel="0" collapsed="false">
      <c r="C839" s="70"/>
      <c r="G839" s="2"/>
      <c r="H839" s="41"/>
      <c r="I839" s="41"/>
      <c r="J839" s="41"/>
      <c r="K839" s="41"/>
      <c r="L839" s="41"/>
      <c r="M839" s="41"/>
      <c r="N839" s="41"/>
      <c r="O839" s="41"/>
      <c r="P839" s="52"/>
      <c r="Q839" s="2"/>
    </row>
    <row r="840" customFormat="false" ht="12.75" hidden="false" customHeight="true" outlineLevel="0" collapsed="false">
      <c r="C840" s="70"/>
      <c r="G840" s="2"/>
      <c r="H840" s="41"/>
      <c r="I840" s="41"/>
      <c r="J840" s="41"/>
      <c r="K840" s="41"/>
      <c r="L840" s="41"/>
      <c r="M840" s="41"/>
      <c r="N840" s="41"/>
      <c r="O840" s="41"/>
      <c r="P840" s="52"/>
      <c r="Q840" s="2"/>
    </row>
    <row r="841" customFormat="false" ht="12.75" hidden="false" customHeight="true" outlineLevel="0" collapsed="false">
      <c r="C841" s="70"/>
      <c r="G841" s="2"/>
      <c r="H841" s="41"/>
      <c r="I841" s="41"/>
      <c r="J841" s="41"/>
      <c r="K841" s="41"/>
      <c r="L841" s="41"/>
      <c r="M841" s="41"/>
      <c r="N841" s="41"/>
      <c r="O841" s="41"/>
      <c r="P841" s="52"/>
      <c r="Q841" s="2"/>
    </row>
    <row r="842" customFormat="false" ht="12.75" hidden="false" customHeight="true" outlineLevel="0" collapsed="false">
      <c r="C842" s="70"/>
      <c r="G842" s="2"/>
      <c r="H842" s="41"/>
      <c r="I842" s="41"/>
      <c r="J842" s="41"/>
      <c r="K842" s="41"/>
      <c r="L842" s="41"/>
      <c r="M842" s="41"/>
      <c r="N842" s="41"/>
      <c r="O842" s="41"/>
      <c r="P842" s="52"/>
      <c r="Q842" s="2"/>
    </row>
    <row r="843" customFormat="false" ht="12.75" hidden="false" customHeight="true" outlineLevel="0" collapsed="false">
      <c r="C843" s="70"/>
      <c r="G843" s="2"/>
      <c r="H843" s="41"/>
      <c r="I843" s="41"/>
      <c r="J843" s="41"/>
      <c r="K843" s="41"/>
      <c r="L843" s="41"/>
      <c r="M843" s="41"/>
      <c r="N843" s="41"/>
      <c r="O843" s="41"/>
      <c r="P843" s="52"/>
      <c r="Q843" s="2"/>
    </row>
    <row r="844" customFormat="false" ht="12.75" hidden="false" customHeight="true" outlineLevel="0" collapsed="false">
      <c r="C844" s="70"/>
      <c r="G844" s="2"/>
      <c r="H844" s="41"/>
      <c r="I844" s="41"/>
      <c r="J844" s="41"/>
      <c r="K844" s="41"/>
      <c r="L844" s="41"/>
      <c r="M844" s="41"/>
      <c r="N844" s="41"/>
      <c r="O844" s="41"/>
      <c r="P844" s="52"/>
      <c r="Q844" s="2"/>
    </row>
    <row r="845" customFormat="false" ht="12.75" hidden="false" customHeight="true" outlineLevel="0" collapsed="false">
      <c r="C845" s="70"/>
      <c r="G845" s="2"/>
      <c r="H845" s="41"/>
      <c r="I845" s="41"/>
      <c r="J845" s="41"/>
      <c r="K845" s="41"/>
      <c r="L845" s="41"/>
      <c r="M845" s="41"/>
      <c r="N845" s="41"/>
      <c r="O845" s="41"/>
      <c r="P845" s="52"/>
      <c r="Q845" s="2"/>
    </row>
    <row r="846" customFormat="false" ht="12.75" hidden="false" customHeight="true" outlineLevel="0" collapsed="false">
      <c r="C846" s="70"/>
      <c r="G846" s="2"/>
      <c r="H846" s="41"/>
      <c r="I846" s="41"/>
      <c r="J846" s="41"/>
      <c r="K846" s="41"/>
      <c r="L846" s="41"/>
      <c r="M846" s="41"/>
      <c r="N846" s="41"/>
      <c r="O846" s="41"/>
      <c r="P846" s="52"/>
      <c r="Q846" s="2"/>
    </row>
    <row r="847" customFormat="false" ht="12.75" hidden="false" customHeight="true" outlineLevel="0" collapsed="false">
      <c r="C847" s="70"/>
      <c r="G847" s="2"/>
      <c r="H847" s="41"/>
      <c r="I847" s="41"/>
      <c r="J847" s="41"/>
      <c r="K847" s="41"/>
      <c r="L847" s="41"/>
      <c r="M847" s="41"/>
      <c r="N847" s="41"/>
      <c r="O847" s="41"/>
      <c r="P847" s="52"/>
      <c r="Q847" s="2"/>
    </row>
    <row r="848" customFormat="false" ht="12.75" hidden="false" customHeight="true" outlineLevel="0" collapsed="false">
      <c r="C848" s="70"/>
      <c r="G848" s="2"/>
      <c r="H848" s="41"/>
      <c r="I848" s="41"/>
      <c r="J848" s="41"/>
      <c r="K848" s="41"/>
      <c r="L848" s="41"/>
      <c r="M848" s="41"/>
      <c r="N848" s="41"/>
      <c r="O848" s="41"/>
      <c r="P848" s="52"/>
      <c r="Q848" s="2"/>
    </row>
    <row r="849" customFormat="false" ht="12.75" hidden="false" customHeight="true" outlineLevel="0" collapsed="false">
      <c r="C849" s="70"/>
      <c r="G849" s="2"/>
      <c r="H849" s="41"/>
      <c r="I849" s="41"/>
      <c r="J849" s="41"/>
      <c r="K849" s="41"/>
      <c r="L849" s="41"/>
      <c r="M849" s="41"/>
      <c r="N849" s="41"/>
      <c r="O849" s="41"/>
      <c r="P849" s="52"/>
      <c r="Q849" s="2"/>
    </row>
    <row r="850" customFormat="false" ht="12.75" hidden="false" customHeight="true" outlineLevel="0" collapsed="false">
      <c r="C850" s="70"/>
      <c r="G850" s="2"/>
      <c r="H850" s="41"/>
      <c r="I850" s="41"/>
      <c r="J850" s="41"/>
      <c r="K850" s="41"/>
      <c r="L850" s="41"/>
      <c r="M850" s="41"/>
      <c r="N850" s="41"/>
      <c r="O850" s="41"/>
      <c r="P850" s="52"/>
      <c r="Q850" s="2"/>
    </row>
    <row r="851" customFormat="false" ht="12.75" hidden="false" customHeight="true" outlineLevel="0" collapsed="false">
      <c r="C851" s="70"/>
      <c r="G851" s="2"/>
      <c r="H851" s="41"/>
      <c r="I851" s="41"/>
      <c r="J851" s="41"/>
      <c r="K851" s="41"/>
      <c r="L851" s="41"/>
      <c r="M851" s="41"/>
      <c r="N851" s="41"/>
      <c r="O851" s="41"/>
      <c r="P851" s="52"/>
      <c r="Q851" s="2"/>
    </row>
    <row r="852" customFormat="false" ht="12.75" hidden="false" customHeight="true" outlineLevel="0" collapsed="false">
      <c r="C852" s="70"/>
      <c r="G852" s="2"/>
      <c r="H852" s="41"/>
      <c r="I852" s="41"/>
      <c r="J852" s="41"/>
      <c r="K852" s="41"/>
      <c r="L852" s="41"/>
      <c r="M852" s="41"/>
      <c r="N852" s="41"/>
      <c r="O852" s="41"/>
      <c r="P852" s="52"/>
      <c r="Q852" s="2"/>
    </row>
    <row r="853" customFormat="false" ht="12.75" hidden="false" customHeight="true" outlineLevel="0" collapsed="false">
      <c r="C853" s="70"/>
      <c r="G853" s="2"/>
      <c r="H853" s="41"/>
      <c r="I853" s="41"/>
      <c r="J853" s="41"/>
      <c r="K853" s="41"/>
      <c r="L853" s="41"/>
      <c r="M853" s="41"/>
      <c r="N853" s="41"/>
      <c r="O853" s="41"/>
      <c r="P853" s="52"/>
      <c r="Q853" s="2"/>
    </row>
    <row r="854" customFormat="false" ht="12.75" hidden="false" customHeight="true" outlineLevel="0" collapsed="false">
      <c r="C854" s="70"/>
      <c r="G854" s="2"/>
      <c r="H854" s="41"/>
      <c r="I854" s="41"/>
      <c r="J854" s="41"/>
      <c r="K854" s="41"/>
      <c r="L854" s="41"/>
      <c r="M854" s="41"/>
      <c r="N854" s="41"/>
      <c r="O854" s="41"/>
      <c r="P854" s="52"/>
      <c r="Q854" s="2"/>
    </row>
    <row r="855" customFormat="false" ht="12.75" hidden="false" customHeight="true" outlineLevel="0" collapsed="false">
      <c r="C855" s="70"/>
      <c r="G855" s="2"/>
      <c r="H855" s="41"/>
      <c r="I855" s="41"/>
      <c r="J855" s="41"/>
      <c r="K855" s="41"/>
      <c r="L855" s="41"/>
      <c r="M855" s="41"/>
      <c r="N855" s="41"/>
      <c r="O855" s="41"/>
      <c r="P855" s="52"/>
      <c r="Q855" s="2"/>
    </row>
    <row r="856" customFormat="false" ht="12.75" hidden="false" customHeight="true" outlineLevel="0" collapsed="false">
      <c r="C856" s="70"/>
      <c r="G856" s="2"/>
      <c r="H856" s="41"/>
      <c r="I856" s="41"/>
      <c r="J856" s="41"/>
      <c r="K856" s="41"/>
      <c r="L856" s="41"/>
      <c r="M856" s="41"/>
      <c r="N856" s="41"/>
      <c r="O856" s="41"/>
      <c r="P856" s="52"/>
      <c r="Q856" s="2"/>
    </row>
    <row r="857" customFormat="false" ht="12.75" hidden="false" customHeight="true" outlineLevel="0" collapsed="false">
      <c r="C857" s="70"/>
      <c r="G857" s="2"/>
      <c r="H857" s="41"/>
      <c r="I857" s="41"/>
      <c r="J857" s="41"/>
      <c r="K857" s="41"/>
      <c r="L857" s="41"/>
      <c r="M857" s="41"/>
      <c r="N857" s="41"/>
      <c r="O857" s="41"/>
      <c r="P857" s="52"/>
      <c r="Q857" s="2"/>
    </row>
    <row r="858" customFormat="false" ht="12.75" hidden="false" customHeight="true" outlineLevel="0" collapsed="false">
      <c r="C858" s="70"/>
      <c r="G858" s="2"/>
      <c r="H858" s="41"/>
      <c r="I858" s="41"/>
      <c r="J858" s="41"/>
      <c r="K858" s="41"/>
      <c r="L858" s="41"/>
      <c r="M858" s="41"/>
      <c r="N858" s="41"/>
      <c r="O858" s="41"/>
      <c r="P858" s="52"/>
      <c r="Q858" s="2"/>
    </row>
    <row r="859" customFormat="false" ht="12.75" hidden="false" customHeight="true" outlineLevel="0" collapsed="false">
      <c r="C859" s="70"/>
      <c r="G859" s="2"/>
      <c r="H859" s="41"/>
      <c r="I859" s="41"/>
      <c r="J859" s="41"/>
      <c r="K859" s="41"/>
      <c r="L859" s="41"/>
      <c r="M859" s="41"/>
      <c r="N859" s="41"/>
      <c r="O859" s="41"/>
      <c r="P859" s="52"/>
      <c r="Q859" s="2"/>
    </row>
    <row r="860" customFormat="false" ht="12.75" hidden="false" customHeight="true" outlineLevel="0" collapsed="false">
      <c r="C860" s="70"/>
      <c r="G860" s="2"/>
      <c r="H860" s="41"/>
      <c r="I860" s="41"/>
      <c r="J860" s="41"/>
      <c r="K860" s="41"/>
      <c r="L860" s="41"/>
      <c r="M860" s="41"/>
      <c r="N860" s="41"/>
      <c r="O860" s="41"/>
      <c r="P860" s="52"/>
      <c r="Q860" s="2"/>
    </row>
    <row r="861" customFormat="false" ht="12.75" hidden="false" customHeight="true" outlineLevel="0" collapsed="false">
      <c r="C861" s="70"/>
      <c r="G861" s="2"/>
      <c r="H861" s="41"/>
      <c r="I861" s="41"/>
      <c r="J861" s="41"/>
      <c r="K861" s="41"/>
      <c r="L861" s="41"/>
      <c r="M861" s="41"/>
      <c r="N861" s="41"/>
      <c r="O861" s="41"/>
      <c r="P861" s="52"/>
      <c r="Q861" s="2"/>
    </row>
    <row r="862" customFormat="false" ht="12.75" hidden="false" customHeight="true" outlineLevel="0" collapsed="false">
      <c r="C862" s="70"/>
      <c r="G862" s="2"/>
      <c r="H862" s="41"/>
      <c r="I862" s="41"/>
      <c r="J862" s="41"/>
      <c r="K862" s="41"/>
      <c r="L862" s="41"/>
      <c r="M862" s="41"/>
      <c r="N862" s="41"/>
      <c r="O862" s="41"/>
      <c r="P862" s="52"/>
      <c r="Q862" s="2"/>
    </row>
    <row r="863" customFormat="false" ht="12.75" hidden="false" customHeight="true" outlineLevel="0" collapsed="false">
      <c r="C863" s="70"/>
      <c r="G863" s="2"/>
      <c r="H863" s="41"/>
      <c r="I863" s="41"/>
      <c r="J863" s="41"/>
      <c r="K863" s="41"/>
      <c r="L863" s="41"/>
      <c r="M863" s="41"/>
      <c r="N863" s="41"/>
      <c r="O863" s="41"/>
      <c r="P863" s="52"/>
      <c r="Q863" s="2"/>
    </row>
    <row r="864" customFormat="false" ht="12.75" hidden="false" customHeight="true" outlineLevel="0" collapsed="false">
      <c r="C864" s="70"/>
      <c r="G864" s="2"/>
      <c r="H864" s="41"/>
      <c r="I864" s="41"/>
      <c r="J864" s="41"/>
      <c r="K864" s="41"/>
      <c r="L864" s="41"/>
      <c r="M864" s="41"/>
      <c r="N864" s="41"/>
      <c r="O864" s="41"/>
      <c r="P864" s="52"/>
      <c r="Q864" s="2"/>
    </row>
    <row r="865" customFormat="false" ht="12.75" hidden="false" customHeight="true" outlineLevel="0" collapsed="false">
      <c r="C865" s="70"/>
      <c r="G865" s="2"/>
      <c r="H865" s="41"/>
      <c r="I865" s="41"/>
      <c r="J865" s="41"/>
      <c r="K865" s="41"/>
      <c r="L865" s="41"/>
      <c r="M865" s="41"/>
      <c r="N865" s="41"/>
      <c r="O865" s="41"/>
      <c r="P865" s="52"/>
      <c r="Q865" s="2"/>
    </row>
    <row r="866" customFormat="false" ht="12.75" hidden="false" customHeight="true" outlineLevel="0" collapsed="false">
      <c r="C866" s="70"/>
      <c r="G866" s="2"/>
      <c r="H866" s="41"/>
      <c r="I866" s="41"/>
      <c r="J866" s="41"/>
      <c r="K866" s="41"/>
      <c r="L866" s="41"/>
      <c r="M866" s="41"/>
      <c r="N866" s="41"/>
      <c r="O866" s="41"/>
      <c r="P866" s="52"/>
      <c r="Q866" s="2"/>
    </row>
    <row r="867" customFormat="false" ht="12.75" hidden="false" customHeight="true" outlineLevel="0" collapsed="false">
      <c r="C867" s="70"/>
      <c r="G867" s="2"/>
      <c r="H867" s="41"/>
      <c r="I867" s="41"/>
      <c r="J867" s="41"/>
      <c r="K867" s="41"/>
      <c r="L867" s="41"/>
      <c r="M867" s="41"/>
      <c r="N867" s="41"/>
      <c r="O867" s="41"/>
      <c r="P867" s="52"/>
      <c r="Q867" s="2"/>
    </row>
    <row r="868" customFormat="false" ht="12.75" hidden="false" customHeight="true" outlineLevel="0" collapsed="false">
      <c r="C868" s="70"/>
      <c r="G868" s="2"/>
      <c r="H868" s="41"/>
      <c r="I868" s="41"/>
      <c r="J868" s="41"/>
      <c r="K868" s="41"/>
      <c r="L868" s="41"/>
      <c r="M868" s="41"/>
      <c r="N868" s="41"/>
      <c r="O868" s="41"/>
      <c r="P868" s="52"/>
      <c r="Q868" s="2"/>
    </row>
    <row r="869" customFormat="false" ht="12.75" hidden="false" customHeight="true" outlineLevel="0" collapsed="false">
      <c r="C869" s="70"/>
      <c r="G869" s="2"/>
      <c r="H869" s="41"/>
      <c r="I869" s="41"/>
      <c r="J869" s="41"/>
      <c r="K869" s="41"/>
      <c r="L869" s="41"/>
      <c r="M869" s="41"/>
      <c r="N869" s="41"/>
      <c r="O869" s="41"/>
      <c r="P869" s="52"/>
      <c r="Q869" s="2"/>
    </row>
    <row r="870" customFormat="false" ht="12.75" hidden="false" customHeight="true" outlineLevel="0" collapsed="false">
      <c r="C870" s="70"/>
      <c r="G870" s="2"/>
      <c r="H870" s="41"/>
      <c r="I870" s="41"/>
      <c r="J870" s="41"/>
      <c r="K870" s="41"/>
      <c r="L870" s="41"/>
      <c r="M870" s="41"/>
      <c r="N870" s="41"/>
      <c r="O870" s="41"/>
      <c r="P870" s="52"/>
      <c r="Q870" s="2"/>
    </row>
    <row r="871" customFormat="false" ht="12.75" hidden="false" customHeight="true" outlineLevel="0" collapsed="false">
      <c r="C871" s="70"/>
      <c r="G871" s="2"/>
      <c r="H871" s="41"/>
      <c r="I871" s="41"/>
      <c r="J871" s="41"/>
      <c r="K871" s="41"/>
      <c r="L871" s="41"/>
      <c r="M871" s="41"/>
      <c r="N871" s="41"/>
      <c r="O871" s="41"/>
      <c r="P871" s="52"/>
      <c r="Q871" s="2"/>
    </row>
    <row r="872" customFormat="false" ht="12.75" hidden="false" customHeight="true" outlineLevel="0" collapsed="false">
      <c r="C872" s="70"/>
      <c r="G872" s="2"/>
      <c r="H872" s="41"/>
      <c r="I872" s="41"/>
      <c r="J872" s="41"/>
      <c r="K872" s="41"/>
      <c r="L872" s="41"/>
      <c r="M872" s="41"/>
      <c r="N872" s="41"/>
      <c r="O872" s="41"/>
      <c r="P872" s="52"/>
      <c r="Q872" s="2"/>
    </row>
    <row r="873" customFormat="false" ht="12.75" hidden="false" customHeight="true" outlineLevel="0" collapsed="false">
      <c r="C873" s="70"/>
      <c r="G873" s="2"/>
      <c r="H873" s="41"/>
      <c r="I873" s="41"/>
      <c r="J873" s="41"/>
      <c r="K873" s="41"/>
      <c r="L873" s="41"/>
      <c r="M873" s="41"/>
      <c r="N873" s="41"/>
      <c r="O873" s="41"/>
      <c r="P873" s="52"/>
      <c r="Q873" s="2"/>
    </row>
    <row r="874" customFormat="false" ht="12.75" hidden="false" customHeight="true" outlineLevel="0" collapsed="false">
      <c r="C874" s="70"/>
      <c r="G874" s="2"/>
      <c r="H874" s="41"/>
      <c r="I874" s="41"/>
      <c r="J874" s="41"/>
      <c r="K874" s="41"/>
      <c r="L874" s="41"/>
      <c r="M874" s="41"/>
      <c r="N874" s="41"/>
      <c r="O874" s="41"/>
      <c r="P874" s="52"/>
      <c r="Q874" s="2"/>
    </row>
    <row r="875" customFormat="false" ht="12.75" hidden="false" customHeight="true" outlineLevel="0" collapsed="false">
      <c r="C875" s="70"/>
      <c r="G875" s="2"/>
      <c r="H875" s="41"/>
      <c r="I875" s="41"/>
      <c r="J875" s="41"/>
      <c r="K875" s="41"/>
      <c r="L875" s="41"/>
      <c r="M875" s="41"/>
      <c r="N875" s="41"/>
      <c r="O875" s="41"/>
      <c r="P875" s="52"/>
      <c r="Q875" s="2"/>
    </row>
    <row r="876" customFormat="false" ht="12.75" hidden="false" customHeight="true" outlineLevel="0" collapsed="false">
      <c r="C876" s="70"/>
      <c r="G876" s="2"/>
      <c r="H876" s="41"/>
      <c r="I876" s="41"/>
      <c r="J876" s="41"/>
      <c r="K876" s="41"/>
      <c r="L876" s="41"/>
      <c r="M876" s="41"/>
      <c r="N876" s="41"/>
      <c r="O876" s="41"/>
      <c r="P876" s="52"/>
      <c r="Q876" s="2"/>
    </row>
    <row r="877" customFormat="false" ht="12.75" hidden="false" customHeight="true" outlineLevel="0" collapsed="false">
      <c r="C877" s="70"/>
      <c r="G877" s="2"/>
      <c r="H877" s="41"/>
      <c r="I877" s="41"/>
      <c r="J877" s="41"/>
      <c r="K877" s="41"/>
      <c r="L877" s="41"/>
      <c r="M877" s="41"/>
      <c r="N877" s="41"/>
      <c r="O877" s="41"/>
      <c r="P877" s="52"/>
      <c r="Q877" s="2"/>
    </row>
    <row r="878" customFormat="false" ht="12.75" hidden="false" customHeight="true" outlineLevel="0" collapsed="false">
      <c r="C878" s="70"/>
      <c r="G878" s="2"/>
      <c r="H878" s="41"/>
      <c r="I878" s="41"/>
      <c r="J878" s="41"/>
      <c r="K878" s="41"/>
      <c r="L878" s="41"/>
      <c r="M878" s="41"/>
      <c r="N878" s="41"/>
      <c r="O878" s="41"/>
      <c r="P878" s="52"/>
      <c r="Q878" s="2"/>
    </row>
    <row r="879" customFormat="false" ht="12.75" hidden="false" customHeight="true" outlineLevel="0" collapsed="false">
      <c r="C879" s="70"/>
      <c r="G879" s="2"/>
      <c r="H879" s="41"/>
      <c r="I879" s="41"/>
      <c r="J879" s="41"/>
      <c r="K879" s="41"/>
      <c r="L879" s="41"/>
      <c r="M879" s="41"/>
      <c r="N879" s="41"/>
      <c r="O879" s="41"/>
      <c r="P879" s="52"/>
      <c r="Q879" s="2"/>
    </row>
    <row r="880" customFormat="false" ht="12.75" hidden="false" customHeight="true" outlineLevel="0" collapsed="false">
      <c r="C880" s="70"/>
      <c r="G880" s="2"/>
      <c r="H880" s="41"/>
      <c r="I880" s="41"/>
      <c r="J880" s="41"/>
      <c r="K880" s="41"/>
      <c r="L880" s="41"/>
      <c r="M880" s="41"/>
      <c r="N880" s="41"/>
      <c r="O880" s="41"/>
      <c r="P880" s="52"/>
      <c r="Q880" s="2"/>
    </row>
    <row r="881" customFormat="false" ht="12.75" hidden="false" customHeight="true" outlineLevel="0" collapsed="false">
      <c r="C881" s="70"/>
      <c r="G881" s="2"/>
      <c r="H881" s="41"/>
      <c r="I881" s="41"/>
      <c r="J881" s="41"/>
      <c r="K881" s="41"/>
      <c r="L881" s="41"/>
      <c r="M881" s="41"/>
      <c r="N881" s="41"/>
      <c r="O881" s="41"/>
      <c r="P881" s="52"/>
      <c r="Q881" s="2"/>
    </row>
    <row r="882" customFormat="false" ht="12.75" hidden="false" customHeight="true" outlineLevel="0" collapsed="false">
      <c r="C882" s="70"/>
      <c r="G882" s="2"/>
      <c r="H882" s="41"/>
      <c r="I882" s="41"/>
      <c r="J882" s="41"/>
      <c r="K882" s="41"/>
      <c r="L882" s="41"/>
      <c r="M882" s="41"/>
      <c r="N882" s="41"/>
      <c r="O882" s="41"/>
      <c r="P882" s="52"/>
      <c r="Q882" s="2"/>
    </row>
    <row r="883" customFormat="false" ht="12.75" hidden="false" customHeight="true" outlineLevel="0" collapsed="false">
      <c r="C883" s="70"/>
      <c r="G883" s="2"/>
      <c r="H883" s="41"/>
      <c r="I883" s="41"/>
      <c r="J883" s="41"/>
      <c r="K883" s="41"/>
      <c r="L883" s="41"/>
      <c r="M883" s="41"/>
      <c r="N883" s="41"/>
      <c r="O883" s="41"/>
      <c r="P883" s="52"/>
      <c r="Q883" s="2"/>
    </row>
    <row r="884" customFormat="false" ht="12.75" hidden="false" customHeight="true" outlineLevel="0" collapsed="false">
      <c r="C884" s="70"/>
      <c r="G884" s="2"/>
      <c r="H884" s="41"/>
      <c r="I884" s="41"/>
      <c r="J884" s="41"/>
      <c r="K884" s="41"/>
      <c r="L884" s="41"/>
      <c r="M884" s="41"/>
      <c r="N884" s="41"/>
      <c r="O884" s="41"/>
      <c r="P884" s="52"/>
      <c r="Q884" s="2"/>
    </row>
    <row r="885" customFormat="false" ht="12.75" hidden="false" customHeight="true" outlineLevel="0" collapsed="false">
      <c r="C885" s="70"/>
      <c r="G885" s="2"/>
      <c r="H885" s="41"/>
      <c r="I885" s="41"/>
      <c r="J885" s="41"/>
      <c r="K885" s="41"/>
      <c r="L885" s="41"/>
      <c r="M885" s="41"/>
      <c r="N885" s="41"/>
      <c r="O885" s="41"/>
      <c r="P885" s="52"/>
      <c r="Q885" s="2"/>
    </row>
    <row r="886" customFormat="false" ht="12.75" hidden="false" customHeight="true" outlineLevel="0" collapsed="false">
      <c r="C886" s="70"/>
      <c r="G886" s="2"/>
      <c r="H886" s="41"/>
      <c r="I886" s="41"/>
      <c r="J886" s="41"/>
      <c r="K886" s="41"/>
      <c r="L886" s="41"/>
      <c r="M886" s="41"/>
      <c r="N886" s="41"/>
      <c r="O886" s="41"/>
      <c r="P886" s="52"/>
      <c r="Q886" s="2"/>
    </row>
    <row r="887" customFormat="false" ht="12.75" hidden="false" customHeight="true" outlineLevel="0" collapsed="false">
      <c r="C887" s="70"/>
      <c r="G887" s="2"/>
      <c r="H887" s="41"/>
      <c r="I887" s="41"/>
      <c r="J887" s="41"/>
      <c r="K887" s="41"/>
      <c r="L887" s="41"/>
      <c r="M887" s="41"/>
      <c r="N887" s="41"/>
      <c r="O887" s="41"/>
      <c r="P887" s="52"/>
      <c r="Q887" s="2"/>
    </row>
    <row r="888" customFormat="false" ht="12.75" hidden="false" customHeight="true" outlineLevel="0" collapsed="false">
      <c r="C888" s="70"/>
      <c r="G888" s="2"/>
      <c r="H888" s="41"/>
      <c r="I888" s="41"/>
      <c r="J888" s="41"/>
      <c r="K888" s="41"/>
      <c r="L888" s="41"/>
      <c r="M888" s="41"/>
      <c r="N888" s="41"/>
      <c r="O888" s="41"/>
      <c r="P888" s="52"/>
      <c r="Q888" s="2"/>
    </row>
    <row r="889" customFormat="false" ht="12.75" hidden="false" customHeight="true" outlineLevel="0" collapsed="false">
      <c r="C889" s="70"/>
      <c r="G889" s="2"/>
      <c r="H889" s="41"/>
      <c r="I889" s="41"/>
      <c r="J889" s="41"/>
      <c r="K889" s="41"/>
      <c r="L889" s="41"/>
      <c r="M889" s="41"/>
      <c r="N889" s="41"/>
      <c r="O889" s="41"/>
      <c r="P889" s="52"/>
      <c r="Q889" s="2"/>
    </row>
    <row r="890" customFormat="false" ht="12.75" hidden="false" customHeight="true" outlineLevel="0" collapsed="false">
      <c r="C890" s="70"/>
      <c r="G890" s="2"/>
      <c r="H890" s="41"/>
      <c r="I890" s="41"/>
      <c r="J890" s="41"/>
      <c r="K890" s="41"/>
      <c r="L890" s="41"/>
      <c r="M890" s="41"/>
      <c r="N890" s="41"/>
      <c r="O890" s="41"/>
      <c r="P890" s="52"/>
      <c r="Q890" s="2"/>
    </row>
    <row r="891" customFormat="false" ht="12.75" hidden="false" customHeight="true" outlineLevel="0" collapsed="false">
      <c r="C891" s="70"/>
      <c r="G891" s="2"/>
      <c r="H891" s="41"/>
      <c r="I891" s="41"/>
      <c r="J891" s="41"/>
      <c r="K891" s="41"/>
      <c r="L891" s="41"/>
      <c r="M891" s="41"/>
      <c r="N891" s="41"/>
      <c r="O891" s="41"/>
      <c r="P891" s="52"/>
      <c r="Q891" s="2"/>
    </row>
    <row r="892" customFormat="false" ht="12.75" hidden="false" customHeight="true" outlineLevel="0" collapsed="false">
      <c r="C892" s="70"/>
      <c r="G892" s="2"/>
      <c r="H892" s="41"/>
      <c r="I892" s="41"/>
      <c r="J892" s="41"/>
      <c r="K892" s="41"/>
      <c r="L892" s="41"/>
      <c r="M892" s="41"/>
      <c r="N892" s="41"/>
      <c r="O892" s="41"/>
      <c r="P892" s="52"/>
      <c r="Q892" s="2"/>
    </row>
    <row r="893" customFormat="false" ht="12.75" hidden="false" customHeight="true" outlineLevel="0" collapsed="false">
      <c r="C893" s="70"/>
      <c r="G893" s="2"/>
      <c r="H893" s="41"/>
      <c r="I893" s="41"/>
      <c r="J893" s="41"/>
      <c r="K893" s="41"/>
      <c r="L893" s="41"/>
      <c r="M893" s="41"/>
      <c r="N893" s="41"/>
      <c r="O893" s="41"/>
      <c r="P893" s="52"/>
      <c r="Q893" s="2"/>
    </row>
    <row r="894" customFormat="false" ht="12.75" hidden="false" customHeight="true" outlineLevel="0" collapsed="false">
      <c r="C894" s="70"/>
      <c r="G894" s="2"/>
      <c r="H894" s="41"/>
      <c r="I894" s="41"/>
      <c r="J894" s="41"/>
      <c r="K894" s="41"/>
      <c r="L894" s="41"/>
      <c r="M894" s="41"/>
      <c r="N894" s="41"/>
      <c r="O894" s="41"/>
      <c r="P894" s="52"/>
      <c r="Q894" s="2"/>
    </row>
    <row r="895" customFormat="false" ht="12.75" hidden="false" customHeight="true" outlineLevel="0" collapsed="false">
      <c r="C895" s="70"/>
      <c r="G895" s="2"/>
      <c r="H895" s="41"/>
      <c r="I895" s="41"/>
      <c r="J895" s="41"/>
      <c r="K895" s="41"/>
      <c r="L895" s="41"/>
      <c r="M895" s="41"/>
      <c r="N895" s="41"/>
      <c r="O895" s="41"/>
      <c r="P895" s="52"/>
      <c r="Q895" s="2"/>
    </row>
    <row r="896" customFormat="false" ht="12.75" hidden="false" customHeight="true" outlineLevel="0" collapsed="false">
      <c r="C896" s="70"/>
      <c r="G896" s="2"/>
      <c r="H896" s="41"/>
      <c r="I896" s="41"/>
      <c r="J896" s="41"/>
      <c r="K896" s="41"/>
      <c r="L896" s="41"/>
      <c r="M896" s="41"/>
      <c r="N896" s="41"/>
      <c r="O896" s="41"/>
      <c r="P896" s="52"/>
      <c r="Q896" s="2"/>
    </row>
    <row r="897" customFormat="false" ht="12.75" hidden="false" customHeight="true" outlineLevel="0" collapsed="false">
      <c r="C897" s="70"/>
      <c r="G897" s="2"/>
      <c r="H897" s="41"/>
      <c r="I897" s="41"/>
      <c r="J897" s="41"/>
      <c r="K897" s="41"/>
      <c r="L897" s="41"/>
      <c r="M897" s="41"/>
      <c r="N897" s="41"/>
      <c r="O897" s="41"/>
      <c r="P897" s="52"/>
      <c r="Q897" s="2"/>
    </row>
    <row r="898" customFormat="false" ht="12.75" hidden="false" customHeight="true" outlineLevel="0" collapsed="false">
      <c r="C898" s="70"/>
      <c r="G898" s="2"/>
      <c r="H898" s="41"/>
      <c r="I898" s="41"/>
      <c r="J898" s="41"/>
      <c r="K898" s="41"/>
      <c r="L898" s="41"/>
      <c r="M898" s="41"/>
      <c r="N898" s="41"/>
      <c r="O898" s="41"/>
      <c r="P898" s="52"/>
      <c r="Q898" s="2"/>
    </row>
    <row r="899" customFormat="false" ht="12.75" hidden="false" customHeight="true" outlineLevel="0" collapsed="false">
      <c r="C899" s="70"/>
      <c r="G899" s="2"/>
      <c r="H899" s="41"/>
      <c r="I899" s="41"/>
      <c r="J899" s="41"/>
      <c r="K899" s="41"/>
      <c r="L899" s="41"/>
      <c r="M899" s="41"/>
      <c r="N899" s="41"/>
      <c r="O899" s="41"/>
      <c r="P899" s="52"/>
      <c r="Q899" s="2"/>
    </row>
    <row r="900" customFormat="false" ht="12.75" hidden="false" customHeight="true" outlineLevel="0" collapsed="false">
      <c r="C900" s="70"/>
      <c r="G900" s="2"/>
      <c r="H900" s="41"/>
      <c r="I900" s="41"/>
      <c r="J900" s="41"/>
      <c r="K900" s="41"/>
      <c r="L900" s="41"/>
      <c r="M900" s="41"/>
      <c r="N900" s="41"/>
      <c r="O900" s="41"/>
      <c r="P900" s="52"/>
      <c r="Q900" s="2"/>
    </row>
    <row r="901" customFormat="false" ht="12.75" hidden="false" customHeight="true" outlineLevel="0" collapsed="false">
      <c r="C901" s="70"/>
      <c r="G901" s="2"/>
      <c r="H901" s="41"/>
      <c r="I901" s="41"/>
      <c r="J901" s="41"/>
      <c r="K901" s="41"/>
      <c r="L901" s="41"/>
      <c r="M901" s="41"/>
      <c r="N901" s="41"/>
      <c r="O901" s="41"/>
      <c r="P901" s="52"/>
      <c r="Q901" s="2"/>
    </row>
    <row r="902" customFormat="false" ht="12.75" hidden="false" customHeight="true" outlineLevel="0" collapsed="false">
      <c r="C902" s="70"/>
      <c r="G902" s="2"/>
      <c r="H902" s="41"/>
      <c r="I902" s="41"/>
      <c r="J902" s="41"/>
      <c r="K902" s="41"/>
      <c r="L902" s="41"/>
      <c r="M902" s="41"/>
      <c r="N902" s="41"/>
      <c r="O902" s="41"/>
      <c r="P902" s="52"/>
      <c r="Q902" s="2"/>
    </row>
    <row r="903" customFormat="false" ht="12.75" hidden="false" customHeight="true" outlineLevel="0" collapsed="false">
      <c r="C903" s="70"/>
      <c r="G903" s="2"/>
      <c r="H903" s="41"/>
      <c r="I903" s="41"/>
      <c r="J903" s="41"/>
      <c r="K903" s="41"/>
      <c r="L903" s="41"/>
      <c r="M903" s="41"/>
      <c r="N903" s="41"/>
      <c r="O903" s="41"/>
      <c r="P903" s="52"/>
      <c r="Q903" s="2"/>
    </row>
    <row r="904" customFormat="false" ht="12.75" hidden="false" customHeight="true" outlineLevel="0" collapsed="false">
      <c r="C904" s="70"/>
      <c r="G904" s="2"/>
      <c r="H904" s="41"/>
      <c r="I904" s="41"/>
      <c r="J904" s="41"/>
      <c r="K904" s="41"/>
      <c r="L904" s="41"/>
      <c r="M904" s="41"/>
      <c r="N904" s="41"/>
      <c r="O904" s="41"/>
      <c r="P904" s="52"/>
      <c r="Q904" s="2"/>
    </row>
    <row r="905" customFormat="false" ht="12.75" hidden="false" customHeight="true" outlineLevel="0" collapsed="false">
      <c r="C905" s="70"/>
      <c r="G905" s="2"/>
      <c r="H905" s="41"/>
      <c r="I905" s="41"/>
      <c r="J905" s="41"/>
      <c r="K905" s="41"/>
      <c r="L905" s="41"/>
      <c r="M905" s="41"/>
      <c r="N905" s="41"/>
      <c r="O905" s="41"/>
      <c r="P905" s="52"/>
      <c r="Q905" s="2"/>
    </row>
    <row r="906" customFormat="false" ht="12.75" hidden="false" customHeight="true" outlineLevel="0" collapsed="false">
      <c r="C906" s="70"/>
      <c r="G906" s="2"/>
      <c r="H906" s="41"/>
      <c r="I906" s="41"/>
      <c r="J906" s="41"/>
      <c r="K906" s="41"/>
      <c r="L906" s="41"/>
      <c r="M906" s="41"/>
      <c r="N906" s="41"/>
      <c r="O906" s="41"/>
      <c r="P906" s="52"/>
      <c r="Q906" s="2"/>
    </row>
    <row r="907" customFormat="false" ht="12.75" hidden="false" customHeight="true" outlineLevel="0" collapsed="false">
      <c r="C907" s="70"/>
      <c r="G907" s="2"/>
      <c r="H907" s="41"/>
      <c r="I907" s="41"/>
      <c r="J907" s="41"/>
      <c r="K907" s="41"/>
      <c r="L907" s="41"/>
      <c r="M907" s="41"/>
      <c r="N907" s="41"/>
      <c r="O907" s="41"/>
      <c r="P907" s="52"/>
      <c r="Q907" s="2"/>
    </row>
    <row r="908" customFormat="false" ht="12.75" hidden="false" customHeight="true" outlineLevel="0" collapsed="false">
      <c r="C908" s="70"/>
      <c r="G908" s="2"/>
      <c r="H908" s="41"/>
      <c r="I908" s="41"/>
      <c r="J908" s="41"/>
      <c r="K908" s="41"/>
      <c r="L908" s="41"/>
      <c r="M908" s="41"/>
      <c r="N908" s="41"/>
      <c r="O908" s="41"/>
      <c r="P908" s="52"/>
      <c r="Q908" s="2"/>
    </row>
    <row r="909" customFormat="false" ht="12.75" hidden="false" customHeight="true" outlineLevel="0" collapsed="false">
      <c r="C909" s="70"/>
      <c r="G909" s="2"/>
      <c r="H909" s="41"/>
      <c r="I909" s="41"/>
      <c r="J909" s="41"/>
      <c r="K909" s="41"/>
      <c r="L909" s="41"/>
      <c r="M909" s="41"/>
      <c r="N909" s="41"/>
      <c r="O909" s="41"/>
      <c r="P909" s="52"/>
      <c r="Q909" s="2"/>
    </row>
    <row r="910" customFormat="false" ht="12.75" hidden="false" customHeight="true" outlineLevel="0" collapsed="false">
      <c r="C910" s="70"/>
      <c r="G910" s="2"/>
      <c r="H910" s="41"/>
      <c r="I910" s="41"/>
      <c r="J910" s="41"/>
      <c r="K910" s="41"/>
      <c r="L910" s="41"/>
      <c r="M910" s="41"/>
      <c r="N910" s="41"/>
      <c r="O910" s="41"/>
      <c r="P910" s="52"/>
      <c r="Q910" s="2"/>
    </row>
    <row r="911" customFormat="false" ht="12.75" hidden="false" customHeight="true" outlineLevel="0" collapsed="false">
      <c r="C911" s="70"/>
      <c r="G911" s="2"/>
      <c r="H911" s="41"/>
      <c r="I911" s="41"/>
      <c r="J911" s="41"/>
      <c r="K911" s="41"/>
      <c r="L911" s="41"/>
      <c r="M911" s="41"/>
      <c r="N911" s="41"/>
      <c r="O911" s="41"/>
      <c r="P911" s="52"/>
      <c r="Q911" s="2"/>
    </row>
    <row r="912" customFormat="false" ht="12.75" hidden="false" customHeight="true" outlineLevel="0" collapsed="false">
      <c r="C912" s="70"/>
      <c r="G912" s="2"/>
      <c r="H912" s="41"/>
      <c r="I912" s="41"/>
      <c r="J912" s="41"/>
      <c r="K912" s="41"/>
      <c r="L912" s="41"/>
      <c r="M912" s="41"/>
      <c r="N912" s="41"/>
      <c r="O912" s="41"/>
      <c r="P912" s="52"/>
      <c r="Q912" s="2"/>
    </row>
    <row r="913" customFormat="false" ht="12.75" hidden="false" customHeight="true" outlineLevel="0" collapsed="false">
      <c r="C913" s="70"/>
      <c r="G913" s="2"/>
      <c r="H913" s="41"/>
      <c r="I913" s="41"/>
      <c r="J913" s="41"/>
      <c r="K913" s="41"/>
      <c r="L913" s="41"/>
      <c r="M913" s="41"/>
      <c r="N913" s="41"/>
      <c r="O913" s="41"/>
      <c r="P913" s="52"/>
      <c r="Q913" s="2"/>
    </row>
    <row r="914" customFormat="false" ht="12.75" hidden="false" customHeight="true" outlineLevel="0" collapsed="false">
      <c r="C914" s="70"/>
      <c r="G914" s="2"/>
      <c r="H914" s="41"/>
      <c r="I914" s="41"/>
      <c r="J914" s="41"/>
      <c r="K914" s="41"/>
      <c r="L914" s="41"/>
      <c r="M914" s="41"/>
      <c r="N914" s="41"/>
      <c r="O914" s="41"/>
      <c r="P914" s="52"/>
      <c r="Q914" s="2"/>
    </row>
    <row r="915" customFormat="false" ht="12.75" hidden="false" customHeight="true" outlineLevel="0" collapsed="false">
      <c r="C915" s="70"/>
      <c r="G915" s="2"/>
      <c r="H915" s="41"/>
      <c r="I915" s="41"/>
      <c r="J915" s="41"/>
      <c r="K915" s="41"/>
      <c r="L915" s="41"/>
      <c r="M915" s="41"/>
      <c r="N915" s="41"/>
      <c r="O915" s="41"/>
      <c r="P915" s="52"/>
      <c r="Q915" s="2"/>
    </row>
    <row r="916" customFormat="false" ht="12.75" hidden="false" customHeight="true" outlineLevel="0" collapsed="false">
      <c r="C916" s="70"/>
      <c r="G916" s="2"/>
      <c r="H916" s="41"/>
      <c r="I916" s="41"/>
      <c r="J916" s="41"/>
      <c r="K916" s="41"/>
      <c r="L916" s="41"/>
      <c r="M916" s="41"/>
      <c r="N916" s="41"/>
      <c r="O916" s="41"/>
      <c r="P916" s="52"/>
      <c r="Q916" s="2"/>
    </row>
    <row r="917" customFormat="false" ht="12.75" hidden="false" customHeight="true" outlineLevel="0" collapsed="false">
      <c r="C917" s="70"/>
      <c r="G917" s="2"/>
      <c r="H917" s="41"/>
      <c r="I917" s="41"/>
      <c r="J917" s="41"/>
      <c r="K917" s="41"/>
      <c r="L917" s="41"/>
      <c r="M917" s="41"/>
      <c r="N917" s="41"/>
      <c r="O917" s="41"/>
      <c r="P917" s="52"/>
      <c r="Q917" s="2"/>
    </row>
    <row r="918" customFormat="false" ht="12.75" hidden="false" customHeight="true" outlineLevel="0" collapsed="false">
      <c r="C918" s="70"/>
      <c r="G918" s="2"/>
      <c r="H918" s="41"/>
      <c r="I918" s="41"/>
      <c r="J918" s="41"/>
      <c r="K918" s="41"/>
      <c r="L918" s="41"/>
      <c r="M918" s="41"/>
      <c r="N918" s="41"/>
      <c r="O918" s="41"/>
      <c r="P918" s="52"/>
      <c r="Q918" s="2"/>
    </row>
    <row r="919" customFormat="false" ht="12.75" hidden="false" customHeight="true" outlineLevel="0" collapsed="false">
      <c r="C919" s="70"/>
      <c r="G919" s="2"/>
      <c r="H919" s="41"/>
      <c r="I919" s="41"/>
      <c r="J919" s="41"/>
      <c r="K919" s="41"/>
      <c r="L919" s="41"/>
      <c r="M919" s="41"/>
      <c r="N919" s="41"/>
      <c r="O919" s="41"/>
      <c r="P919" s="52"/>
      <c r="Q919" s="2"/>
    </row>
    <row r="920" customFormat="false" ht="12.75" hidden="false" customHeight="true" outlineLevel="0" collapsed="false">
      <c r="C920" s="70"/>
      <c r="G920" s="2"/>
      <c r="H920" s="41"/>
      <c r="I920" s="41"/>
      <c r="J920" s="41"/>
      <c r="K920" s="41"/>
      <c r="L920" s="41"/>
      <c r="M920" s="41"/>
      <c r="N920" s="41"/>
      <c r="O920" s="41"/>
      <c r="P920" s="52"/>
      <c r="Q920" s="2"/>
    </row>
    <row r="921" customFormat="false" ht="12.75" hidden="false" customHeight="true" outlineLevel="0" collapsed="false">
      <c r="C921" s="70"/>
      <c r="G921" s="2"/>
      <c r="H921" s="41"/>
      <c r="I921" s="41"/>
      <c r="J921" s="41"/>
      <c r="K921" s="41"/>
      <c r="L921" s="41"/>
      <c r="M921" s="41"/>
      <c r="N921" s="41"/>
      <c r="O921" s="41"/>
      <c r="P921" s="52"/>
      <c r="Q921" s="2"/>
    </row>
    <row r="922" customFormat="false" ht="12.75" hidden="false" customHeight="true" outlineLevel="0" collapsed="false">
      <c r="C922" s="70"/>
      <c r="G922" s="2"/>
      <c r="H922" s="41"/>
      <c r="I922" s="41"/>
      <c r="J922" s="41"/>
      <c r="K922" s="41"/>
      <c r="L922" s="41"/>
      <c r="M922" s="41"/>
      <c r="N922" s="41"/>
      <c r="O922" s="41"/>
      <c r="P922" s="52"/>
      <c r="Q922" s="2"/>
    </row>
    <row r="923" customFormat="false" ht="12.75" hidden="false" customHeight="true" outlineLevel="0" collapsed="false">
      <c r="C923" s="70"/>
      <c r="G923" s="2"/>
      <c r="H923" s="41"/>
      <c r="I923" s="41"/>
      <c r="J923" s="41"/>
      <c r="K923" s="41"/>
      <c r="L923" s="41"/>
      <c r="M923" s="41"/>
      <c r="N923" s="41"/>
      <c r="O923" s="41"/>
      <c r="P923" s="52"/>
      <c r="Q923" s="2"/>
    </row>
    <row r="924" customFormat="false" ht="12.75" hidden="false" customHeight="true" outlineLevel="0" collapsed="false">
      <c r="C924" s="70"/>
      <c r="G924" s="2"/>
      <c r="H924" s="41"/>
      <c r="I924" s="41"/>
      <c r="J924" s="41"/>
      <c r="K924" s="41"/>
      <c r="L924" s="41"/>
      <c r="M924" s="41"/>
      <c r="N924" s="41"/>
      <c r="O924" s="41"/>
      <c r="P924" s="52"/>
      <c r="Q924" s="2"/>
    </row>
    <row r="925" customFormat="false" ht="12.75" hidden="false" customHeight="true" outlineLevel="0" collapsed="false">
      <c r="C925" s="70"/>
      <c r="G925" s="2"/>
      <c r="H925" s="41"/>
      <c r="I925" s="41"/>
      <c r="J925" s="41"/>
      <c r="K925" s="41"/>
      <c r="L925" s="41"/>
      <c r="M925" s="41"/>
      <c r="N925" s="41"/>
      <c r="O925" s="41"/>
      <c r="P925" s="52"/>
      <c r="Q925" s="2"/>
    </row>
    <row r="926" customFormat="false" ht="12.75" hidden="false" customHeight="true" outlineLevel="0" collapsed="false">
      <c r="C926" s="70"/>
      <c r="G926" s="2"/>
      <c r="H926" s="41"/>
      <c r="I926" s="41"/>
      <c r="J926" s="41"/>
      <c r="K926" s="41"/>
      <c r="L926" s="41"/>
      <c r="M926" s="41"/>
      <c r="N926" s="41"/>
      <c r="O926" s="41"/>
      <c r="P926" s="52"/>
      <c r="Q926" s="2"/>
    </row>
    <row r="927" customFormat="false" ht="12.75" hidden="false" customHeight="true" outlineLevel="0" collapsed="false">
      <c r="C927" s="70"/>
      <c r="G927" s="2"/>
      <c r="H927" s="41"/>
      <c r="I927" s="41"/>
      <c r="J927" s="41"/>
      <c r="K927" s="41"/>
      <c r="L927" s="41"/>
      <c r="M927" s="41"/>
      <c r="N927" s="41"/>
      <c r="O927" s="41"/>
      <c r="P927" s="52"/>
      <c r="Q927" s="2"/>
    </row>
    <row r="928" customFormat="false" ht="12.75" hidden="false" customHeight="true" outlineLevel="0" collapsed="false">
      <c r="C928" s="70"/>
      <c r="G928" s="2"/>
      <c r="H928" s="41"/>
      <c r="I928" s="41"/>
      <c r="J928" s="41"/>
      <c r="K928" s="41"/>
      <c r="L928" s="41"/>
      <c r="M928" s="41"/>
      <c r="N928" s="41"/>
      <c r="O928" s="41"/>
      <c r="P928" s="52"/>
      <c r="Q928" s="2"/>
    </row>
    <row r="929" customFormat="false" ht="12.75" hidden="false" customHeight="true" outlineLevel="0" collapsed="false">
      <c r="C929" s="70"/>
      <c r="G929" s="2"/>
      <c r="H929" s="41"/>
      <c r="I929" s="41"/>
      <c r="J929" s="41"/>
      <c r="K929" s="41"/>
      <c r="L929" s="41"/>
      <c r="M929" s="41"/>
      <c r="N929" s="41"/>
      <c r="O929" s="41"/>
      <c r="P929" s="52"/>
      <c r="Q929" s="2"/>
    </row>
    <row r="930" customFormat="false" ht="12.75" hidden="false" customHeight="true" outlineLevel="0" collapsed="false">
      <c r="C930" s="70"/>
      <c r="G930" s="2"/>
      <c r="H930" s="41"/>
      <c r="I930" s="41"/>
      <c r="J930" s="41"/>
      <c r="K930" s="41"/>
      <c r="L930" s="41"/>
      <c r="M930" s="41"/>
      <c r="N930" s="41"/>
      <c r="O930" s="41"/>
      <c r="P930" s="52"/>
      <c r="Q930" s="2"/>
    </row>
    <row r="931" customFormat="false" ht="12.75" hidden="false" customHeight="true" outlineLevel="0" collapsed="false">
      <c r="C931" s="70"/>
      <c r="G931" s="2"/>
      <c r="H931" s="41"/>
      <c r="I931" s="41"/>
      <c r="J931" s="41"/>
      <c r="K931" s="41"/>
      <c r="L931" s="41"/>
      <c r="M931" s="41"/>
      <c r="N931" s="41"/>
      <c r="O931" s="41"/>
      <c r="P931" s="52"/>
      <c r="Q931" s="2"/>
    </row>
    <row r="932" customFormat="false" ht="12.75" hidden="false" customHeight="true" outlineLevel="0" collapsed="false">
      <c r="C932" s="70"/>
      <c r="G932" s="2"/>
      <c r="H932" s="41"/>
      <c r="I932" s="41"/>
      <c r="J932" s="41"/>
      <c r="K932" s="41"/>
      <c r="L932" s="41"/>
      <c r="M932" s="41"/>
      <c r="N932" s="41"/>
      <c r="O932" s="41"/>
      <c r="P932" s="52"/>
      <c r="Q932" s="2"/>
    </row>
    <row r="933" customFormat="false" ht="12.75" hidden="false" customHeight="true" outlineLevel="0" collapsed="false">
      <c r="C933" s="70"/>
      <c r="G933" s="2"/>
      <c r="H933" s="41"/>
      <c r="I933" s="41"/>
      <c r="J933" s="41"/>
      <c r="K933" s="41"/>
      <c r="L933" s="41"/>
      <c r="M933" s="41"/>
      <c r="N933" s="41"/>
      <c r="O933" s="41"/>
      <c r="P933" s="52"/>
      <c r="Q933" s="2"/>
    </row>
    <row r="934" customFormat="false" ht="12.75" hidden="false" customHeight="true" outlineLevel="0" collapsed="false">
      <c r="C934" s="70"/>
      <c r="G934" s="2"/>
      <c r="H934" s="41"/>
      <c r="I934" s="41"/>
      <c r="J934" s="41"/>
      <c r="K934" s="41"/>
      <c r="L934" s="41"/>
      <c r="M934" s="41"/>
      <c r="N934" s="41"/>
      <c r="O934" s="41"/>
      <c r="P934" s="52"/>
      <c r="Q934" s="2"/>
    </row>
    <row r="935" customFormat="false" ht="12.75" hidden="false" customHeight="true" outlineLevel="0" collapsed="false">
      <c r="C935" s="70"/>
      <c r="G935" s="2"/>
      <c r="H935" s="41"/>
      <c r="I935" s="41"/>
      <c r="J935" s="41"/>
      <c r="K935" s="41"/>
      <c r="L935" s="41"/>
      <c r="M935" s="41"/>
      <c r="N935" s="41"/>
      <c r="O935" s="41"/>
      <c r="P935" s="52"/>
      <c r="Q935" s="2"/>
    </row>
    <row r="936" customFormat="false" ht="12.75" hidden="false" customHeight="true" outlineLevel="0" collapsed="false">
      <c r="C936" s="70"/>
      <c r="G936" s="2"/>
      <c r="H936" s="41"/>
      <c r="I936" s="41"/>
      <c r="J936" s="41"/>
      <c r="K936" s="41"/>
      <c r="L936" s="41"/>
      <c r="M936" s="41"/>
      <c r="N936" s="41"/>
      <c r="O936" s="41"/>
      <c r="P936" s="52"/>
      <c r="Q936" s="2"/>
    </row>
    <row r="937" customFormat="false" ht="12.75" hidden="false" customHeight="true" outlineLevel="0" collapsed="false">
      <c r="C937" s="70"/>
      <c r="G937" s="2"/>
      <c r="H937" s="41"/>
      <c r="I937" s="41"/>
      <c r="J937" s="41"/>
      <c r="K937" s="41"/>
      <c r="L937" s="41"/>
      <c r="M937" s="41"/>
      <c r="N937" s="41"/>
      <c r="O937" s="41"/>
      <c r="P937" s="52"/>
      <c r="Q937" s="2"/>
    </row>
    <row r="938" customFormat="false" ht="12.75" hidden="false" customHeight="true" outlineLevel="0" collapsed="false">
      <c r="C938" s="70"/>
      <c r="G938" s="2"/>
      <c r="H938" s="41"/>
      <c r="I938" s="41"/>
      <c r="J938" s="41"/>
      <c r="K938" s="41"/>
      <c r="L938" s="41"/>
      <c r="M938" s="41"/>
      <c r="N938" s="41"/>
      <c r="O938" s="41"/>
      <c r="P938" s="52"/>
      <c r="Q938" s="2"/>
    </row>
    <row r="939" customFormat="false" ht="12.75" hidden="false" customHeight="true" outlineLevel="0" collapsed="false">
      <c r="C939" s="70"/>
      <c r="G939" s="2"/>
      <c r="H939" s="41"/>
      <c r="I939" s="41"/>
      <c r="J939" s="41"/>
      <c r="K939" s="41"/>
      <c r="L939" s="41"/>
      <c r="M939" s="41"/>
      <c r="N939" s="41"/>
      <c r="O939" s="41"/>
      <c r="P939" s="52"/>
      <c r="Q939" s="2"/>
    </row>
    <row r="940" customFormat="false" ht="12.75" hidden="false" customHeight="true" outlineLevel="0" collapsed="false">
      <c r="C940" s="70"/>
      <c r="G940" s="2"/>
      <c r="H940" s="41"/>
      <c r="I940" s="41"/>
      <c r="J940" s="41"/>
      <c r="K940" s="41"/>
      <c r="L940" s="41"/>
      <c r="M940" s="41"/>
      <c r="N940" s="41"/>
      <c r="O940" s="41"/>
      <c r="P940" s="52"/>
      <c r="Q940" s="2"/>
    </row>
    <row r="941" customFormat="false" ht="12.75" hidden="false" customHeight="true" outlineLevel="0" collapsed="false">
      <c r="C941" s="70"/>
      <c r="G941" s="2"/>
      <c r="H941" s="41"/>
      <c r="I941" s="41"/>
      <c r="J941" s="41"/>
      <c r="K941" s="41"/>
      <c r="L941" s="41"/>
      <c r="M941" s="41"/>
      <c r="N941" s="41"/>
      <c r="O941" s="41"/>
      <c r="P941" s="52"/>
      <c r="Q941" s="2"/>
    </row>
    <row r="942" customFormat="false" ht="12.75" hidden="false" customHeight="true" outlineLevel="0" collapsed="false">
      <c r="C942" s="70"/>
      <c r="G942" s="2"/>
      <c r="H942" s="41"/>
      <c r="I942" s="41"/>
      <c r="J942" s="41"/>
      <c r="K942" s="41"/>
      <c r="L942" s="41"/>
      <c r="M942" s="41"/>
      <c r="N942" s="41"/>
      <c r="O942" s="41"/>
      <c r="P942" s="52"/>
      <c r="Q942" s="2"/>
    </row>
    <row r="943" customFormat="false" ht="12.75" hidden="false" customHeight="true" outlineLevel="0" collapsed="false">
      <c r="C943" s="70"/>
      <c r="G943" s="2"/>
      <c r="H943" s="41"/>
      <c r="I943" s="41"/>
      <c r="J943" s="41"/>
      <c r="K943" s="41"/>
      <c r="L943" s="41"/>
      <c r="M943" s="41"/>
      <c r="N943" s="41"/>
      <c r="O943" s="41"/>
      <c r="P943" s="52"/>
      <c r="Q943" s="2"/>
    </row>
    <row r="944" customFormat="false" ht="12.75" hidden="false" customHeight="true" outlineLevel="0" collapsed="false">
      <c r="C944" s="70"/>
      <c r="G944" s="2"/>
      <c r="H944" s="41"/>
      <c r="I944" s="41"/>
      <c r="J944" s="41"/>
      <c r="K944" s="41"/>
      <c r="L944" s="41"/>
      <c r="M944" s="41"/>
      <c r="N944" s="41"/>
      <c r="O944" s="41"/>
      <c r="P944" s="52"/>
      <c r="Q944" s="2"/>
    </row>
    <row r="945" customFormat="false" ht="12.75" hidden="false" customHeight="true" outlineLevel="0" collapsed="false">
      <c r="C945" s="70"/>
      <c r="G945" s="2"/>
      <c r="H945" s="41"/>
      <c r="I945" s="41"/>
      <c r="J945" s="41"/>
      <c r="K945" s="41"/>
      <c r="L945" s="41"/>
      <c r="M945" s="41"/>
      <c r="N945" s="41"/>
      <c r="O945" s="41"/>
      <c r="P945" s="52"/>
      <c r="Q945" s="2"/>
    </row>
    <row r="946" customFormat="false" ht="12.75" hidden="false" customHeight="true" outlineLevel="0" collapsed="false">
      <c r="C946" s="70"/>
      <c r="G946" s="2"/>
      <c r="H946" s="41"/>
      <c r="I946" s="41"/>
      <c r="J946" s="41"/>
      <c r="K946" s="41"/>
      <c r="L946" s="41"/>
      <c r="M946" s="41"/>
      <c r="N946" s="41"/>
      <c r="O946" s="41"/>
      <c r="P946" s="52"/>
      <c r="Q946" s="2"/>
    </row>
    <row r="947" customFormat="false" ht="12.75" hidden="false" customHeight="true" outlineLevel="0" collapsed="false">
      <c r="C947" s="70"/>
      <c r="G947" s="2"/>
      <c r="H947" s="41"/>
      <c r="I947" s="41"/>
      <c r="J947" s="41"/>
      <c r="K947" s="41"/>
      <c r="L947" s="41"/>
      <c r="M947" s="41"/>
      <c r="N947" s="41"/>
      <c r="O947" s="41"/>
      <c r="P947" s="52"/>
      <c r="Q947" s="2"/>
    </row>
    <row r="948" customFormat="false" ht="12.75" hidden="false" customHeight="true" outlineLevel="0" collapsed="false">
      <c r="C948" s="70"/>
      <c r="G948" s="2"/>
      <c r="H948" s="41"/>
      <c r="I948" s="41"/>
      <c r="J948" s="41"/>
      <c r="K948" s="41"/>
      <c r="L948" s="41"/>
      <c r="M948" s="41"/>
      <c r="N948" s="41"/>
      <c r="O948" s="41"/>
      <c r="P948" s="52"/>
      <c r="Q948" s="2"/>
    </row>
    <row r="949" customFormat="false" ht="12.75" hidden="false" customHeight="true" outlineLevel="0" collapsed="false">
      <c r="C949" s="70"/>
      <c r="G949" s="2"/>
      <c r="H949" s="41"/>
      <c r="I949" s="41"/>
      <c r="J949" s="41"/>
      <c r="K949" s="41"/>
      <c r="L949" s="41"/>
      <c r="M949" s="41"/>
      <c r="N949" s="41"/>
      <c r="O949" s="41"/>
      <c r="P949" s="52"/>
      <c r="Q949" s="2"/>
    </row>
    <row r="950" customFormat="false" ht="12.75" hidden="false" customHeight="true" outlineLevel="0" collapsed="false">
      <c r="C950" s="70"/>
      <c r="G950" s="2"/>
      <c r="H950" s="41"/>
      <c r="I950" s="41"/>
      <c r="J950" s="41"/>
      <c r="K950" s="41"/>
      <c r="L950" s="41"/>
      <c r="M950" s="41"/>
      <c r="N950" s="41"/>
      <c r="O950" s="41"/>
      <c r="P950" s="52"/>
      <c r="Q950" s="2"/>
    </row>
    <row r="951" customFormat="false" ht="12.75" hidden="false" customHeight="true" outlineLevel="0" collapsed="false">
      <c r="C951" s="70"/>
      <c r="G951" s="2"/>
      <c r="H951" s="41"/>
      <c r="I951" s="41"/>
      <c r="J951" s="41"/>
      <c r="K951" s="41"/>
      <c r="L951" s="41"/>
      <c r="M951" s="41"/>
      <c r="N951" s="41"/>
      <c r="O951" s="41"/>
      <c r="P951" s="52"/>
      <c r="Q951" s="2"/>
    </row>
    <row r="952" customFormat="false" ht="12.75" hidden="false" customHeight="true" outlineLevel="0" collapsed="false">
      <c r="C952" s="70"/>
      <c r="G952" s="2"/>
      <c r="H952" s="41"/>
      <c r="I952" s="41"/>
      <c r="J952" s="41"/>
      <c r="K952" s="41"/>
      <c r="L952" s="41"/>
      <c r="M952" s="41"/>
      <c r="N952" s="41"/>
      <c r="O952" s="41"/>
      <c r="P952" s="52"/>
      <c r="Q952" s="2"/>
    </row>
    <row r="953" customFormat="false" ht="12.75" hidden="false" customHeight="true" outlineLevel="0" collapsed="false">
      <c r="C953" s="70"/>
      <c r="G953" s="2"/>
      <c r="H953" s="41"/>
      <c r="I953" s="41"/>
      <c r="J953" s="41"/>
      <c r="K953" s="41"/>
      <c r="L953" s="41"/>
      <c r="M953" s="41"/>
      <c r="N953" s="41"/>
      <c r="O953" s="41"/>
      <c r="P953" s="52"/>
      <c r="Q953" s="2"/>
    </row>
    <row r="954" customFormat="false" ht="12.75" hidden="false" customHeight="true" outlineLevel="0" collapsed="false">
      <c r="C954" s="70"/>
      <c r="G954" s="2"/>
      <c r="H954" s="41"/>
      <c r="I954" s="41"/>
      <c r="J954" s="41"/>
      <c r="K954" s="41"/>
      <c r="L954" s="41"/>
      <c r="M954" s="41"/>
      <c r="N954" s="41"/>
      <c r="O954" s="41"/>
      <c r="P954" s="52"/>
      <c r="Q954" s="2"/>
    </row>
    <row r="955" customFormat="false" ht="12.75" hidden="false" customHeight="true" outlineLevel="0" collapsed="false">
      <c r="C955" s="70"/>
      <c r="G955" s="2"/>
      <c r="H955" s="41"/>
      <c r="I955" s="41"/>
      <c r="J955" s="41"/>
      <c r="K955" s="41"/>
      <c r="L955" s="41"/>
      <c r="M955" s="41"/>
      <c r="N955" s="41"/>
      <c r="O955" s="41"/>
      <c r="P955" s="52"/>
      <c r="Q955" s="2"/>
    </row>
    <row r="956" customFormat="false" ht="12.75" hidden="false" customHeight="true" outlineLevel="0" collapsed="false">
      <c r="C956" s="70"/>
      <c r="G956" s="2"/>
      <c r="H956" s="41"/>
      <c r="I956" s="41"/>
      <c r="J956" s="41"/>
      <c r="K956" s="41"/>
      <c r="L956" s="41"/>
      <c r="M956" s="41"/>
      <c r="N956" s="41"/>
      <c r="O956" s="41"/>
      <c r="P956" s="52"/>
      <c r="Q956" s="2"/>
    </row>
    <row r="957" customFormat="false" ht="12.75" hidden="false" customHeight="true" outlineLevel="0" collapsed="false">
      <c r="C957" s="70"/>
      <c r="G957" s="2"/>
      <c r="H957" s="41"/>
      <c r="I957" s="41"/>
      <c r="J957" s="41"/>
      <c r="K957" s="41"/>
      <c r="L957" s="41"/>
      <c r="M957" s="41"/>
      <c r="N957" s="41"/>
      <c r="O957" s="41"/>
      <c r="P957" s="52"/>
      <c r="Q957" s="2"/>
    </row>
    <row r="958" customFormat="false" ht="12.75" hidden="false" customHeight="true" outlineLevel="0" collapsed="false">
      <c r="C958" s="70"/>
      <c r="G958" s="2"/>
      <c r="H958" s="41"/>
      <c r="I958" s="41"/>
      <c r="J958" s="41"/>
      <c r="K958" s="41"/>
      <c r="L958" s="41"/>
      <c r="M958" s="41"/>
      <c r="N958" s="41"/>
      <c r="O958" s="41"/>
      <c r="P958" s="52"/>
      <c r="Q958" s="2"/>
    </row>
    <row r="959" customFormat="false" ht="12.75" hidden="false" customHeight="true" outlineLevel="0" collapsed="false">
      <c r="C959" s="70"/>
      <c r="G959" s="2"/>
      <c r="H959" s="41"/>
      <c r="I959" s="41"/>
      <c r="J959" s="41"/>
      <c r="K959" s="41"/>
      <c r="L959" s="41"/>
      <c r="M959" s="41"/>
      <c r="N959" s="41"/>
      <c r="O959" s="41"/>
      <c r="P959" s="52"/>
      <c r="Q959" s="2"/>
    </row>
    <row r="960" customFormat="false" ht="12.75" hidden="false" customHeight="true" outlineLevel="0" collapsed="false">
      <c r="C960" s="70"/>
      <c r="G960" s="2"/>
      <c r="H960" s="41"/>
      <c r="I960" s="41"/>
      <c r="J960" s="41"/>
      <c r="K960" s="41"/>
      <c r="L960" s="41"/>
      <c r="M960" s="41"/>
      <c r="N960" s="41"/>
      <c r="O960" s="41"/>
      <c r="P960" s="52"/>
      <c r="Q960" s="2"/>
    </row>
    <row r="961" customFormat="false" ht="12.75" hidden="false" customHeight="true" outlineLevel="0" collapsed="false">
      <c r="C961" s="70"/>
      <c r="G961" s="2"/>
      <c r="H961" s="41"/>
      <c r="I961" s="41"/>
      <c r="J961" s="41"/>
      <c r="K961" s="41"/>
      <c r="L961" s="41"/>
      <c r="M961" s="41"/>
      <c r="N961" s="41"/>
      <c r="O961" s="41"/>
      <c r="P961" s="52"/>
      <c r="Q961" s="2"/>
    </row>
    <row r="962" customFormat="false" ht="12.75" hidden="false" customHeight="true" outlineLevel="0" collapsed="false">
      <c r="C962" s="70"/>
      <c r="G962" s="2"/>
      <c r="H962" s="41"/>
      <c r="I962" s="41"/>
      <c r="J962" s="41"/>
      <c r="K962" s="41"/>
      <c r="L962" s="41"/>
      <c r="M962" s="41"/>
      <c r="N962" s="41"/>
      <c r="O962" s="41"/>
      <c r="P962" s="52"/>
      <c r="Q962" s="2"/>
    </row>
    <row r="963" customFormat="false" ht="12.75" hidden="false" customHeight="true" outlineLevel="0" collapsed="false">
      <c r="C963" s="70"/>
      <c r="G963" s="2"/>
      <c r="H963" s="41"/>
      <c r="I963" s="41"/>
      <c r="J963" s="41"/>
      <c r="K963" s="41"/>
      <c r="L963" s="41"/>
      <c r="M963" s="41"/>
      <c r="N963" s="41"/>
      <c r="O963" s="41"/>
      <c r="P963" s="52"/>
      <c r="Q963" s="2"/>
    </row>
    <row r="964" customFormat="false" ht="12.75" hidden="false" customHeight="true" outlineLevel="0" collapsed="false">
      <c r="C964" s="70"/>
      <c r="G964" s="2"/>
      <c r="H964" s="41"/>
      <c r="I964" s="41"/>
      <c r="J964" s="41"/>
      <c r="K964" s="41"/>
      <c r="L964" s="41"/>
      <c r="M964" s="41"/>
      <c r="N964" s="41"/>
      <c r="O964" s="41"/>
      <c r="P964" s="52"/>
      <c r="Q964" s="2"/>
    </row>
    <row r="965" customFormat="false" ht="12.75" hidden="false" customHeight="true" outlineLevel="0" collapsed="false">
      <c r="C965" s="70"/>
      <c r="G965" s="2"/>
      <c r="H965" s="41"/>
      <c r="I965" s="41"/>
      <c r="J965" s="41"/>
      <c r="K965" s="41"/>
      <c r="L965" s="41"/>
      <c r="M965" s="41"/>
      <c r="N965" s="41"/>
      <c r="O965" s="41"/>
      <c r="P965" s="52"/>
      <c r="Q965" s="2"/>
    </row>
    <row r="966" customFormat="false" ht="12.75" hidden="false" customHeight="true" outlineLevel="0" collapsed="false">
      <c r="C966" s="70"/>
      <c r="G966" s="2"/>
      <c r="H966" s="41"/>
      <c r="I966" s="41"/>
      <c r="J966" s="41"/>
      <c r="K966" s="41"/>
      <c r="L966" s="41"/>
      <c r="M966" s="41"/>
      <c r="N966" s="41"/>
      <c r="O966" s="41"/>
      <c r="P966" s="52"/>
      <c r="Q966" s="2"/>
    </row>
    <row r="967" customFormat="false" ht="12.75" hidden="false" customHeight="true" outlineLevel="0" collapsed="false">
      <c r="C967" s="70"/>
      <c r="G967" s="2"/>
      <c r="H967" s="41"/>
      <c r="I967" s="41"/>
      <c r="J967" s="41"/>
      <c r="K967" s="41"/>
      <c r="L967" s="41"/>
      <c r="M967" s="41"/>
      <c r="N967" s="41"/>
      <c r="O967" s="41"/>
      <c r="P967" s="52"/>
      <c r="Q967" s="2"/>
    </row>
    <row r="968" customFormat="false" ht="12.75" hidden="false" customHeight="true" outlineLevel="0" collapsed="false">
      <c r="C968" s="70"/>
      <c r="G968" s="2"/>
      <c r="H968" s="41"/>
      <c r="I968" s="41"/>
      <c r="J968" s="41"/>
      <c r="K968" s="41"/>
      <c r="L968" s="41"/>
      <c r="M968" s="41"/>
      <c r="N968" s="41"/>
      <c r="O968" s="41"/>
      <c r="P968" s="52"/>
      <c r="Q968" s="2"/>
    </row>
    <row r="969" customFormat="false" ht="12.75" hidden="false" customHeight="true" outlineLevel="0" collapsed="false">
      <c r="C969" s="70"/>
      <c r="G969" s="2"/>
      <c r="H969" s="41"/>
      <c r="I969" s="41"/>
      <c r="J969" s="41"/>
      <c r="K969" s="41"/>
      <c r="L969" s="41"/>
      <c r="M969" s="41"/>
      <c r="N969" s="41"/>
      <c r="O969" s="41"/>
      <c r="P969" s="52"/>
      <c r="Q969" s="2"/>
    </row>
    <row r="970" customFormat="false" ht="12.75" hidden="false" customHeight="true" outlineLevel="0" collapsed="false">
      <c r="C970" s="70"/>
      <c r="G970" s="2"/>
      <c r="H970" s="41"/>
      <c r="I970" s="41"/>
      <c r="J970" s="41"/>
      <c r="K970" s="41"/>
      <c r="L970" s="41"/>
      <c r="M970" s="41"/>
      <c r="N970" s="41"/>
      <c r="O970" s="41"/>
      <c r="P970" s="52"/>
      <c r="Q970" s="2"/>
    </row>
    <row r="971" customFormat="false" ht="12.75" hidden="false" customHeight="true" outlineLevel="0" collapsed="false">
      <c r="C971" s="70"/>
      <c r="G971" s="2"/>
      <c r="H971" s="41"/>
      <c r="I971" s="41"/>
      <c r="J971" s="41"/>
      <c r="K971" s="41"/>
      <c r="L971" s="41"/>
      <c r="M971" s="41"/>
      <c r="N971" s="41"/>
      <c r="O971" s="41"/>
      <c r="P971" s="52"/>
      <c r="Q971" s="2"/>
    </row>
    <row r="972" customFormat="false" ht="12.75" hidden="false" customHeight="true" outlineLevel="0" collapsed="false">
      <c r="C972" s="70"/>
      <c r="G972" s="2"/>
      <c r="H972" s="41"/>
      <c r="I972" s="41"/>
      <c r="J972" s="41"/>
      <c r="K972" s="41"/>
      <c r="L972" s="41"/>
      <c r="M972" s="41"/>
      <c r="N972" s="41"/>
      <c r="O972" s="41"/>
      <c r="P972" s="52"/>
      <c r="Q972" s="2"/>
    </row>
    <row r="973" customFormat="false" ht="12.75" hidden="false" customHeight="true" outlineLevel="0" collapsed="false">
      <c r="C973" s="70"/>
      <c r="G973" s="2"/>
      <c r="H973" s="41"/>
      <c r="I973" s="41"/>
      <c r="J973" s="41"/>
      <c r="K973" s="41"/>
      <c r="L973" s="41"/>
      <c r="M973" s="41"/>
      <c r="N973" s="41"/>
      <c r="O973" s="41"/>
      <c r="P973" s="52"/>
      <c r="Q973" s="2"/>
    </row>
    <row r="974" customFormat="false" ht="12.75" hidden="false" customHeight="true" outlineLevel="0" collapsed="false">
      <c r="C974" s="70"/>
      <c r="G974" s="2"/>
      <c r="H974" s="41"/>
      <c r="I974" s="41"/>
      <c r="J974" s="41"/>
      <c r="K974" s="41"/>
      <c r="L974" s="41"/>
      <c r="M974" s="41"/>
      <c r="N974" s="41"/>
      <c r="O974" s="41"/>
      <c r="P974" s="52"/>
      <c r="Q974" s="2"/>
    </row>
    <row r="975" customFormat="false" ht="12.75" hidden="false" customHeight="true" outlineLevel="0" collapsed="false">
      <c r="C975" s="70"/>
      <c r="G975" s="2"/>
      <c r="H975" s="41"/>
      <c r="I975" s="41"/>
      <c r="J975" s="41"/>
      <c r="K975" s="41"/>
      <c r="L975" s="41"/>
      <c r="M975" s="41"/>
      <c r="N975" s="41"/>
      <c r="O975" s="41"/>
      <c r="P975" s="52"/>
      <c r="Q975" s="2"/>
    </row>
    <row r="976" customFormat="false" ht="12.75" hidden="false" customHeight="true" outlineLevel="0" collapsed="false">
      <c r="C976" s="70"/>
      <c r="G976" s="2"/>
      <c r="H976" s="41"/>
      <c r="I976" s="41"/>
      <c r="J976" s="41"/>
      <c r="K976" s="41"/>
      <c r="L976" s="41"/>
      <c r="M976" s="41"/>
      <c r="N976" s="41"/>
      <c r="O976" s="41"/>
      <c r="P976" s="52"/>
      <c r="Q976" s="2"/>
    </row>
    <row r="977" customFormat="false" ht="12.75" hidden="false" customHeight="true" outlineLevel="0" collapsed="false">
      <c r="C977" s="70"/>
      <c r="G977" s="2"/>
      <c r="H977" s="41"/>
      <c r="I977" s="41"/>
      <c r="J977" s="41"/>
      <c r="K977" s="41"/>
      <c r="L977" s="41"/>
      <c r="M977" s="41"/>
      <c r="N977" s="41"/>
      <c r="O977" s="41"/>
      <c r="P977" s="52"/>
      <c r="Q977" s="2"/>
    </row>
    <row r="978" customFormat="false" ht="12.75" hidden="false" customHeight="true" outlineLevel="0" collapsed="false">
      <c r="C978" s="70"/>
      <c r="G978" s="2"/>
      <c r="H978" s="41"/>
      <c r="I978" s="41"/>
      <c r="J978" s="41"/>
      <c r="K978" s="41"/>
      <c r="L978" s="41"/>
      <c r="M978" s="41"/>
      <c r="N978" s="41"/>
      <c r="O978" s="41"/>
      <c r="P978" s="52"/>
      <c r="Q978" s="2"/>
    </row>
    <row r="979" customFormat="false" ht="12.75" hidden="false" customHeight="true" outlineLevel="0" collapsed="false">
      <c r="C979" s="70"/>
      <c r="G979" s="2"/>
      <c r="H979" s="41"/>
      <c r="I979" s="41"/>
      <c r="J979" s="41"/>
      <c r="K979" s="41"/>
      <c r="L979" s="41"/>
      <c r="M979" s="41"/>
      <c r="N979" s="41"/>
      <c r="O979" s="41"/>
      <c r="P979" s="52"/>
      <c r="Q979" s="2"/>
    </row>
    <row r="980" customFormat="false" ht="12.75" hidden="false" customHeight="true" outlineLevel="0" collapsed="false">
      <c r="C980" s="70"/>
      <c r="G980" s="2"/>
      <c r="H980" s="41"/>
      <c r="I980" s="41"/>
      <c r="J980" s="41"/>
      <c r="K980" s="41"/>
      <c r="L980" s="41"/>
      <c r="M980" s="41"/>
      <c r="N980" s="41"/>
      <c r="O980" s="41"/>
      <c r="P980" s="52"/>
      <c r="Q980" s="2"/>
    </row>
    <row r="981" customFormat="false" ht="12.75" hidden="false" customHeight="true" outlineLevel="0" collapsed="false">
      <c r="C981" s="70"/>
      <c r="G981" s="2"/>
      <c r="H981" s="41"/>
      <c r="I981" s="41"/>
      <c r="J981" s="41"/>
      <c r="K981" s="41"/>
      <c r="L981" s="41"/>
      <c r="M981" s="41"/>
      <c r="N981" s="41"/>
      <c r="O981" s="41"/>
      <c r="P981" s="52"/>
      <c r="Q981" s="2"/>
    </row>
    <row r="982" customFormat="false" ht="12.75" hidden="false" customHeight="true" outlineLevel="0" collapsed="false">
      <c r="C982" s="70"/>
      <c r="G982" s="2"/>
      <c r="H982" s="41"/>
      <c r="I982" s="41"/>
      <c r="J982" s="41"/>
      <c r="K982" s="41"/>
      <c r="L982" s="41"/>
      <c r="M982" s="41"/>
      <c r="N982" s="41"/>
      <c r="O982" s="41"/>
      <c r="P982" s="52"/>
      <c r="Q982" s="2"/>
    </row>
    <row r="983" customFormat="false" ht="12.75" hidden="false" customHeight="true" outlineLevel="0" collapsed="false">
      <c r="C983" s="70"/>
      <c r="G983" s="2"/>
      <c r="H983" s="41"/>
      <c r="I983" s="41"/>
      <c r="J983" s="41"/>
      <c r="K983" s="41"/>
      <c r="L983" s="41"/>
      <c r="M983" s="41"/>
      <c r="N983" s="41"/>
      <c r="O983" s="41"/>
      <c r="P983" s="52"/>
      <c r="Q983" s="2"/>
    </row>
    <row r="984" customFormat="false" ht="12.75" hidden="false" customHeight="true" outlineLevel="0" collapsed="false">
      <c r="C984" s="70"/>
      <c r="G984" s="2"/>
      <c r="H984" s="41"/>
      <c r="I984" s="41"/>
      <c r="J984" s="41"/>
      <c r="K984" s="41"/>
      <c r="L984" s="41"/>
      <c r="M984" s="41"/>
      <c r="N984" s="41"/>
      <c r="O984" s="41"/>
      <c r="P984" s="52"/>
      <c r="Q984" s="2"/>
    </row>
    <row r="985" customFormat="false" ht="12.75" hidden="false" customHeight="true" outlineLevel="0" collapsed="false">
      <c r="C985" s="70"/>
      <c r="G985" s="2"/>
      <c r="H985" s="41"/>
      <c r="I985" s="41"/>
      <c r="J985" s="41"/>
      <c r="K985" s="41"/>
      <c r="L985" s="41"/>
      <c r="M985" s="41"/>
      <c r="N985" s="41"/>
      <c r="O985" s="41"/>
      <c r="P985" s="52"/>
      <c r="Q985" s="2"/>
    </row>
    <row r="986" customFormat="false" ht="12.75" hidden="false" customHeight="true" outlineLevel="0" collapsed="false">
      <c r="C986" s="70"/>
      <c r="G986" s="2"/>
      <c r="H986" s="41"/>
      <c r="I986" s="41"/>
      <c r="J986" s="41"/>
      <c r="K986" s="41"/>
      <c r="L986" s="41"/>
      <c r="M986" s="41"/>
      <c r="N986" s="41"/>
      <c r="O986" s="41"/>
      <c r="P986" s="52"/>
      <c r="Q986" s="2"/>
    </row>
    <row r="987" customFormat="false" ht="12.75" hidden="false" customHeight="true" outlineLevel="0" collapsed="false">
      <c r="C987" s="70"/>
      <c r="G987" s="2"/>
      <c r="H987" s="41"/>
      <c r="I987" s="41"/>
      <c r="J987" s="41"/>
      <c r="K987" s="41"/>
      <c r="L987" s="41"/>
      <c r="M987" s="41"/>
      <c r="N987" s="41"/>
      <c r="O987" s="41"/>
      <c r="P987" s="52"/>
      <c r="Q987" s="2"/>
    </row>
    <row r="988" customFormat="false" ht="12.75" hidden="false" customHeight="true" outlineLevel="0" collapsed="false">
      <c r="C988" s="70"/>
      <c r="G988" s="2"/>
      <c r="H988" s="41"/>
      <c r="I988" s="41"/>
      <c r="J988" s="41"/>
      <c r="K988" s="41"/>
      <c r="L988" s="41"/>
      <c r="M988" s="41"/>
      <c r="N988" s="41"/>
      <c r="O988" s="41"/>
      <c r="P988" s="52"/>
      <c r="Q988" s="2"/>
    </row>
    <row r="989" customFormat="false" ht="12.75" hidden="false" customHeight="true" outlineLevel="0" collapsed="false">
      <c r="C989" s="70"/>
      <c r="G989" s="2"/>
      <c r="H989" s="41"/>
      <c r="I989" s="41"/>
      <c r="J989" s="41"/>
      <c r="K989" s="41"/>
      <c r="L989" s="41"/>
      <c r="M989" s="41"/>
      <c r="N989" s="41"/>
      <c r="O989" s="41"/>
      <c r="P989" s="52"/>
      <c r="Q989" s="2"/>
    </row>
    <row r="990" customFormat="false" ht="12.75" hidden="false" customHeight="true" outlineLevel="0" collapsed="false">
      <c r="C990" s="70"/>
      <c r="G990" s="2"/>
      <c r="H990" s="41"/>
      <c r="I990" s="41"/>
      <c r="J990" s="41"/>
      <c r="K990" s="41"/>
      <c r="L990" s="41"/>
      <c r="M990" s="41"/>
      <c r="N990" s="41"/>
      <c r="O990" s="41"/>
      <c r="P990" s="52"/>
      <c r="Q990" s="2"/>
    </row>
    <row r="991" customFormat="false" ht="12.75" hidden="false" customHeight="true" outlineLevel="0" collapsed="false">
      <c r="C991" s="70"/>
      <c r="G991" s="2"/>
      <c r="H991" s="41"/>
      <c r="I991" s="41"/>
      <c r="J991" s="41"/>
      <c r="K991" s="41"/>
      <c r="L991" s="41"/>
      <c r="M991" s="41"/>
      <c r="N991" s="41"/>
      <c r="O991" s="41"/>
      <c r="P991" s="52"/>
      <c r="Q991" s="2"/>
    </row>
    <row r="992" customFormat="false" ht="12.75" hidden="false" customHeight="true" outlineLevel="0" collapsed="false">
      <c r="C992" s="70"/>
      <c r="G992" s="2"/>
      <c r="H992" s="41"/>
      <c r="I992" s="41"/>
      <c r="J992" s="41"/>
      <c r="K992" s="41"/>
      <c r="L992" s="41"/>
      <c r="M992" s="41"/>
      <c r="N992" s="41"/>
      <c r="O992" s="41"/>
      <c r="P992" s="52"/>
      <c r="Q992" s="2"/>
    </row>
    <row r="993" customFormat="false" ht="12.75" hidden="false" customHeight="true" outlineLevel="0" collapsed="false">
      <c r="C993" s="70"/>
      <c r="G993" s="2"/>
      <c r="H993" s="41"/>
      <c r="I993" s="41"/>
      <c r="J993" s="41"/>
      <c r="K993" s="41"/>
      <c r="L993" s="41"/>
      <c r="M993" s="41"/>
      <c r="N993" s="41"/>
      <c r="O993" s="41"/>
      <c r="P993" s="52"/>
      <c r="Q993" s="2"/>
    </row>
    <row r="994" customFormat="false" ht="12.75" hidden="false" customHeight="true" outlineLevel="0" collapsed="false">
      <c r="C994" s="70"/>
      <c r="G994" s="2"/>
      <c r="H994" s="41"/>
      <c r="I994" s="41"/>
      <c r="J994" s="41"/>
      <c r="K994" s="41"/>
      <c r="L994" s="41"/>
      <c r="M994" s="41"/>
      <c r="N994" s="41"/>
      <c r="O994" s="41"/>
      <c r="P994" s="52"/>
      <c r="Q994" s="2"/>
    </row>
    <row r="995" customFormat="false" ht="12.75" hidden="false" customHeight="true" outlineLevel="0" collapsed="false">
      <c r="C995" s="70"/>
      <c r="G995" s="2"/>
      <c r="H995" s="41"/>
      <c r="I995" s="41"/>
      <c r="J995" s="41"/>
      <c r="K995" s="41"/>
      <c r="L995" s="41"/>
      <c r="M995" s="41"/>
      <c r="N995" s="41"/>
      <c r="O995" s="41"/>
      <c r="P995" s="52"/>
      <c r="Q995" s="2"/>
    </row>
    <row r="996" customFormat="false" ht="12.75" hidden="false" customHeight="true" outlineLevel="0" collapsed="false">
      <c r="C996" s="70"/>
      <c r="G996" s="2"/>
      <c r="H996" s="41"/>
      <c r="I996" s="41"/>
      <c r="J996" s="41"/>
      <c r="K996" s="41"/>
      <c r="L996" s="41"/>
      <c r="M996" s="41"/>
      <c r="N996" s="41"/>
      <c r="O996" s="41"/>
      <c r="P996" s="52"/>
      <c r="Q996" s="2"/>
    </row>
    <row r="997" customFormat="false" ht="12.75" hidden="false" customHeight="true" outlineLevel="0" collapsed="false">
      <c r="C997" s="70"/>
      <c r="G997" s="2"/>
      <c r="H997" s="41"/>
      <c r="I997" s="41"/>
      <c r="J997" s="41"/>
      <c r="K997" s="41"/>
      <c r="L997" s="41"/>
      <c r="M997" s="41"/>
      <c r="N997" s="41"/>
      <c r="O997" s="41"/>
      <c r="P997" s="52"/>
      <c r="Q997" s="2"/>
    </row>
    <row r="998" customFormat="false" ht="12.75" hidden="false" customHeight="true" outlineLevel="0" collapsed="false">
      <c r="C998" s="70"/>
      <c r="G998" s="2"/>
      <c r="H998" s="41"/>
      <c r="I998" s="41"/>
      <c r="J998" s="41"/>
      <c r="K998" s="41"/>
      <c r="L998" s="41"/>
      <c r="M998" s="41"/>
      <c r="N998" s="41"/>
      <c r="O998" s="41"/>
      <c r="P998" s="52"/>
      <c r="Q998" s="2"/>
    </row>
    <row r="999" customFormat="false" ht="12.75" hidden="false" customHeight="true" outlineLevel="0" collapsed="false">
      <c r="C999" s="70"/>
      <c r="G999" s="2"/>
      <c r="H999" s="41"/>
      <c r="I999" s="41"/>
      <c r="J999" s="41"/>
      <c r="K999" s="41"/>
      <c r="L999" s="41"/>
      <c r="M999" s="41"/>
      <c r="N999" s="41"/>
      <c r="O999" s="41"/>
      <c r="P999" s="52"/>
      <c r="Q999" s="2"/>
    </row>
    <row r="1000" customFormat="false" ht="12.75" hidden="false" customHeight="true" outlineLevel="0" collapsed="false">
      <c r="C1000" s="70"/>
      <c r="G1000" s="2"/>
      <c r="H1000" s="41"/>
      <c r="I1000" s="41"/>
      <c r="J1000" s="41"/>
      <c r="K1000" s="41"/>
      <c r="L1000" s="41"/>
      <c r="M1000" s="41"/>
      <c r="N1000" s="41"/>
      <c r="O1000" s="41"/>
      <c r="P1000" s="52"/>
      <c r="Q1000" s="2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dataValidations count="17">
    <dataValidation allowBlank="true" errorStyle="stop" operator="between" showDropDown="false" showErrorMessage="true" showInputMessage="false" sqref="D6" type="list">
      <formula1>$H$6:$M$6</formula1>
      <formula2>0</formula2>
    </dataValidation>
    <dataValidation allowBlank="true" errorStyle="stop" operator="between" showDropDown="false" showErrorMessage="true" showInputMessage="fals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false" sqref="D30" type="list">
      <formula1>$H$30:$I$30</formula1>
      <formula2>0</formula2>
    </dataValidation>
    <dataValidation allowBlank="true" errorStyle="stop" operator="between" showDropDown="false" showErrorMessage="true" showInputMessage="false" sqref="D25" type="list">
      <formula1>$H$25:$L$25</formula1>
      <formula2>0</formula2>
    </dataValidation>
    <dataValidation allowBlank="true" errorStyle="stop" operator="between" showDropDown="false" showErrorMessage="true" showInputMessage="false" sqref="G25" type="list">
      <formula1>$R$24:$T$24</formula1>
      <formula2>0</formula2>
    </dataValidation>
    <dataValidation allowBlank="true" errorStyle="stop" operator="between" showDropDown="false" showErrorMessage="true" showInputMessage="false" sqref="D31" type="list">
      <formula1>$H$31:$I$31</formula1>
      <formula2>0</formula2>
    </dataValidation>
    <dataValidation allowBlank="true" errorStyle="stop" operator="between" showDropDown="false" showErrorMessage="true" showInputMessage="false" sqref="D19" type="list">
      <formula1>$H$19:$I$19</formula1>
      <formula2>0</formula2>
    </dataValidation>
    <dataValidation allowBlank="true" errorStyle="stop" operator="between" showDropDown="false" showErrorMessage="true" showInputMessage="false" sqref="F31:G31 O31:P31" type="list">
      <formula1>$R$31:$S$31</formula1>
      <formula2>0</formula2>
    </dataValidation>
    <dataValidation allowBlank="true" errorStyle="stop" operator="between" showDropDown="false" showErrorMessage="true" showInputMessage="false" sqref="D29" type="list">
      <formula1>$H$29:$I$29</formula1>
      <formula2>0</formula2>
    </dataValidation>
    <dataValidation allowBlank="true" errorStyle="stop" operator="between" showDropDown="false" showErrorMessage="true" showInputMessage="false" sqref="Q31" type="list">
      <formula1>$S$31:$T$31</formula1>
      <formula2>0</formula2>
    </dataValidation>
    <dataValidation allowBlank="true" errorStyle="stop" operator="between" showDropDown="false" showErrorMessage="true" showInputMessage="false" sqref="Q54:Q59" type="list">
      <formula1>"RANS – Algebraic,RANS – 1-eqn,RANS – 2-eqn,RANS – Non-linear,RANS - RSM,PANS,DES,VLES,LES,Other"</formula1>
      <formula2>0</formula2>
    </dataValidation>
    <dataValidation allowBlank="true" errorStyle="stop" operator="between" showDropDown="false" showErrorMessage="true" showInputMessage="false" sqref="D47" type="list">
      <formula1>$H$47:$J$47</formula1>
      <formula2>0</formula2>
    </dataValidation>
    <dataValidation allowBlank="true" errorStyle="stop" operator="between" showDropDown="false" showErrorMessage="true" showInputMessage="false" sqref="Q29 F30:G30 O30:P30" type="list">
      <formula1>"Pressure,Density"</formula1>
      <formula2>0</formula2>
    </dataValidation>
    <dataValidation allowBlank="true" errorStyle="stop" operator="between" showDropDown="false" showErrorMessage="true" showInputMessage="false" sqref="D20" type="list">
      <formula1>$H$20:$I$20</formula1>
      <formula2>0</formula2>
    </dataValidation>
    <dataValidation allowBlank="true" errorStyle="stop" operator="between" showDropDown="false" showErrorMessage="true" showInputMessage="false" sqref="Q25" type="list">
      <formula1>$S$24:$U$24</formula1>
      <formula2>0</formula2>
    </dataValidation>
    <dataValidation allowBlank="true" errorStyle="stop" operator="between" showDropDown="false" showErrorMessage="true" showInputMessage="false" sqref="D28" type="list">
      <formula1>$H$28:$K$28</formula1>
      <formula2>0</formula2>
    </dataValidation>
    <dataValidation allowBlank="true" errorStyle="stop" operator="between" showDropDown="false" showErrorMessage="true" showInputMessage="false" sqref="D34:D35" type="list">
      <formula1>$H$34:$I$34</formula1>
      <formula2>0</formula2>
    </dataValidation>
  </dataValidations>
  <hyperlinks>
    <hyperlink ref="B9" r:id="rId1" display="Participant ID (Participant List):"/>
    <hyperlink ref="H9" r:id="rId2" display="Participants List"/>
    <hyperlink ref="F13" r:id="rId3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notEqual" id="{24C4497C-A539-4146-BC63-ADA1CC80D0DA}">
            <xm:f>""</xm:f>
            <x14:dxf>
              <fill>
                <patternFill/>
              </fill>
            </x14:dxf>
          </x14:cfRule>
          <xm:sqref>D29:D34 D47 Q10</xm:sqref>
        </x14:conditionalFormatting>
        <x14:conditionalFormatting xmlns:xm="http://schemas.microsoft.com/office/excel/2006/main">
          <x14:cfRule type="cellIs" priority="3" operator="notEqual" id="{869060E3-35E5-4288-8B31-7984A1211F1E}">
            <xm:f>""</xm:f>
            <x14:dxf>
              <fill>
                <patternFill>
                  <bgColor rgb="FFFABF8F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cellIs" priority="4" operator="notEqual" id="{34B9824B-40B6-4815-B8AD-79F8E9CADB36}">
            <xm:f>""</xm:f>
            <x14:dxf>
              <fill>
                <patternFill/>
              </fill>
            </x14:dxf>
          </x14:cfRule>
          <x14:cfRule type="expression" priority="5" id="{F8269DF0-C078-4F71-A131-6BD16651D08C}">
            <xm:f>$D$34="Steady State"</xm:f>
            <x14:dxf>
              <fill>
                <patternFill/>
              </fill>
            </x14:dxf>
          </x14:cfRule>
          <xm:sqref>D44:D45 D47:D59</xm:sqref>
        </x14:conditionalFormatting>
        <x14:conditionalFormatting xmlns:xm="http://schemas.microsoft.com/office/excel/2006/main">
          <x14:cfRule type="cellIs" priority="6" operator="notEqual" id="{4C9410A9-A77B-4F2D-A3F4-5C1EA5D2203E}">
            <xm:f>""</xm:f>
            <x14:dxf>
              <fill>
                <patternFill/>
              </fill>
            </x14:dxf>
          </x14:cfRule>
          <xm:sqref>D9:D15</xm:sqref>
        </x14:conditionalFormatting>
        <x14:conditionalFormatting xmlns:xm="http://schemas.microsoft.com/office/excel/2006/main">
          <x14:cfRule type="cellIs" priority="7" operator="notEqual" id="{FF676DDA-337B-4891-BCEB-53EBD4B35F49}">
            <xm:f>""</xm:f>
            <x14:dxf>
              <fill>
                <patternFill>
                  <bgColor rgb="FFFABF8F"/>
                </patternFill>
              </fill>
            </x14:dxf>
          </x14:cfRule>
          <xm:sqref>D19:D20</xm:sqref>
        </x14:conditionalFormatting>
        <x14:conditionalFormatting xmlns:xm="http://schemas.microsoft.com/office/excel/2006/main">
          <x14:cfRule type="cellIs" priority="8" operator="notEqual" id="{90C69265-CBAF-4A50-99B1-4D801F892225}">
            <xm:f>""</xm:f>
            <x14:dxf>
              <fill>
                <patternFill/>
              </fill>
            </x14:dxf>
          </x14:cfRule>
          <xm:sqref>D36:D38 D40:D41</xm:sqref>
        </x14:conditionalFormatting>
        <x14:conditionalFormatting xmlns:xm="http://schemas.microsoft.com/office/excel/2006/main">
          <x14:cfRule type="cellIs" priority="9" operator="notEqual" id="{2B4C5B25-9F27-4A95-8480-1747BE13258C}">
            <xm:f>""</xm:f>
            <x14:dxf>
              <fill>
                <patternFill>
                  <bgColor rgb="FFFABF8F"/>
                </patternFill>
              </fill>
            </x14:dxf>
          </x14:cfRule>
          <xm:sqref>D28</xm:sqref>
        </x14:conditionalFormatting>
        <x14:conditionalFormatting xmlns:xm="http://schemas.microsoft.com/office/excel/2006/main">
          <x14:cfRule type="cellIs" priority="10" operator="notEqual" id="{4DA06930-D02A-4062-B7D9-A297405C3E10}">
            <xm:f>""</xm:f>
            <x14:dxf>
              <fill>
                <patternFill/>
              </fill>
            </x14:dxf>
          </x14:cfRule>
          <x14:cfRule type="expression" priority="11" id="{F8C8D1F0-6055-45A2-8682-E011C6F82039}">
            <xm:f>$D$47="CPU"</xm:f>
            <x14:dxf>
              <fill>
                <patternFill>
                  <bgColor rgb="FFFABF8F"/>
                </patternFill>
              </fill>
            </x14:dxf>
          </x14:cfRule>
          <xm:sqref>D51</xm:sqref>
        </x14:conditionalFormatting>
        <x14:conditionalFormatting xmlns:xm="http://schemas.microsoft.com/office/excel/2006/main">
          <x14:cfRule type="cellIs" priority="12" operator="notEqual" id="{F4A6D024-5918-45C8-84F4-3747E77FFF80}">
            <xm:f>""</xm:f>
            <x14:dxf>
              <fill>
                <patternFill/>
              </fill>
            </x14:dxf>
          </x14:cfRule>
          <x14:cfRule type="expression" priority="13" id="{726544DD-8CA6-4D16-9C7A-F0445E73FD1B}">
            <xm:f>$D$47="GPU"</xm:f>
            <x14:dxf>
              <fill>
                <patternFill>
                  <bgColor rgb="FFFABF8F"/>
                </patternFill>
              </fill>
            </x14:dxf>
          </x14:cfRule>
          <xm:sqref>D52:D59</xm:sqref>
        </x14:conditionalFormatting>
        <x14:conditionalFormatting xmlns:xm="http://schemas.microsoft.com/office/excel/2006/main">
          <x14:cfRule type="cellIs" priority="14" operator="notEqual" id="{CB70554D-72F6-40A0-9750-3D1B2593308A}">
            <xm:f>""</xm:f>
            <x14:dxf>
              <fill>
                <patternFill/>
              </fill>
            </x14:dxf>
          </x14:cfRule>
          <x14:cfRule type="expression" priority="15" id="{F040B53E-A01E-4485-AAF1-4C789CFEB970}">
            <xm:f>$D$47="GPU"</xm:f>
            <x14:dxf>
              <fill>
                <patternFill/>
              </fill>
            </x14:dxf>
          </x14:cfRule>
          <xm:sqref>D49</xm:sqref>
        </x14:conditionalFormatting>
        <x14:conditionalFormatting xmlns:xm="http://schemas.microsoft.com/office/excel/2006/main">
          <x14:cfRule type="cellIs" priority="16" operator="notEqual" id="{187C13C0-63BE-49F7-A643-CD1CAA5E5C7F}">
            <xm:f>""</xm:f>
            <x14:dxf>
              <fill>
                <patternFill>
                  <bgColor rgb="FFFABF8F"/>
                </patternFill>
              </fill>
            </x14:dxf>
          </x14:cfRule>
          <x14:cfRule type="expression" priority="17" id="{CFC78AF5-FAC0-4AF2-A2DD-6A48EBB5DA15}">
            <xm:f>#REF!="Other"</xm:f>
            <x14:dxf>
              <fill>
                <patternFill/>
              </fill>
            </x14:dxf>
          </x14:cfRule>
          <xm:sqref>D62</xm:sqref>
        </x14:conditionalFormatting>
        <x14:conditionalFormatting xmlns:xm="http://schemas.microsoft.com/office/excel/2006/main">
          <x14:cfRule type="cellIs" priority="18" operator="notEqual" id="{E9D31D25-CDF9-468A-A7A0-FEC9CB9030B7}">
            <xm:f>""</xm:f>
            <x14:dxf>
              <fill>
                <patternFill>
                  <bgColor rgb="FFFABF8F"/>
                </patternFill>
              </fill>
            </x14:dxf>
          </x14:cfRule>
          <xm:sqref>F10:P10</xm:sqref>
        </x14:conditionalFormatting>
        <x14:conditionalFormatting xmlns:xm="http://schemas.microsoft.com/office/excel/2006/main">
          <x14:cfRule type="cellIs" priority="19" operator="notEqual" id="{C2856025-A1D0-4420-936F-B464A1B0F03D}">
            <xm:f>""</xm:f>
            <x14:dxf>
              <fill>
                <patternFill/>
              </fill>
            </x14:dxf>
          </x14:cfRule>
          <x14:cfRule type="expression" priority="20" id="{82B18DCD-49D4-43C4-8761-E17689D1AC1F}">
            <xm:f>#REF!="Other"</xm:f>
            <x14:dxf>
              <fill>
                <patternFill>
                  <bgColor rgb="FFFABF8F"/>
                </patternFill>
              </fill>
            </x14:dxf>
          </x14:cfRule>
          <xm:sqref>D21</xm:sqref>
        </x14:conditionalFormatting>
        <x14:conditionalFormatting xmlns:xm="http://schemas.microsoft.com/office/excel/2006/main">
          <x14:cfRule type="cellIs" priority="21" operator="notEqual" id="{F385804A-2340-4229-889D-50809EF32235}">
            <xm:f>""</xm:f>
            <x14:dxf>
              <fill>
                <patternFill/>
              </fill>
            </x14:dxf>
          </x14:cfRule>
          <x14:cfRule type="expression" priority="22" id="{50C52E4B-DDCC-4C4F-8B79-65522CFFF6B0}">
            <xm:f>$D$47="CPU"</xm:f>
            <x14:dxf>
              <fill>
                <patternFill/>
              </fill>
            </x14:dxf>
          </x14:cfRule>
          <xm:sqref>D48</xm:sqref>
        </x14:conditionalFormatting>
        <x14:conditionalFormatting xmlns:xm="http://schemas.microsoft.com/office/excel/2006/main">
          <x14:cfRule type="cellIs" priority="23" operator="notEqual" id="{3651273E-6351-45EF-9E84-CDB68A70AA54}">
            <xm:f>""</xm:f>
            <x14:dxf>
              <fill>
                <patternFill>
                  <bgColor rgb="FFFABF8F"/>
                </patternFill>
              </fill>
            </x14:dxf>
          </x14:cfRule>
          <xm:sqref>D48:D59</xm:sqref>
        </x14:conditionalFormatting>
        <x14:conditionalFormatting xmlns:xm="http://schemas.microsoft.com/office/excel/2006/main">
          <x14:cfRule type="cellIs" priority="24" operator="notEqual" id="{CE9EDCB7-F7C0-41E3-8E92-CBC89BC7244F}">
            <xm:f>""</xm:f>
            <x14:dxf>
              <fill>
                <patternFill/>
              </fill>
            </x14:dxf>
          </x14:cfRule>
          <x14:cfRule type="expression" priority="25" id="{F6405583-B0A5-4595-A06D-53E37C408623}">
            <xm:f>$D$34="Steady State"</xm:f>
            <x14:dxf>
              <fill>
                <patternFill/>
              </fill>
            </x14:dxf>
          </x14:cfRule>
          <xm:sqref>D43</xm:sqref>
        </x14:conditionalFormatting>
        <x14:conditionalFormatting xmlns:xm="http://schemas.microsoft.com/office/excel/2006/main">
          <x14:cfRule type="cellIs" priority="26" operator="notEqual" id="{C3A3818B-96A7-4D92-AC50-8775D9404373}">
            <xm:f>""</xm:f>
            <x14:dxf>
              <fill>
                <patternFill>
                  <bgColor rgb="FFFABF8F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cellIs" priority="27" operator="notEqual" id="{6B581F23-96F2-4E70-B6BA-8FB8566153FA}">
            <xm:f>""</xm:f>
            <x14:dxf>
              <fill>
                <patternFill/>
              </fill>
            </x14:dxf>
          </x14:cfRule>
          <x14:cfRule type="expression" priority="28" id="{D5EEADA7-AEA2-4114-899D-30A1B299E631}">
            <xm:f>$D$47="GPU"</xm:f>
            <x14:dxf>
              <fill>
                <patternFill>
                  <bgColor rgb="FFFABF8F"/>
                </patternFill>
              </fill>
            </x14:dxf>
          </x14:cfRule>
          <xm:sqref>D51:D59</xm:sqref>
        </x14:conditionalFormatting>
        <x14:conditionalFormatting xmlns:xm="http://schemas.microsoft.com/office/excel/2006/main">
          <x14:cfRule type="cellIs" priority="29" operator="notEqual" id="{1294B9F4-F0A3-42A5-8012-D3F630B9BFB5}">
            <xm:f>""</xm:f>
            <x14:dxf>
              <fill>
                <patternFill/>
              </fill>
            </x14:dxf>
          </x14:cfRule>
          <xm:sqref>D25</xm:sqref>
        </x14:conditionalFormatting>
        <x14:conditionalFormatting xmlns:xm="http://schemas.microsoft.com/office/excel/2006/main">
          <x14:cfRule type="cellIs" priority="30" operator="notEqual" id="{408C243A-1F89-451A-AB27-675FF3E9106D}">
            <xm:f>""</xm:f>
            <x14:dxf>
              <fill>
                <patternFill/>
              </fill>
            </x14:dxf>
          </x14:cfRule>
          <x14:cfRule type="expression" priority="31" id="{5C36E050-DDA8-447D-8120-82FE63C2FAA0}">
            <xm:f>$D$34="Steady State"</xm:f>
            <x14:dxf>
              <fill>
                <patternFill>
                  <bgColor rgb="FFFABF8F"/>
                </patternFill>
              </fill>
            </x14:dxf>
          </x14:cfRule>
          <xm:sqref>D35</xm:sqref>
        </x14:conditionalFormatting>
        <x14:conditionalFormatting xmlns:xm="http://schemas.microsoft.com/office/excel/2006/main">
          <x14:cfRule type="cellIs" priority="32" operator="notEqual" id="{D83CAB5D-B593-4629-9279-3DA3C1313CCC}">
            <xm:f>""</xm:f>
            <x14:dxf>
              <fill>
                <patternFill/>
              </fill>
            </x14:dxf>
          </x14:cfRule>
          <x14:cfRule type="expression" priority="33" id="{E6C6F989-1FD7-4E4E-8C43-524C24A11275}">
            <xm:f>$D$34="Steady State"</xm:f>
            <x14:dxf>
              <fill>
                <patternFill/>
              </fill>
            </x14:dxf>
          </x14:cfRule>
          <xm:sqref>D39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1000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D28" activeCellId="0" sqref="D28"/>
    </sheetView>
  </sheetViews>
  <sheetFormatPr defaultColWidth="12.66796875" defaultRowHeight="15" customHeight="true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1" width="39.11"/>
    <col collapsed="false" customWidth="true" hidden="false" outlineLevel="0" max="11" min="4" style="1" width="18.79"/>
    <col collapsed="false" customWidth="true" hidden="false" outlineLevel="0" max="12" min="12" style="1" width="9.11"/>
    <col collapsed="false" customWidth="true" hidden="false" outlineLevel="0" max="13" min="13" style="1" width="36.44"/>
    <col collapsed="false" customWidth="true" hidden="false" outlineLevel="0" max="14" min="14" style="1" width="5.33"/>
    <col collapsed="false" customWidth="true" hidden="true" outlineLevel="0" max="15" min="15" style="1" width="12.76"/>
    <col collapsed="false" customWidth="true" hidden="true" outlineLevel="0" max="16" min="16" style="1" width="13.44"/>
    <col collapsed="false" customWidth="true" hidden="true" outlineLevel="0" max="17" min="17" style="1" width="11.77"/>
    <col collapsed="false" customWidth="true" hidden="true" outlineLevel="0" max="18" min="18" style="1" width="10"/>
    <col collapsed="false" customWidth="true" hidden="true" outlineLevel="0" max="19" min="19" style="1" width="7.76"/>
    <col collapsed="false" customWidth="true" hidden="true" outlineLevel="0" max="21" min="20" style="1" width="8.11"/>
    <col collapsed="false" customWidth="true" hidden="true" outlineLevel="0" max="22" min="22" style="1" width="7.76"/>
    <col collapsed="false" customWidth="true" hidden="true" outlineLevel="0" max="23" min="23" style="1" width="6.67"/>
    <col collapsed="false" customWidth="true" hidden="false" outlineLevel="0" max="26" min="24" style="1" width="8.76"/>
  </cols>
  <sheetData>
    <row r="1" customFormat="false" ht="12.75" hidden="false" customHeight="true" outlineLevel="0" collapsed="false">
      <c r="A1" s="2"/>
      <c r="B1" s="2"/>
      <c r="C1" s="3"/>
      <c r="D1" s="2"/>
      <c r="E1" s="2"/>
      <c r="F1" s="2"/>
      <c r="G1" s="2"/>
      <c r="H1" s="2"/>
      <c r="I1" s="2"/>
      <c r="J1" s="2"/>
      <c r="K1" s="2"/>
      <c r="L1" s="4"/>
      <c r="M1" s="4"/>
      <c r="N1" s="4"/>
      <c r="O1" s="5"/>
      <c r="P1" s="5"/>
      <c r="Q1" s="5"/>
      <c r="R1" s="5"/>
      <c r="S1" s="5"/>
      <c r="T1" s="5"/>
      <c r="U1" s="5"/>
      <c r="V1" s="5"/>
      <c r="W1" s="5"/>
      <c r="X1" s="2"/>
    </row>
    <row r="2" customFormat="false" ht="12.75" hidden="false" customHeight="true" outlineLevel="0" collapsed="false">
      <c r="A2" s="2"/>
      <c r="B2" s="6" t="s">
        <v>0</v>
      </c>
      <c r="C2" s="3"/>
      <c r="D2" s="7"/>
      <c r="E2" s="7"/>
      <c r="F2" s="7"/>
      <c r="G2" s="7"/>
      <c r="H2" s="7"/>
      <c r="I2" s="7"/>
      <c r="J2" s="7"/>
      <c r="K2" s="7"/>
      <c r="L2" s="4"/>
      <c r="M2" s="4"/>
      <c r="N2" s="4"/>
      <c r="O2" s="5"/>
      <c r="P2" s="5"/>
      <c r="Q2" s="5"/>
      <c r="R2" s="5"/>
      <c r="S2" s="5"/>
      <c r="T2" s="5"/>
      <c r="U2" s="5"/>
      <c r="V2" s="5"/>
      <c r="W2" s="5"/>
      <c r="X2" s="2"/>
    </row>
    <row r="3" customFormat="false" ht="12.75" hidden="false" customHeight="true" outlineLevel="0" collapsed="false">
      <c r="A3" s="2"/>
      <c r="B3" s="4"/>
      <c r="C3" s="4"/>
      <c r="D3" s="8"/>
      <c r="E3" s="8"/>
      <c r="F3" s="8"/>
      <c r="G3" s="8"/>
      <c r="H3" s="8"/>
      <c r="I3" s="8"/>
      <c r="J3" s="8"/>
      <c r="K3" s="8"/>
      <c r="L3" s="2"/>
      <c r="M3" s="4"/>
      <c r="N3" s="4"/>
      <c r="O3" s="5"/>
      <c r="P3" s="5"/>
      <c r="Q3" s="5"/>
      <c r="R3" s="5"/>
      <c r="S3" s="5"/>
      <c r="T3" s="5"/>
      <c r="U3" s="5"/>
      <c r="V3" s="5"/>
      <c r="W3" s="5"/>
      <c r="X3" s="2"/>
    </row>
    <row r="4" customFormat="false" ht="12.75" hidden="false" customHeight="true" outlineLevel="0" collapsed="false">
      <c r="A4" s="2"/>
      <c r="B4" s="2"/>
      <c r="C4" s="2"/>
      <c r="D4" s="7"/>
      <c r="E4" s="7"/>
      <c r="F4" s="7"/>
      <c r="G4" s="7"/>
      <c r="H4" s="7"/>
      <c r="I4" s="7"/>
      <c r="J4" s="7"/>
      <c r="K4" s="7"/>
      <c r="L4" s="2"/>
      <c r="M4" s="11" t="s">
        <v>3</v>
      </c>
      <c r="N4" s="7"/>
      <c r="O4" s="12" t="s">
        <v>4</v>
      </c>
      <c r="P4" s="12"/>
      <c r="Q4" s="12"/>
      <c r="R4" s="12"/>
      <c r="S4" s="12"/>
      <c r="T4" s="12"/>
      <c r="U4" s="12"/>
      <c r="V4" s="12"/>
      <c r="W4" s="12"/>
      <c r="X4" s="2"/>
    </row>
    <row r="5" customFormat="false" ht="12.75" hidden="false" customHeight="true" outlineLevel="0" collapsed="false">
      <c r="A5" s="2"/>
      <c r="B5" s="18" t="s">
        <v>110</v>
      </c>
      <c r="C5" s="18"/>
      <c r="D5" s="19" t="s">
        <v>111</v>
      </c>
      <c r="E5" s="19" t="s">
        <v>112</v>
      </c>
      <c r="F5" s="19" t="s">
        <v>113</v>
      </c>
      <c r="G5" s="19" t="s">
        <v>114</v>
      </c>
      <c r="H5" s="19"/>
      <c r="I5" s="19"/>
      <c r="J5" s="19"/>
      <c r="K5" s="19" t="s">
        <v>115</v>
      </c>
      <c r="L5" s="2"/>
      <c r="M5" s="7"/>
      <c r="N5" s="7"/>
      <c r="O5" s="14"/>
      <c r="P5" s="14"/>
      <c r="Q5" s="14"/>
      <c r="R5" s="14"/>
      <c r="S5" s="14"/>
      <c r="T5" s="14"/>
      <c r="U5" s="14"/>
      <c r="V5" s="14"/>
      <c r="W5" s="14"/>
      <c r="X5" s="2"/>
    </row>
    <row r="6" customFormat="false" ht="12.75" hidden="false" customHeight="true" outlineLevel="0" collapsed="false">
      <c r="A6" s="2"/>
      <c r="B6" s="42" t="s">
        <v>44</v>
      </c>
      <c r="C6" s="42"/>
      <c r="D6" s="26" t="s">
        <v>45</v>
      </c>
      <c r="E6" s="26"/>
      <c r="F6" s="26"/>
      <c r="G6" s="26"/>
      <c r="H6" s="26"/>
      <c r="I6" s="26"/>
      <c r="J6" s="26"/>
      <c r="K6" s="26"/>
      <c r="L6" s="2"/>
      <c r="M6" s="43" t="s">
        <v>45</v>
      </c>
      <c r="N6" s="2"/>
      <c r="O6" s="2" t="s">
        <v>45</v>
      </c>
      <c r="P6" s="2" t="s">
        <v>46</v>
      </c>
      <c r="Q6" s="2" t="s">
        <v>47</v>
      </c>
      <c r="R6" s="2" t="s">
        <v>48</v>
      </c>
      <c r="S6" s="2"/>
      <c r="T6" s="2"/>
      <c r="U6" s="2"/>
      <c r="V6" s="2"/>
      <c r="W6" s="52"/>
      <c r="X6" s="2"/>
    </row>
    <row r="7" customFormat="false" ht="12.75" hidden="false" customHeight="true" outlineLevel="0" collapsed="false">
      <c r="A7" s="2"/>
      <c r="B7" s="15" t="s">
        <v>49</v>
      </c>
      <c r="C7" s="15"/>
      <c r="D7" s="26"/>
      <c r="E7" s="26"/>
      <c r="F7" s="26"/>
      <c r="G7" s="26"/>
      <c r="H7" s="26"/>
      <c r="I7" s="26"/>
      <c r="J7" s="26"/>
      <c r="K7" s="26"/>
      <c r="L7" s="2"/>
      <c r="M7" s="46" t="s">
        <v>50</v>
      </c>
      <c r="N7" s="2"/>
      <c r="O7" s="2" t="s">
        <v>51</v>
      </c>
      <c r="P7" s="2" t="s">
        <v>52</v>
      </c>
      <c r="Q7" s="2"/>
      <c r="R7" s="2"/>
      <c r="S7" s="2"/>
      <c r="T7" s="2"/>
      <c r="U7" s="2"/>
      <c r="V7" s="2"/>
      <c r="W7" s="41"/>
      <c r="X7" s="2"/>
    </row>
    <row r="8" customFormat="false" ht="12.75" hidden="false" customHeight="true" outlineLevel="0" collapsed="false">
      <c r="A8" s="2"/>
      <c r="B8" s="53"/>
      <c r="C8" s="54" t="s">
        <v>53</v>
      </c>
      <c r="D8" s="26"/>
      <c r="E8" s="26"/>
      <c r="F8" s="26"/>
      <c r="G8" s="26"/>
      <c r="H8" s="26"/>
      <c r="I8" s="26"/>
      <c r="J8" s="26"/>
      <c r="K8" s="26"/>
      <c r="L8" s="2"/>
      <c r="M8" s="46" t="s">
        <v>54</v>
      </c>
      <c r="N8" s="2"/>
      <c r="O8" s="2" t="s">
        <v>55</v>
      </c>
      <c r="P8" s="2" t="s">
        <v>56</v>
      </c>
      <c r="Q8" s="2"/>
      <c r="R8" s="2"/>
      <c r="S8" s="2"/>
      <c r="T8" s="2"/>
      <c r="U8" s="2"/>
      <c r="V8" s="2"/>
      <c r="W8" s="41"/>
      <c r="X8" s="2"/>
    </row>
    <row r="9" customFormat="false" ht="12.75" hidden="false" customHeight="true" outlineLevel="0" collapsed="false">
      <c r="A9" s="2"/>
      <c r="B9" s="53"/>
      <c r="C9" s="54" t="s">
        <v>57</v>
      </c>
      <c r="D9" s="26"/>
      <c r="E9" s="26"/>
      <c r="F9" s="26"/>
      <c r="G9" s="26"/>
      <c r="H9" s="26"/>
      <c r="I9" s="26"/>
      <c r="J9" s="26"/>
      <c r="K9" s="26"/>
      <c r="L9" s="2"/>
      <c r="M9" s="46" t="s">
        <v>58</v>
      </c>
      <c r="N9" s="2"/>
      <c r="O9" s="2" t="s">
        <v>59</v>
      </c>
      <c r="P9" s="2" t="s">
        <v>58</v>
      </c>
      <c r="Q9" s="2"/>
      <c r="R9" s="2"/>
      <c r="S9" s="2"/>
      <c r="T9" s="2"/>
      <c r="U9" s="2"/>
      <c r="V9" s="2"/>
      <c r="W9" s="41"/>
      <c r="X9" s="2"/>
    </row>
    <row r="10" customFormat="false" ht="12.75" hidden="false" customHeight="true" outlineLevel="0" collapsed="false">
      <c r="A10" s="2"/>
      <c r="B10" s="53"/>
      <c r="C10" s="54" t="s">
        <v>60</v>
      </c>
      <c r="D10" s="26"/>
      <c r="E10" s="26"/>
      <c r="F10" s="26"/>
      <c r="G10" s="26"/>
      <c r="H10" s="26"/>
      <c r="I10" s="26"/>
      <c r="J10" s="26"/>
      <c r="K10" s="26"/>
      <c r="L10" s="2"/>
      <c r="M10" s="46" t="s">
        <v>61</v>
      </c>
      <c r="N10" s="2"/>
      <c r="O10" s="2"/>
      <c r="P10" s="2"/>
      <c r="Q10" s="2"/>
      <c r="R10" s="2"/>
      <c r="S10" s="2"/>
      <c r="T10" s="2"/>
      <c r="U10" s="2"/>
      <c r="V10" s="2"/>
      <c r="W10" s="41"/>
      <c r="X10" s="2"/>
    </row>
    <row r="11" customFormat="false" ht="12.75" hidden="false" customHeight="true" outlineLevel="0" collapsed="false">
      <c r="A11" s="2"/>
      <c r="B11" s="53"/>
      <c r="C11" s="54" t="s">
        <v>62</v>
      </c>
      <c r="D11" s="26"/>
      <c r="E11" s="26"/>
      <c r="F11" s="26"/>
      <c r="G11" s="26"/>
      <c r="H11" s="26"/>
      <c r="I11" s="26"/>
      <c r="J11" s="26"/>
      <c r="K11" s="26"/>
      <c r="L11" s="2"/>
      <c r="M11" s="46" t="s">
        <v>63</v>
      </c>
      <c r="N11" s="2"/>
      <c r="O11" s="2"/>
      <c r="P11" s="2"/>
      <c r="Q11" s="2"/>
      <c r="R11" s="2"/>
      <c r="S11" s="2"/>
      <c r="T11" s="2"/>
      <c r="U11" s="2"/>
      <c r="V11" s="2"/>
      <c r="W11" s="41"/>
      <c r="X11" s="2"/>
    </row>
    <row r="12" customFormat="false" ht="12.75" hidden="false" customHeight="true" outlineLevel="0" collapsed="false">
      <c r="A12" s="2"/>
      <c r="B12" s="53"/>
      <c r="C12" s="54" t="s">
        <v>64</v>
      </c>
      <c r="D12" s="26" t="s">
        <v>66</v>
      </c>
      <c r="E12" s="26"/>
      <c r="F12" s="26"/>
      <c r="G12" s="26"/>
      <c r="H12" s="26"/>
      <c r="I12" s="26"/>
      <c r="J12" s="26"/>
      <c r="K12" s="26"/>
      <c r="L12" s="2"/>
      <c r="M12" s="46" t="s">
        <v>65</v>
      </c>
      <c r="N12" s="2"/>
      <c r="O12" s="2" t="s">
        <v>66</v>
      </c>
      <c r="P12" s="2" t="s">
        <v>67</v>
      </c>
      <c r="Q12" s="2"/>
      <c r="R12" s="2"/>
      <c r="S12" s="2"/>
      <c r="T12" s="2"/>
      <c r="U12" s="2"/>
      <c r="V12" s="2"/>
      <c r="W12" s="41"/>
      <c r="X12" s="2"/>
    </row>
    <row r="13" customFormat="false" ht="12.75" hidden="false" customHeight="true" outlineLevel="0" collapsed="false">
      <c r="A13" s="2"/>
      <c r="B13" s="15" t="s">
        <v>68</v>
      </c>
      <c r="C13" s="15"/>
      <c r="D13" s="26"/>
      <c r="E13" s="26"/>
      <c r="F13" s="26"/>
      <c r="G13" s="26"/>
      <c r="H13" s="26"/>
      <c r="I13" s="26"/>
      <c r="J13" s="26"/>
      <c r="K13" s="26"/>
      <c r="L13" s="2"/>
      <c r="M13" s="28" t="n">
        <v>0</v>
      </c>
      <c r="N13" s="2"/>
      <c r="O13" s="2"/>
      <c r="P13" s="2"/>
      <c r="Q13" s="2"/>
      <c r="R13" s="2"/>
      <c r="S13" s="2"/>
      <c r="T13" s="2"/>
      <c r="U13" s="2"/>
      <c r="V13" s="2"/>
      <c r="W13" s="41"/>
      <c r="X13" s="2"/>
    </row>
    <row r="14" customFormat="false" ht="12.75" hidden="false" customHeight="true" outlineLevel="0" collapsed="false">
      <c r="A14" s="2"/>
      <c r="B14" s="42" t="s">
        <v>69</v>
      </c>
      <c r="C14" s="42"/>
      <c r="D14" s="71" t="n">
        <v>89991</v>
      </c>
      <c r="E14" s="26"/>
      <c r="F14" s="26"/>
      <c r="G14" s="26"/>
      <c r="H14" s="26"/>
      <c r="I14" s="26"/>
      <c r="J14" s="26"/>
      <c r="K14" s="26"/>
      <c r="L14" s="2"/>
      <c r="M14" s="28" t="n">
        <v>3600</v>
      </c>
      <c r="N14" s="3"/>
      <c r="O14" s="2"/>
      <c r="P14" s="2"/>
      <c r="Q14" s="2"/>
      <c r="R14" s="2"/>
      <c r="S14" s="2"/>
      <c r="T14" s="2"/>
      <c r="U14" s="2"/>
      <c r="V14" s="2"/>
      <c r="W14" s="14"/>
      <c r="X14" s="2"/>
    </row>
    <row r="15" customFormat="false" ht="12.75" hidden="false" customHeight="true" outlineLevel="0" collapsed="false">
      <c r="A15" s="2"/>
      <c r="B15" s="15" t="s">
        <v>70</v>
      </c>
      <c r="C15" s="15"/>
      <c r="D15" s="71" t="n">
        <v>22.75267756</v>
      </c>
      <c r="E15" s="72"/>
      <c r="F15" s="26"/>
      <c r="G15" s="26"/>
      <c r="H15" s="26"/>
      <c r="I15" s="26"/>
      <c r="J15" s="26"/>
      <c r="K15" s="26"/>
      <c r="L15" s="2"/>
      <c r="M15" s="28" t="n">
        <v>24</v>
      </c>
      <c r="N15" s="2"/>
      <c r="O15" s="2"/>
      <c r="P15" s="2"/>
      <c r="Q15" s="2"/>
      <c r="R15" s="2"/>
      <c r="S15" s="2"/>
      <c r="T15" s="2"/>
      <c r="U15" s="2"/>
      <c r="V15" s="2"/>
      <c r="W15" s="41"/>
      <c r="X15" s="2"/>
    </row>
    <row r="16" customFormat="false" ht="12.75" hidden="false" customHeight="true" outlineLevel="0" collapsed="false">
      <c r="A16" s="2"/>
      <c r="B16" s="15" t="s">
        <v>71</v>
      </c>
      <c r="C16" s="15"/>
      <c r="D16" s="73" t="n">
        <f aca="false">360+8*300</f>
        <v>2760</v>
      </c>
      <c r="E16" s="55"/>
      <c r="F16" s="55"/>
      <c r="G16" s="55"/>
      <c r="H16" s="55"/>
      <c r="I16" s="55"/>
      <c r="J16" s="55"/>
      <c r="K16" s="55"/>
      <c r="L16" s="2"/>
      <c r="M16" s="28" t="n">
        <v>500</v>
      </c>
      <c r="N16" s="2"/>
      <c r="O16" s="2"/>
      <c r="P16" s="2"/>
      <c r="Q16" s="2"/>
      <c r="R16" s="2"/>
      <c r="S16" s="2"/>
      <c r="T16" s="2"/>
      <c r="U16" s="2"/>
      <c r="V16" s="2"/>
      <c r="W16" s="41"/>
      <c r="X16" s="2"/>
    </row>
    <row r="17" customFormat="false" ht="12.75" hidden="false" customHeight="true" outlineLevel="0" collapsed="false">
      <c r="A17" s="2"/>
      <c r="B17" s="15" t="s">
        <v>72</v>
      </c>
      <c r="C17" s="15"/>
      <c r="D17" s="74" t="n">
        <f aca="false">D16/1000*D14/3600</f>
        <v>68.9931</v>
      </c>
      <c r="E17" s="39"/>
      <c r="F17" s="39"/>
      <c r="G17" s="39"/>
      <c r="H17" s="39"/>
      <c r="I17" s="39"/>
      <c r="J17" s="39"/>
      <c r="K17" s="39"/>
      <c r="L17" s="2"/>
      <c r="M17" s="2"/>
      <c r="N17" s="2"/>
      <c r="O17" s="41"/>
      <c r="P17" s="41"/>
      <c r="Q17" s="41"/>
      <c r="R17" s="41"/>
      <c r="S17" s="41"/>
      <c r="T17" s="41"/>
      <c r="U17" s="41"/>
      <c r="V17" s="41"/>
      <c r="W17" s="41"/>
      <c r="X17" s="2"/>
    </row>
    <row r="18" customFormat="false" ht="12.75" hidden="false" customHeight="true" outlineLevel="0" collapsed="false">
      <c r="A18" s="2"/>
      <c r="B18" s="53" t="s">
        <v>73</v>
      </c>
      <c r="C18" s="53"/>
      <c r="D18" s="26" t="s">
        <v>116</v>
      </c>
      <c r="E18" s="26"/>
      <c r="F18" s="26"/>
      <c r="G18" s="26"/>
      <c r="H18" s="55"/>
      <c r="I18" s="55"/>
      <c r="J18" s="55"/>
      <c r="K18" s="55"/>
      <c r="L18" s="2"/>
      <c r="M18" s="28" t="s">
        <v>117</v>
      </c>
      <c r="N18" s="2"/>
      <c r="O18" s="21"/>
      <c r="P18" s="21"/>
      <c r="Q18" s="21"/>
      <c r="R18" s="21"/>
      <c r="S18" s="21"/>
      <c r="T18" s="21"/>
      <c r="U18" s="21"/>
      <c r="V18" s="21"/>
      <c r="W18" s="21"/>
      <c r="X18" s="2"/>
    </row>
    <row r="19" customFormat="false" ht="12.75" hidden="false" customHeight="true" outlineLevel="0" collapsed="false">
      <c r="A19" s="2"/>
      <c r="B19" s="53" t="s">
        <v>74</v>
      </c>
      <c r="C19" s="53"/>
      <c r="D19" s="26" t="s">
        <v>118</v>
      </c>
      <c r="E19" s="26"/>
      <c r="F19" s="26"/>
      <c r="G19" s="26"/>
      <c r="H19" s="55"/>
      <c r="I19" s="55"/>
      <c r="J19" s="55"/>
      <c r="K19" s="55"/>
      <c r="L19" s="2"/>
      <c r="M19" s="43" t="s">
        <v>118</v>
      </c>
      <c r="N19" s="2"/>
      <c r="O19" s="2"/>
      <c r="P19" s="2"/>
      <c r="Q19" s="44"/>
      <c r="R19" s="44"/>
      <c r="S19" s="44"/>
      <c r="T19" s="44"/>
      <c r="U19" s="44"/>
      <c r="V19" s="44"/>
      <c r="W19" s="44"/>
      <c r="X19" s="2"/>
    </row>
    <row r="20" customFormat="false" ht="12.75" hidden="false" customHeight="true" outlineLevel="0" collapsed="false">
      <c r="A20" s="2"/>
      <c r="B20" s="50"/>
      <c r="C20" s="50"/>
      <c r="D20" s="7"/>
      <c r="E20" s="7"/>
      <c r="F20" s="7"/>
      <c r="G20" s="7"/>
      <c r="H20" s="7"/>
      <c r="I20" s="7"/>
      <c r="J20" s="7"/>
      <c r="K20" s="7"/>
      <c r="L20" s="2"/>
      <c r="M20" s="2"/>
      <c r="N20" s="2"/>
      <c r="O20" s="2"/>
      <c r="P20" s="2"/>
      <c r="Q20" s="41"/>
      <c r="R20" s="41"/>
      <c r="S20" s="41"/>
      <c r="T20" s="41"/>
      <c r="U20" s="41"/>
      <c r="V20" s="41"/>
      <c r="W20" s="41"/>
      <c r="X20" s="2"/>
    </row>
    <row r="21" customFormat="false" ht="12.75" hidden="false" customHeight="true" outlineLevel="0" collapsed="false">
      <c r="A21" s="2"/>
      <c r="B21" s="18" t="s">
        <v>119</v>
      </c>
      <c r="C21" s="18"/>
      <c r="D21" s="19"/>
      <c r="E21" s="19"/>
      <c r="F21" s="19"/>
      <c r="G21" s="19"/>
      <c r="H21" s="19"/>
      <c r="I21" s="19"/>
      <c r="J21" s="19"/>
      <c r="K21" s="19"/>
      <c r="L21" s="2"/>
      <c r="M21" s="20"/>
      <c r="N21" s="3"/>
      <c r="O21" s="51"/>
      <c r="P21" s="51"/>
      <c r="Q21" s="51"/>
      <c r="R21" s="51"/>
      <c r="S21" s="51"/>
      <c r="T21" s="51"/>
      <c r="U21" s="51"/>
      <c r="V21" s="51"/>
      <c r="W21" s="51"/>
      <c r="X21" s="2"/>
    </row>
    <row r="22" customFormat="false" ht="12.75" hidden="false" customHeight="true" outlineLevel="0" collapsed="false">
      <c r="A22" s="2"/>
      <c r="B22" s="15" t="s">
        <v>79</v>
      </c>
      <c r="C22" s="15"/>
      <c r="D22" s="26" t="s">
        <v>81</v>
      </c>
      <c r="E22" s="26"/>
      <c r="F22" s="26"/>
      <c r="G22" s="26"/>
      <c r="H22" s="26"/>
      <c r="I22" s="26"/>
      <c r="J22" s="26"/>
      <c r="K22" s="26"/>
      <c r="L22" s="2"/>
      <c r="M22" s="46" t="s">
        <v>80</v>
      </c>
      <c r="N22" s="2"/>
      <c r="O22" s="2" t="s">
        <v>81</v>
      </c>
      <c r="P22" s="2" t="s">
        <v>80</v>
      </c>
      <c r="Q22" s="2" t="s">
        <v>82</v>
      </c>
      <c r="R22" s="2"/>
      <c r="S22" s="2"/>
      <c r="T22" s="2"/>
      <c r="U22" s="2"/>
      <c r="V22" s="2"/>
      <c r="W22" s="41"/>
      <c r="X22" s="2"/>
    </row>
    <row r="23" customFormat="false" ht="12.75" hidden="false" customHeight="true" outlineLevel="0" collapsed="false">
      <c r="A23" s="2"/>
      <c r="B23" s="42" t="s">
        <v>83</v>
      </c>
      <c r="C23" s="42"/>
      <c r="D23" s="26" t="s">
        <v>120</v>
      </c>
      <c r="E23" s="26"/>
      <c r="F23" s="26"/>
      <c r="G23" s="26"/>
      <c r="H23" s="26"/>
      <c r="I23" s="26"/>
      <c r="J23" s="26"/>
      <c r="K23" s="26"/>
      <c r="L23" s="2"/>
      <c r="M23" s="43" t="s">
        <v>84</v>
      </c>
      <c r="N23" s="2"/>
      <c r="O23" s="2"/>
      <c r="P23" s="2"/>
      <c r="Q23" s="2"/>
      <c r="R23" s="2"/>
      <c r="S23" s="2"/>
      <c r="T23" s="2"/>
      <c r="U23" s="2"/>
      <c r="V23" s="2"/>
      <c r="W23" s="41"/>
      <c r="X23" s="2"/>
    </row>
    <row r="24" customFormat="false" ht="12.75" hidden="false" customHeight="true" outlineLevel="0" collapsed="false">
      <c r="A24" s="2"/>
      <c r="B24" s="42" t="s">
        <v>85</v>
      </c>
      <c r="C24" s="42"/>
      <c r="D24" s="26" t="s">
        <v>121</v>
      </c>
      <c r="E24" s="26"/>
      <c r="F24" s="26"/>
      <c r="G24" s="26"/>
      <c r="H24" s="26"/>
      <c r="I24" s="26"/>
      <c r="J24" s="26"/>
      <c r="K24" s="26"/>
      <c r="L24" s="2"/>
      <c r="M24" s="46" t="s">
        <v>86</v>
      </c>
      <c r="N24" s="2"/>
      <c r="O24" s="41"/>
      <c r="P24" s="41"/>
      <c r="Q24" s="2"/>
      <c r="R24" s="2"/>
      <c r="S24" s="2"/>
      <c r="T24" s="2"/>
      <c r="U24" s="2"/>
      <c r="V24" s="2"/>
      <c r="W24" s="41"/>
      <c r="X24" s="2"/>
    </row>
    <row r="25" customFormat="false" ht="12.75" hidden="false" customHeight="true" outlineLevel="0" collapsed="false">
      <c r="A25" s="2"/>
      <c r="B25" s="42" t="s">
        <v>87</v>
      </c>
      <c r="C25" s="42"/>
      <c r="D25" s="26" t="n">
        <v>1</v>
      </c>
      <c r="E25" s="26"/>
      <c r="F25" s="26"/>
      <c r="G25" s="26"/>
      <c r="H25" s="26"/>
      <c r="I25" s="26"/>
      <c r="J25" s="26"/>
      <c r="K25" s="26"/>
      <c r="L25" s="2"/>
      <c r="M25" s="28" t="n">
        <v>4</v>
      </c>
      <c r="N25" s="3"/>
      <c r="O25" s="2"/>
      <c r="P25" s="2"/>
      <c r="Q25" s="2"/>
      <c r="R25" s="2"/>
      <c r="S25" s="2"/>
      <c r="T25" s="2"/>
      <c r="U25" s="2"/>
      <c r="V25" s="2"/>
      <c r="W25" s="14"/>
      <c r="X25" s="2"/>
    </row>
    <row r="26" customFormat="false" ht="12.75" hidden="false" customHeight="true" outlineLevel="0" collapsed="false">
      <c r="A26" s="2"/>
      <c r="B26" s="42" t="s">
        <v>88</v>
      </c>
      <c r="C26" s="42"/>
      <c r="D26" s="26" t="n">
        <v>32</v>
      </c>
      <c r="E26" s="26"/>
      <c r="F26" s="26"/>
      <c r="G26" s="26"/>
      <c r="H26" s="26"/>
      <c r="I26" s="26"/>
      <c r="J26" s="26"/>
      <c r="K26" s="26"/>
      <c r="L26" s="2"/>
      <c r="M26" s="28" t="n">
        <v>64</v>
      </c>
      <c r="N26" s="3"/>
      <c r="O26" s="2"/>
      <c r="P26" s="2"/>
      <c r="Q26" s="2"/>
      <c r="R26" s="2"/>
      <c r="S26" s="2"/>
      <c r="T26" s="2"/>
      <c r="U26" s="2"/>
      <c r="V26" s="2"/>
      <c r="W26" s="14"/>
      <c r="X26" s="2"/>
    </row>
    <row r="27" customFormat="false" ht="12.75" hidden="false" customHeight="true" outlineLevel="0" collapsed="false">
      <c r="A27" s="2"/>
      <c r="B27" s="42" t="s">
        <v>89</v>
      </c>
      <c r="C27" s="42"/>
      <c r="D27" s="26" t="n">
        <v>8</v>
      </c>
      <c r="E27" s="26"/>
      <c r="F27" s="26"/>
      <c r="G27" s="26"/>
      <c r="H27" s="26"/>
      <c r="I27" s="26"/>
      <c r="J27" s="26"/>
      <c r="K27" s="26"/>
      <c r="L27" s="2"/>
      <c r="M27" s="28" t="n">
        <v>1</v>
      </c>
      <c r="N27" s="3"/>
      <c r="O27" s="2"/>
      <c r="P27" s="2"/>
      <c r="Q27" s="2"/>
      <c r="R27" s="2"/>
      <c r="S27" s="2"/>
      <c r="T27" s="2"/>
      <c r="U27" s="2"/>
      <c r="V27" s="2"/>
      <c r="W27" s="14"/>
      <c r="X27" s="2"/>
    </row>
    <row r="28" customFormat="false" ht="12.75" hidden="false" customHeight="true" outlineLevel="0" collapsed="false">
      <c r="A28" s="2"/>
      <c r="B28" s="42" t="s">
        <v>90</v>
      </c>
      <c r="C28" s="42"/>
      <c r="D28" s="26"/>
      <c r="E28" s="26"/>
      <c r="F28" s="26"/>
      <c r="G28" s="26"/>
      <c r="H28" s="26"/>
      <c r="I28" s="26"/>
      <c r="J28" s="26"/>
      <c r="K28" s="26"/>
      <c r="L28" s="2"/>
      <c r="M28" s="28" t="s">
        <v>91</v>
      </c>
      <c r="N28" s="3"/>
      <c r="O28" s="2" t="s">
        <v>92</v>
      </c>
      <c r="P28" s="2" t="s">
        <v>93</v>
      </c>
      <c r="Q28" s="2" t="s">
        <v>91</v>
      </c>
      <c r="R28" s="2" t="s">
        <v>94</v>
      </c>
      <c r="S28" s="2" t="s">
        <v>95</v>
      </c>
      <c r="T28" s="2"/>
      <c r="U28" s="2"/>
      <c r="V28" s="2"/>
      <c r="W28" s="14"/>
      <c r="X28" s="2"/>
    </row>
    <row r="29" customFormat="false" ht="12.75" hidden="false" customHeight="true" outlineLevel="0" collapsed="false">
      <c r="A29" s="2"/>
      <c r="B29" s="42" t="s">
        <v>96</v>
      </c>
      <c r="C29" s="42"/>
      <c r="D29" s="26" t="s">
        <v>122</v>
      </c>
      <c r="E29" s="26"/>
      <c r="F29" s="26"/>
      <c r="G29" s="26"/>
      <c r="H29" s="26"/>
      <c r="I29" s="26"/>
      <c r="J29" s="26"/>
      <c r="K29" s="26"/>
      <c r="L29" s="2"/>
      <c r="M29" s="28" t="s">
        <v>97</v>
      </c>
      <c r="N29" s="3"/>
      <c r="O29" s="2"/>
      <c r="P29" s="2"/>
      <c r="Q29" s="2"/>
      <c r="R29" s="2"/>
      <c r="S29" s="2"/>
      <c r="T29" s="2"/>
      <c r="U29" s="2"/>
      <c r="V29" s="2"/>
      <c r="W29" s="14"/>
      <c r="X29" s="2"/>
    </row>
    <row r="30" customFormat="false" ht="12.75" hidden="false" customHeight="true" outlineLevel="0" collapsed="false">
      <c r="A30" s="2"/>
      <c r="B30" s="42" t="s">
        <v>98</v>
      </c>
      <c r="C30" s="42"/>
      <c r="D30" s="26" t="s">
        <v>123</v>
      </c>
      <c r="E30" s="26"/>
      <c r="F30" s="26"/>
      <c r="G30" s="26"/>
      <c r="H30" s="26"/>
      <c r="I30" s="26"/>
      <c r="J30" s="26"/>
      <c r="K30" s="26"/>
      <c r="L30" s="2"/>
      <c r="M30" s="28" t="s">
        <v>99</v>
      </c>
      <c r="N30" s="3"/>
      <c r="O30" s="2"/>
      <c r="P30" s="2"/>
      <c r="Q30" s="2"/>
      <c r="R30" s="2"/>
      <c r="S30" s="2"/>
      <c r="T30" s="2"/>
      <c r="U30" s="2"/>
      <c r="V30" s="2"/>
      <c r="W30" s="14"/>
      <c r="X30" s="2"/>
    </row>
    <row r="31" customFormat="false" ht="12.75" hidden="false" customHeight="true" outlineLevel="0" collapsed="false">
      <c r="A31" s="2"/>
      <c r="B31" s="42" t="s">
        <v>100</v>
      </c>
      <c r="C31" s="42"/>
      <c r="D31" s="26"/>
      <c r="E31" s="26"/>
      <c r="F31" s="26"/>
      <c r="G31" s="26"/>
      <c r="H31" s="26"/>
      <c r="I31" s="26"/>
      <c r="J31" s="26"/>
      <c r="K31" s="26"/>
      <c r="L31" s="2"/>
      <c r="M31" s="28" t="s">
        <v>101</v>
      </c>
      <c r="N31" s="3"/>
      <c r="O31" s="2"/>
      <c r="P31" s="2"/>
      <c r="Q31" s="2"/>
      <c r="R31" s="2"/>
      <c r="S31" s="2"/>
      <c r="T31" s="2"/>
      <c r="U31" s="2"/>
      <c r="V31" s="2"/>
      <c r="W31" s="14"/>
      <c r="X31" s="2"/>
    </row>
    <row r="32" customFormat="false" ht="12.75" hidden="false" customHeight="true" outlineLevel="0" collapsed="false">
      <c r="A32" s="2"/>
      <c r="B32" s="42" t="s">
        <v>102</v>
      </c>
      <c r="C32" s="42"/>
      <c r="D32" s="26"/>
      <c r="E32" s="26"/>
      <c r="F32" s="26"/>
      <c r="G32" s="26"/>
      <c r="H32" s="26"/>
      <c r="I32" s="26"/>
      <c r="J32" s="26"/>
      <c r="K32" s="26"/>
      <c r="L32" s="2"/>
      <c r="M32" s="28" t="s">
        <v>103</v>
      </c>
      <c r="N32" s="3"/>
      <c r="O32" s="2"/>
      <c r="P32" s="2"/>
      <c r="Q32" s="2"/>
      <c r="R32" s="2"/>
      <c r="S32" s="2"/>
      <c r="T32" s="2"/>
      <c r="U32" s="2"/>
      <c r="V32" s="2"/>
      <c r="W32" s="14"/>
      <c r="X32" s="2"/>
    </row>
    <row r="33" customFormat="false" ht="12.75" hidden="false" customHeight="true" outlineLevel="0" collapsed="false">
      <c r="A33" s="2"/>
      <c r="B33" s="42" t="s">
        <v>104</v>
      </c>
      <c r="C33" s="42"/>
      <c r="D33" s="26"/>
      <c r="E33" s="26"/>
      <c r="F33" s="26"/>
      <c r="G33" s="26"/>
      <c r="H33" s="26"/>
      <c r="I33" s="26"/>
      <c r="J33" s="26"/>
      <c r="K33" s="26"/>
      <c r="L33" s="2"/>
      <c r="M33" s="28" t="s">
        <v>124</v>
      </c>
      <c r="N33" s="3"/>
      <c r="O33" s="2"/>
      <c r="P33" s="2"/>
      <c r="Q33" s="2"/>
      <c r="R33" s="2"/>
      <c r="S33" s="2"/>
      <c r="T33" s="2"/>
      <c r="U33" s="2"/>
      <c r="V33" s="2"/>
      <c r="W33" s="14"/>
      <c r="X33" s="2"/>
    </row>
    <row r="34" customFormat="false" ht="12.75" hidden="false" customHeight="true" outlineLevel="0" collapsed="false">
      <c r="A34" s="2"/>
      <c r="B34" s="42" t="s">
        <v>105</v>
      </c>
      <c r="C34" s="42"/>
      <c r="D34" s="39"/>
      <c r="E34" s="39"/>
      <c r="F34" s="39"/>
      <c r="G34" s="39"/>
      <c r="H34" s="39"/>
      <c r="I34" s="39"/>
      <c r="J34" s="39"/>
      <c r="K34" s="39"/>
      <c r="L34" s="2"/>
      <c r="M34" s="28" t="s">
        <v>106</v>
      </c>
      <c r="N34" s="3"/>
      <c r="O34" s="2"/>
      <c r="P34" s="2"/>
      <c r="Q34" s="2"/>
      <c r="R34" s="2"/>
      <c r="S34" s="2"/>
      <c r="T34" s="2"/>
      <c r="U34" s="2"/>
      <c r="V34" s="2"/>
      <c r="W34" s="14"/>
      <c r="X34" s="2"/>
    </row>
    <row r="35" customFormat="false" ht="12.75" hidden="false" customHeight="true" outlineLevel="0" collapsed="false">
      <c r="A35" s="2"/>
      <c r="B35" s="3"/>
      <c r="C35" s="3"/>
      <c r="D35" s="3"/>
      <c r="E35" s="3"/>
      <c r="F35" s="3"/>
      <c r="G35" s="3"/>
      <c r="H35" s="3"/>
      <c r="I35" s="3"/>
      <c r="J35" s="3"/>
      <c r="K35" s="3"/>
      <c r="L35" s="2"/>
      <c r="N35" s="2"/>
      <c r="O35" s="41"/>
      <c r="P35" s="41"/>
      <c r="Q35" s="41"/>
      <c r="R35" s="41"/>
      <c r="S35" s="41"/>
      <c r="T35" s="41"/>
      <c r="U35" s="41"/>
      <c r="V35" s="41"/>
      <c r="W35" s="52"/>
      <c r="X35" s="2"/>
    </row>
    <row r="36" customFormat="false" ht="12.75" hidden="false" customHeight="tru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N36" s="2"/>
      <c r="O36" s="41"/>
      <c r="P36" s="41"/>
      <c r="Q36" s="41"/>
      <c r="R36" s="41"/>
      <c r="S36" s="41"/>
      <c r="T36" s="41"/>
      <c r="U36" s="41"/>
      <c r="V36" s="41"/>
      <c r="W36" s="52"/>
      <c r="X36" s="2"/>
    </row>
    <row r="37" customFormat="false" ht="12.75" hidden="false" customHeight="tru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N37" s="2"/>
      <c r="O37" s="41"/>
      <c r="P37" s="41"/>
      <c r="Q37" s="41"/>
      <c r="R37" s="41"/>
      <c r="S37" s="41"/>
      <c r="T37" s="41"/>
      <c r="U37" s="41"/>
      <c r="V37" s="41"/>
      <c r="W37" s="52"/>
      <c r="X37" s="2"/>
    </row>
    <row r="38" customFormat="false" ht="12.75" hidden="false" customHeight="true" outlineLevel="0" collapsed="false">
      <c r="A38" s="2"/>
      <c r="B38" s="64" t="s">
        <v>107</v>
      </c>
      <c r="C38" s="64"/>
      <c r="D38" s="19"/>
      <c r="E38" s="19"/>
      <c r="F38" s="19"/>
      <c r="G38" s="19"/>
      <c r="H38" s="19"/>
      <c r="I38" s="19"/>
      <c r="J38" s="19"/>
      <c r="K38" s="19"/>
      <c r="L38" s="2"/>
      <c r="N38" s="2"/>
      <c r="O38" s="41"/>
      <c r="P38" s="41"/>
      <c r="Q38" s="41"/>
      <c r="R38" s="41"/>
      <c r="S38" s="41"/>
      <c r="T38" s="41"/>
      <c r="U38" s="41"/>
      <c r="V38" s="41"/>
      <c r="W38" s="52"/>
      <c r="X38" s="2"/>
    </row>
    <row r="39" customFormat="false" ht="99.75" hidden="false" customHeight="true" outlineLevel="0" collapsed="false">
      <c r="A39" s="2"/>
      <c r="B39" s="69" t="s">
        <v>108</v>
      </c>
      <c r="C39" s="69"/>
      <c r="D39" s="69"/>
      <c r="E39" s="69"/>
      <c r="F39" s="69"/>
      <c r="G39" s="69"/>
      <c r="H39" s="69"/>
      <c r="I39" s="69"/>
      <c r="J39" s="69"/>
      <c r="K39" s="69"/>
      <c r="L39" s="2"/>
      <c r="N39" s="2"/>
      <c r="O39" s="2"/>
      <c r="P39" s="2"/>
      <c r="Q39" s="2"/>
      <c r="R39" s="2"/>
      <c r="S39" s="2"/>
      <c r="T39" s="2"/>
      <c r="U39" s="2"/>
      <c r="V39" s="2"/>
      <c r="W39" s="41"/>
      <c r="X39" s="2"/>
    </row>
    <row r="40" customFormat="false" ht="12.75" hidden="false" customHeight="true" outlineLevel="0" collapsed="false">
      <c r="A40" s="2"/>
      <c r="B40" s="2"/>
      <c r="C40" s="3"/>
      <c r="D40" s="7"/>
      <c r="E40" s="7"/>
      <c r="F40" s="7"/>
      <c r="G40" s="7"/>
      <c r="H40" s="7"/>
      <c r="I40" s="7"/>
      <c r="J40" s="7"/>
      <c r="K40" s="7"/>
      <c r="L40" s="2"/>
      <c r="N40" s="2"/>
      <c r="O40" s="2"/>
      <c r="P40" s="2"/>
      <c r="Q40" s="2"/>
      <c r="R40" s="2"/>
      <c r="S40" s="2"/>
      <c r="T40" s="2"/>
      <c r="U40" s="2"/>
      <c r="V40" s="2"/>
      <c r="W40" s="41"/>
      <c r="X40" s="2"/>
    </row>
    <row r="41" customFormat="false" ht="12.75" hidden="false" customHeight="true" outlineLevel="0" collapsed="false">
      <c r="A41" s="2"/>
      <c r="B41" s="2"/>
      <c r="C41" s="3"/>
      <c r="D41" s="7"/>
      <c r="E41" s="7"/>
      <c r="F41" s="7"/>
      <c r="G41" s="7"/>
      <c r="H41" s="7"/>
      <c r="I41" s="7"/>
      <c r="J41" s="7"/>
      <c r="K41" s="7"/>
      <c r="L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customFormat="false" ht="12.75" hidden="false" customHeight="true" outlineLevel="0" collapsed="false">
      <c r="A42" s="2"/>
      <c r="B42" s="2"/>
      <c r="C42" s="3"/>
      <c r="D42" s="7"/>
      <c r="E42" s="7"/>
      <c r="F42" s="7"/>
      <c r="G42" s="7"/>
      <c r="H42" s="7"/>
      <c r="I42" s="7"/>
      <c r="J42" s="7"/>
      <c r="K42" s="7"/>
      <c r="L42" s="2"/>
      <c r="M42" s="75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customFormat="false" ht="12.75" hidden="false" customHeight="true" outlineLevel="0" collapsed="false">
      <c r="A43" s="2"/>
      <c r="B43" s="2"/>
      <c r="C43" s="3"/>
      <c r="D43" s="7"/>
      <c r="E43" s="7"/>
      <c r="F43" s="7"/>
      <c r="G43" s="7"/>
      <c r="H43" s="7"/>
      <c r="I43" s="7"/>
      <c r="J43" s="7"/>
      <c r="K43" s="7"/>
      <c r="L43" s="2"/>
      <c r="N43" s="3"/>
      <c r="O43" s="3"/>
      <c r="P43" s="3"/>
      <c r="Q43" s="3"/>
      <c r="R43" s="3"/>
      <c r="S43" s="3"/>
      <c r="T43" s="3"/>
      <c r="U43" s="3"/>
      <c r="V43" s="3"/>
      <c r="W43" s="14"/>
      <c r="X43" s="2"/>
    </row>
    <row r="44" customFormat="false" ht="12.75" hidden="false" customHeight="true" outlineLevel="0" collapsed="false">
      <c r="A44" s="2"/>
      <c r="B44" s="2"/>
      <c r="C44" s="3"/>
      <c r="D44" s="2"/>
      <c r="E44" s="2"/>
      <c r="F44" s="2"/>
      <c r="G44" s="2"/>
      <c r="H44" s="2"/>
      <c r="I44" s="2"/>
      <c r="J44" s="2"/>
      <c r="K44" s="2"/>
      <c r="L44" s="2"/>
      <c r="N44" s="3"/>
      <c r="O44" s="3"/>
      <c r="P44" s="3"/>
      <c r="Q44" s="3"/>
      <c r="R44" s="3"/>
      <c r="S44" s="3"/>
      <c r="T44" s="3"/>
      <c r="U44" s="3"/>
      <c r="V44" s="3"/>
      <c r="W44" s="14"/>
      <c r="X44" s="2"/>
    </row>
    <row r="45" customFormat="false" ht="12.75" hidden="false" customHeight="true" outlineLevel="0" collapsed="false">
      <c r="A45" s="2"/>
      <c r="B45" s="2"/>
      <c r="C45" s="3"/>
      <c r="D45" s="2"/>
      <c r="E45" s="2"/>
      <c r="F45" s="2"/>
      <c r="G45" s="2"/>
      <c r="H45" s="2"/>
      <c r="I45" s="2"/>
      <c r="J45" s="2"/>
      <c r="K45" s="2"/>
      <c r="L45" s="2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2"/>
    </row>
    <row r="46" customFormat="false" ht="12.75" hidden="false" customHeight="true" outlineLevel="0" collapsed="false">
      <c r="A46" s="2"/>
      <c r="B46" s="2"/>
      <c r="C46" s="3"/>
      <c r="D46" s="2"/>
      <c r="E46" s="2"/>
      <c r="F46" s="2"/>
      <c r="G46" s="2"/>
      <c r="H46" s="2"/>
      <c r="I46" s="2"/>
      <c r="J46" s="2"/>
      <c r="K46" s="2"/>
      <c r="L46" s="2"/>
      <c r="N46" s="2"/>
      <c r="O46" s="41"/>
      <c r="P46" s="41"/>
      <c r="Q46" s="41"/>
      <c r="R46" s="41"/>
      <c r="S46" s="41"/>
      <c r="T46" s="41"/>
      <c r="U46" s="41"/>
      <c r="V46" s="41"/>
      <c r="W46" s="52"/>
      <c r="X46" s="2"/>
    </row>
    <row r="47" customFormat="false" ht="12.75" hidden="false" customHeight="true" outlineLevel="0" collapsed="false">
      <c r="A47" s="2"/>
      <c r="B47" s="2"/>
      <c r="C47" s="3"/>
      <c r="D47" s="2"/>
      <c r="E47" s="2"/>
      <c r="F47" s="2"/>
      <c r="G47" s="2"/>
      <c r="H47" s="2"/>
      <c r="I47" s="2"/>
      <c r="J47" s="2"/>
      <c r="K47" s="2"/>
      <c r="L47" s="2"/>
      <c r="N47" s="2"/>
      <c r="O47" s="41"/>
      <c r="P47" s="41"/>
      <c r="Q47" s="41"/>
      <c r="R47" s="41"/>
      <c r="S47" s="41"/>
      <c r="T47" s="41"/>
      <c r="U47" s="41"/>
      <c r="V47" s="41"/>
      <c r="W47" s="52"/>
      <c r="X47" s="2"/>
    </row>
    <row r="48" customFormat="false" ht="12.75" hidden="false" customHeight="true" outlineLevel="0" collapsed="false">
      <c r="A48" s="2"/>
      <c r="B48" s="2"/>
      <c r="C48" s="3"/>
      <c r="D48" s="2"/>
      <c r="E48" s="2"/>
      <c r="F48" s="2"/>
      <c r="G48" s="2"/>
      <c r="H48" s="2"/>
      <c r="I48" s="2"/>
      <c r="J48" s="2"/>
      <c r="K48" s="2"/>
      <c r="L48" s="2"/>
      <c r="N48" s="2"/>
      <c r="O48" s="41"/>
      <c r="P48" s="41"/>
      <c r="Q48" s="41"/>
      <c r="R48" s="41"/>
      <c r="S48" s="41"/>
      <c r="T48" s="41"/>
      <c r="U48" s="41"/>
      <c r="V48" s="41"/>
      <c r="W48" s="52"/>
      <c r="X48" s="2"/>
    </row>
    <row r="49" customFormat="false" ht="12.75" hidden="false" customHeight="true" outlineLevel="0" collapsed="false">
      <c r="A49" s="2"/>
      <c r="B49" s="2"/>
      <c r="C49" s="3"/>
      <c r="D49" s="2"/>
      <c r="E49" s="2"/>
      <c r="F49" s="2"/>
      <c r="G49" s="2"/>
      <c r="H49" s="2"/>
      <c r="I49" s="2"/>
      <c r="J49" s="2"/>
      <c r="K49" s="2"/>
      <c r="L49" s="2"/>
      <c r="N49" s="2"/>
      <c r="O49" s="41"/>
      <c r="P49" s="41"/>
      <c r="Q49" s="41"/>
      <c r="R49" s="41"/>
      <c r="S49" s="41"/>
      <c r="T49" s="41"/>
      <c r="U49" s="41"/>
      <c r="V49" s="41"/>
      <c r="W49" s="52"/>
      <c r="X49" s="2"/>
    </row>
    <row r="50" customFormat="false" ht="12.75" hidden="false" customHeight="true" outlineLevel="0" collapsed="false">
      <c r="A50" s="2"/>
      <c r="B50" s="2"/>
      <c r="C50" s="3"/>
      <c r="D50" s="2"/>
      <c r="E50" s="2"/>
      <c r="F50" s="2"/>
      <c r="G50" s="2"/>
      <c r="H50" s="2"/>
      <c r="I50" s="2"/>
      <c r="J50" s="2"/>
      <c r="K50" s="2"/>
      <c r="L50" s="2"/>
      <c r="N50" s="2"/>
      <c r="O50" s="41"/>
      <c r="P50" s="41"/>
      <c r="Q50" s="41"/>
      <c r="R50" s="41"/>
      <c r="S50" s="41"/>
      <c r="T50" s="41"/>
      <c r="U50" s="41"/>
      <c r="V50" s="41"/>
      <c r="W50" s="52"/>
      <c r="X50" s="2"/>
    </row>
    <row r="51" customFormat="false" ht="12.75" hidden="false" customHeight="true" outlineLevel="0" collapsed="false">
      <c r="A51" s="2"/>
      <c r="B51" s="2"/>
      <c r="C51" s="3"/>
      <c r="D51" s="2"/>
      <c r="E51" s="2"/>
      <c r="F51" s="2"/>
      <c r="G51" s="2"/>
      <c r="H51" s="2"/>
      <c r="I51" s="2"/>
      <c r="J51" s="2"/>
      <c r="K51" s="2"/>
      <c r="L51" s="2"/>
      <c r="N51" s="2"/>
      <c r="O51" s="41"/>
      <c r="P51" s="41"/>
      <c r="Q51" s="41"/>
      <c r="R51" s="41"/>
      <c r="S51" s="41"/>
      <c r="T51" s="41"/>
      <c r="U51" s="41"/>
      <c r="V51" s="41"/>
      <c r="W51" s="52"/>
      <c r="X51" s="2"/>
    </row>
    <row r="52" customFormat="false" ht="12.75" hidden="false" customHeight="true" outlineLevel="0" collapsed="false">
      <c r="C52" s="70"/>
      <c r="N52" s="2"/>
      <c r="O52" s="41"/>
      <c r="P52" s="41"/>
      <c r="Q52" s="41"/>
      <c r="R52" s="41"/>
      <c r="S52" s="41"/>
      <c r="T52" s="41"/>
      <c r="U52" s="41"/>
      <c r="V52" s="41"/>
      <c r="W52" s="52"/>
    </row>
    <row r="53" customFormat="false" ht="12.75" hidden="false" customHeight="true" outlineLevel="0" collapsed="false">
      <c r="C53" s="70"/>
      <c r="N53" s="2"/>
      <c r="O53" s="41"/>
      <c r="P53" s="41"/>
      <c r="Q53" s="41"/>
      <c r="R53" s="41"/>
      <c r="S53" s="41"/>
      <c r="T53" s="41"/>
      <c r="U53" s="41"/>
      <c r="V53" s="41"/>
      <c r="W53" s="52"/>
    </row>
    <row r="54" customFormat="false" ht="12.75" hidden="false" customHeight="true" outlineLevel="0" collapsed="false">
      <c r="C54" s="70"/>
      <c r="N54" s="2"/>
      <c r="O54" s="41"/>
      <c r="P54" s="41"/>
      <c r="Q54" s="41"/>
      <c r="R54" s="41"/>
      <c r="S54" s="41"/>
      <c r="T54" s="41"/>
      <c r="U54" s="41"/>
      <c r="V54" s="41"/>
      <c r="W54" s="52"/>
    </row>
    <row r="55" customFormat="false" ht="12.75" hidden="false" customHeight="true" outlineLevel="0" collapsed="false">
      <c r="C55" s="70"/>
      <c r="N55" s="2"/>
      <c r="O55" s="41"/>
      <c r="P55" s="41"/>
      <c r="Q55" s="41"/>
      <c r="R55" s="41"/>
      <c r="S55" s="41"/>
      <c r="T55" s="41"/>
      <c r="U55" s="41"/>
      <c r="V55" s="41"/>
      <c r="W55" s="52"/>
    </row>
    <row r="56" customFormat="false" ht="12.75" hidden="false" customHeight="true" outlineLevel="0" collapsed="false">
      <c r="C56" s="70"/>
      <c r="N56" s="2"/>
      <c r="O56" s="41"/>
      <c r="P56" s="41"/>
      <c r="Q56" s="41"/>
      <c r="R56" s="41"/>
      <c r="S56" s="41"/>
      <c r="T56" s="41"/>
      <c r="U56" s="41"/>
      <c r="V56" s="41"/>
      <c r="W56" s="52"/>
    </row>
    <row r="57" customFormat="false" ht="12.75" hidden="false" customHeight="true" outlineLevel="0" collapsed="false">
      <c r="C57" s="70"/>
      <c r="N57" s="2"/>
      <c r="O57" s="41"/>
      <c r="P57" s="41"/>
      <c r="Q57" s="41"/>
      <c r="R57" s="41"/>
      <c r="S57" s="41"/>
      <c r="T57" s="41"/>
      <c r="U57" s="41"/>
      <c r="V57" s="41"/>
      <c r="W57" s="52"/>
    </row>
    <row r="58" customFormat="false" ht="12.75" hidden="false" customHeight="true" outlineLevel="0" collapsed="false">
      <c r="C58" s="70"/>
      <c r="N58" s="2"/>
      <c r="O58" s="41"/>
      <c r="P58" s="41"/>
      <c r="Q58" s="41"/>
      <c r="R58" s="41"/>
      <c r="S58" s="41"/>
      <c r="T58" s="41"/>
      <c r="U58" s="41"/>
      <c r="V58" s="41"/>
      <c r="W58" s="52"/>
    </row>
    <row r="59" customFormat="false" ht="12.75" hidden="false" customHeight="true" outlineLevel="0" collapsed="false">
      <c r="C59" s="70"/>
      <c r="N59" s="2"/>
      <c r="O59" s="41"/>
      <c r="P59" s="41"/>
      <c r="Q59" s="41"/>
      <c r="R59" s="41"/>
      <c r="S59" s="41"/>
      <c r="T59" s="41"/>
      <c r="U59" s="41"/>
      <c r="V59" s="41"/>
      <c r="W59" s="52"/>
    </row>
    <row r="60" customFormat="false" ht="12.75" hidden="false" customHeight="true" outlineLevel="0" collapsed="false">
      <c r="C60" s="70"/>
      <c r="M60" s="2"/>
      <c r="N60" s="2"/>
      <c r="O60" s="2"/>
      <c r="P60" s="2"/>
      <c r="Q60" s="2"/>
      <c r="R60" s="2"/>
      <c r="S60" s="2"/>
      <c r="T60" s="2"/>
      <c r="U60" s="2"/>
      <c r="V60" s="2"/>
      <c r="W60" s="41"/>
    </row>
    <row r="61" customFormat="false" ht="12.75" hidden="false" customHeight="true" outlineLevel="0" collapsed="false">
      <c r="C61" s="70"/>
      <c r="M61" s="2"/>
      <c r="N61" s="2"/>
      <c r="O61" s="2"/>
      <c r="P61" s="2"/>
      <c r="Q61" s="2"/>
      <c r="R61" s="2"/>
      <c r="S61" s="2"/>
      <c r="T61" s="2"/>
      <c r="U61" s="2"/>
      <c r="V61" s="2"/>
      <c r="W61" s="41"/>
    </row>
    <row r="62" customFormat="false" ht="12.75" hidden="false" customHeight="true" outlineLevel="0" collapsed="false">
      <c r="C62" s="70"/>
      <c r="M62" s="63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customFormat="false" ht="12.75" hidden="false" customHeight="true" outlineLevel="0" collapsed="false">
      <c r="C63" s="70"/>
      <c r="M63" s="20"/>
      <c r="N63" s="2"/>
      <c r="O63" s="65"/>
      <c r="P63" s="65"/>
      <c r="Q63" s="65"/>
      <c r="R63" s="65"/>
      <c r="S63" s="65"/>
      <c r="T63" s="65"/>
      <c r="U63" s="65"/>
      <c r="V63" s="65"/>
      <c r="W63" s="66"/>
    </row>
    <row r="64" customFormat="false" ht="12.75" hidden="false" customHeight="true" outlineLevel="0" collapsed="false">
      <c r="C64" s="70"/>
      <c r="M64" s="46"/>
      <c r="N64" s="2"/>
      <c r="O64" s="2"/>
      <c r="P64" s="2"/>
      <c r="Q64" s="2"/>
      <c r="R64" s="2"/>
      <c r="S64" s="2"/>
      <c r="T64" s="2"/>
      <c r="U64" s="2"/>
      <c r="V64" s="2"/>
      <c r="W64" s="41"/>
    </row>
    <row r="65" customFormat="false" ht="12.75" hidden="false" customHeight="true" outlineLevel="0" collapsed="false">
      <c r="C65" s="70"/>
      <c r="M65" s="2"/>
      <c r="N65" s="2"/>
      <c r="O65" s="41"/>
      <c r="P65" s="41"/>
      <c r="Q65" s="41"/>
      <c r="R65" s="41"/>
      <c r="S65" s="41"/>
      <c r="T65" s="41"/>
      <c r="U65" s="41"/>
      <c r="V65" s="41"/>
      <c r="W65" s="41"/>
    </row>
    <row r="66" customFormat="false" ht="12.75" hidden="false" customHeight="true" outlineLevel="0" collapsed="false">
      <c r="C66" s="70"/>
      <c r="M66" s="2"/>
      <c r="N66" s="2"/>
      <c r="O66" s="41"/>
      <c r="P66" s="41"/>
      <c r="Q66" s="41"/>
      <c r="R66" s="41"/>
      <c r="S66" s="41"/>
      <c r="T66" s="41"/>
      <c r="U66" s="41"/>
      <c r="V66" s="41"/>
      <c r="W66" s="41"/>
    </row>
    <row r="67" customFormat="false" ht="12.75" hidden="false" customHeight="true" outlineLevel="0" collapsed="false">
      <c r="C67" s="70"/>
      <c r="M67" s="2"/>
      <c r="N67" s="2"/>
      <c r="O67" s="41"/>
      <c r="P67" s="41"/>
      <c r="Q67" s="41"/>
      <c r="R67" s="41"/>
      <c r="S67" s="41"/>
      <c r="T67" s="41"/>
      <c r="U67" s="41"/>
      <c r="V67" s="41"/>
      <c r="W67" s="41"/>
    </row>
    <row r="68" customFormat="false" ht="12.75" hidden="false" customHeight="true" outlineLevel="0" collapsed="false">
      <c r="C68" s="70"/>
      <c r="M68" s="2"/>
      <c r="N68" s="2"/>
      <c r="O68" s="41"/>
      <c r="P68" s="41"/>
      <c r="Q68" s="41"/>
      <c r="R68" s="41"/>
      <c r="S68" s="41"/>
      <c r="T68" s="41"/>
      <c r="U68" s="41"/>
      <c r="V68" s="41"/>
      <c r="W68" s="41"/>
    </row>
    <row r="69" customFormat="false" ht="12.75" hidden="false" customHeight="true" outlineLevel="0" collapsed="false">
      <c r="C69" s="70"/>
      <c r="M69" s="2"/>
      <c r="N69" s="2"/>
      <c r="O69" s="41"/>
      <c r="P69" s="41"/>
      <c r="Q69" s="41"/>
      <c r="R69" s="41"/>
      <c r="S69" s="41"/>
      <c r="T69" s="41"/>
      <c r="U69" s="41"/>
      <c r="V69" s="41"/>
      <c r="W69" s="41"/>
    </row>
    <row r="70" customFormat="false" ht="12.75" hidden="false" customHeight="true" outlineLevel="0" collapsed="false">
      <c r="C70" s="70"/>
      <c r="M70" s="2"/>
      <c r="N70" s="2"/>
      <c r="O70" s="41"/>
      <c r="P70" s="41"/>
      <c r="Q70" s="41"/>
      <c r="R70" s="41"/>
      <c r="S70" s="41"/>
      <c r="T70" s="41"/>
      <c r="U70" s="41"/>
      <c r="V70" s="41"/>
      <c r="W70" s="41"/>
    </row>
    <row r="71" customFormat="false" ht="12.75" hidden="false" customHeight="true" outlineLevel="0" collapsed="false">
      <c r="C71" s="70"/>
      <c r="M71" s="2"/>
      <c r="N71" s="2"/>
      <c r="O71" s="41"/>
      <c r="P71" s="41"/>
      <c r="Q71" s="41"/>
      <c r="R71" s="41"/>
      <c r="S71" s="41"/>
      <c r="T71" s="41"/>
      <c r="U71" s="41"/>
      <c r="V71" s="41"/>
      <c r="W71" s="41"/>
    </row>
    <row r="72" customFormat="false" ht="12.75" hidden="false" customHeight="true" outlineLevel="0" collapsed="false">
      <c r="C72" s="70"/>
      <c r="M72" s="2"/>
      <c r="N72" s="2"/>
      <c r="O72" s="41"/>
      <c r="P72" s="41"/>
      <c r="Q72" s="41"/>
      <c r="R72" s="41"/>
      <c r="S72" s="41"/>
      <c r="T72" s="41"/>
      <c r="U72" s="41"/>
      <c r="V72" s="41"/>
      <c r="W72" s="41"/>
    </row>
    <row r="73" customFormat="false" ht="12.75" hidden="false" customHeight="true" outlineLevel="0" collapsed="false">
      <c r="C73" s="70"/>
      <c r="M73" s="2"/>
      <c r="N73" s="2"/>
      <c r="O73" s="41"/>
      <c r="P73" s="41"/>
      <c r="Q73" s="41"/>
      <c r="R73" s="41"/>
      <c r="S73" s="41"/>
      <c r="T73" s="41"/>
      <c r="U73" s="41"/>
      <c r="V73" s="41"/>
      <c r="W73" s="41"/>
    </row>
    <row r="74" customFormat="false" ht="12.75" hidden="false" customHeight="true" outlineLevel="0" collapsed="false">
      <c r="C74" s="70"/>
      <c r="M74" s="2"/>
      <c r="N74" s="2"/>
      <c r="O74" s="41"/>
      <c r="P74" s="41"/>
      <c r="Q74" s="41"/>
      <c r="R74" s="41"/>
      <c r="S74" s="41"/>
      <c r="T74" s="41"/>
      <c r="U74" s="41"/>
      <c r="V74" s="41"/>
      <c r="W74" s="41"/>
    </row>
    <row r="75" customFormat="false" ht="12.75" hidden="false" customHeight="true" outlineLevel="0" collapsed="false">
      <c r="C75" s="70"/>
      <c r="M75" s="2"/>
      <c r="N75" s="2"/>
      <c r="O75" s="41"/>
      <c r="P75" s="41"/>
      <c r="Q75" s="41"/>
      <c r="R75" s="41"/>
      <c r="S75" s="41"/>
      <c r="T75" s="41"/>
      <c r="U75" s="41"/>
      <c r="V75" s="41"/>
      <c r="W75" s="41"/>
    </row>
    <row r="76" customFormat="false" ht="12.75" hidden="false" customHeight="true" outlineLevel="0" collapsed="false">
      <c r="C76" s="70"/>
      <c r="M76" s="2"/>
      <c r="N76" s="2"/>
      <c r="O76" s="41"/>
      <c r="P76" s="41"/>
      <c r="Q76" s="41"/>
      <c r="R76" s="41"/>
      <c r="S76" s="41"/>
      <c r="T76" s="41"/>
      <c r="U76" s="41"/>
      <c r="V76" s="41"/>
      <c r="W76" s="41"/>
    </row>
    <row r="77" customFormat="false" ht="12.75" hidden="false" customHeight="true" outlineLevel="0" collapsed="false">
      <c r="C77" s="70"/>
      <c r="O77" s="52"/>
      <c r="P77" s="52"/>
      <c r="Q77" s="52"/>
      <c r="R77" s="52"/>
      <c r="S77" s="52"/>
      <c r="T77" s="52"/>
      <c r="U77" s="52"/>
      <c r="V77" s="52"/>
      <c r="W77" s="52"/>
    </row>
    <row r="78" customFormat="false" ht="12.75" hidden="false" customHeight="true" outlineLevel="0" collapsed="false">
      <c r="C78" s="70"/>
      <c r="O78" s="52"/>
      <c r="P78" s="52"/>
      <c r="Q78" s="52"/>
      <c r="R78" s="52"/>
      <c r="S78" s="52"/>
      <c r="T78" s="52"/>
      <c r="U78" s="52"/>
      <c r="V78" s="52"/>
      <c r="W78" s="52"/>
    </row>
    <row r="79" customFormat="false" ht="12.75" hidden="false" customHeight="true" outlineLevel="0" collapsed="false">
      <c r="C79" s="70"/>
      <c r="O79" s="52"/>
      <c r="P79" s="52"/>
      <c r="Q79" s="52"/>
      <c r="R79" s="52"/>
      <c r="S79" s="52"/>
      <c r="T79" s="52"/>
      <c r="U79" s="52"/>
      <c r="V79" s="52"/>
      <c r="W79" s="52"/>
    </row>
    <row r="80" customFormat="false" ht="12.75" hidden="false" customHeight="true" outlineLevel="0" collapsed="false">
      <c r="C80" s="70"/>
      <c r="O80" s="52"/>
      <c r="P80" s="52"/>
      <c r="Q80" s="52"/>
      <c r="R80" s="52"/>
      <c r="S80" s="52"/>
      <c r="T80" s="52"/>
      <c r="U80" s="52"/>
      <c r="V80" s="52"/>
      <c r="W80" s="52"/>
    </row>
    <row r="81" customFormat="false" ht="12.75" hidden="false" customHeight="true" outlineLevel="0" collapsed="false">
      <c r="C81" s="70"/>
      <c r="O81" s="52"/>
      <c r="P81" s="52"/>
      <c r="Q81" s="52"/>
      <c r="R81" s="52"/>
      <c r="S81" s="52"/>
      <c r="T81" s="52"/>
      <c r="U81" s="52"/>
      <c r="V81" s="52"/>
      <c r="W81" s="52"/>
    </row>
    <row r="82" customFormat="false" ht="12.75" hidden="false" customHeight="true" outlineLevel="0" collapsed="false">
      <c r="C82" s="70"/>
      <c r="O82" s="52"/>
      <c r="P82" s="52"/>
      <c r="Q82" s="52"/>
      <c r="R82" s="52"/>
      <c r="S82" s="52"/>
      <c r="T82" s="52"/>
      <c r="U82" s="52"/>
      <c r="V82" s="52"/>
      <c r="W82" s="52"/>
    </row>
    <row r="83" customFormat="false" ht="12.75" hidden="false" customHeight="true" outlineLevel="0" collapsed="false">
      <c r="C83" s="70"/>
      <c r="O83" s="52"/>
      <c r="P83" s="52"/>
      <c r="Q83" s="52"/>
      <c r="R83" s="52"/>
      <c r="S83" s="52"/>
      <c r="T83" s="52"/>
      <c r="U83" s="52"/>
      <c r="V83" s="52"/>
      <c r="W83" s="52"/>
    </row>
    <row r="84" customFormat="false" ht="12.75" hidden="false" customHeight="true" outlineLevel="0" collapsed="false">
      <c r="C84" s="70"/>
      <c r="O84" s="52"/>
      <c r="P84" s="52"/>
      <c r="Q84" s="52"/>
      <c r="R84" s="52"/>
      <c r="S84" s="52"/>
      <c r="T84" s="52"/>
      <c r="U84" s="52"/>
      <c r="V84" s="52"/>
      <c r="W84" s="52"/>
    </row>
    <row r="85" customFormat="false" ht="12.75" hidden="false" customHeight="true" outlineLevel="0" collapsed="false">
      <c r="C85" s="70"/>
      <c r="O85" s="52"/>
      <c r="P85" s="52"/>
      <c r="Q85" s="52"/>
      <c r="R85" s="52"/>
      <c r="S85" s="52"/>
      <c r="T85" s="52"/>
      <c r="U85" s="52"/>
      <c r="V85" s="52"/>
      <c r="W85" s="52"/>
    </row>
    <row r="86" customFormat="false" ht="12.75" hidden="false" customHeight="true" outlineLevel="0" collapsed="false">
      <c r="C86" s="70"/>
      <c r="O86" s="52"/>
      <c r="P86" s="52"/>
      <c r="Q86" s="52"/>
      <c r="R86" s="52"/>
      <c r="S86" s="52"/>
      <c r="T86" s="52"/>
      <c r="U86" s="52"/>
      <c r="V86" s="52"/>
      <c r="W86" s="52"/>
    </row>
    <row r="87" customFormat="false" ht="12.75" hidden="false" customHeight="true" outlineLevel="0" collapsed="false">
      <c r="C87" s="70"/>
      <c r="O87" s="52"/>
      <c r="P87" s="52"/>
      <c r="Q87" s="52"/>
      <c r="R87" s="52"/>
      <c r="S87" s="52"/>
      <c r="T87" s="52"/>
      <c r="U87" s="52"/>
      <c r="V87" s="52"/>
      <c r="W87" s="52"/>
    </row>
    <row r="88" customFormat="false" ht="12.75" hidden="false" customHeight="true" outlineLevel="0" collapsed="false">
      <c r="C88" s="70"/>
      <c r="O88" s="52"/>
      <c r="P88" s="52"/>
      <c r="Q88" s="52"/>
      <c r="R88" s="52"/>
      <c r="S88" s="52"/>
      <c r="T88" s="52"/>
      <c r="U88" s="52"/>
      <c r="V88" s="52"/>
      <c r="W88" s="52"/>
    </row>
    <row r="89" customFormat="false" ht="12.75" hidden="false" customHeight="true" outlineLevel="0" collapsed="false">
      <c r="C89" s="70"/>
      <c r="O89" s="52"/>
      <c r="P89" s="52"/>
      <c r="Q89" s="52"/>
      <c r="R89" s="52"/>
      <c r="S89" s="52"/>
      <c r="T89" s="52"/>
      <c r="U89" s="52"/>
      <c r="V89" s="52"/>
      <c r="W89" s="52"/>
    </row>
    <row r="90" customFormat="false" ht="12.75" hidden="false" customHeight="true" outlineLevel="0" collapsed="false">
      <c r="C90" s="70"/>
      <c r="O90" s="52"/>
      <c r="P90" s="52"/>
      <c r="Q90" s="52"/>
      <c r="R90" s="52"/>
      <c r="S90" s="52"/>
      <c r="T90" s="52"/>
      <c r="U90" s="52"/>
      <c r="V90" s="52"/>
      <c r="W90" s="52"/>
    </row>
    <row r="91" customFormat="false" ht="12.75" hidden="false" customHeight="true" outlineLevel="0" collapsed="false">
      <c r="C91" s="70"/>
      <c r="O91" s="52"/>
      <c r="P91" s="52"/>
      <c r="Q91" s="52"/>
      <c r="R91" s="52"/>
      <c r="S91" s="52"/>
      <c r="T91" s="52"/>
      <c r="U91" s="52"/>
      <c r="V91" s="52"/>
      <c r="W91" s="52"/>
    </row>
    <row r="92" customFormat="false" ht="12.75" hidden="false" customHeight="true" outlineLevel="0" collapsed="false">
      <c r="C92" s="70"/>
      <c r="O92" s="52"/>
      <c r="P92" s="52"/>
      <c r="Q92" s="52"/>
      <c r="R92" s="52"/>
      <c r="S92" s="52"/>
      <c r="T92" s="52"/>
      <c r="U92" s="52"/>
      <c r="V92" s="52"/>
      <c r="W92" s="52"/>
    </row>
    <row r="93" customFormat="false" ht="12.75" hidden="false" customHeight="true" outlineLevel="0" collapsed="false">
      <c r="C93" s="70"/>
      <c r="O93" s="52"/>
      <c r="P93" s="52"/>
      <c r="Q93" s="52"/>
      <c r="R93" s="52"/>
      <c r="S93" s="52"/>
      <c r="T93" s="52"/>
      <c r="U93" s="52"/>
      <c r="V93" s="52"/>
      <c r="W93" s="52"/>
    </row>
    <row r="94" customFormat="false" ht="12.75" hidden="false" customHeight="true" outlineLevel="0" collapsed="false">
      <c r="C94" s="70"/>
      <c r="O94" s="52"/>
      <c r="P94" s="52"/>
      <c r="Q94" s="52"/>
      <c r="R94" s="52"/>
      <c r="S94" s="52"/>
      <c r="T94" s="52"/>
      <c r="U94" s="52"/>
      <c r="V94" s="52"/>
      <c r="W94" s="52"/>
    </row>
    <row r="95" customFormat="false" ht="12.75" hidden="false" customHeight="true" outlineLevel="0" collapsed="false">
      <c r="C95" s="70"/>
      <c r="O95" s="52"/>
      <c r="P95" s="52"/>
      <c r="Q95" s="52"/>
      <c r="R95" s="52"/>
      <c r="S95" s="52"/>
      <c r="T95" s="52"/>
      <c r="U95" s="52"/>
      <c r="V95" s="52"/>
      <c r="W95" s="52"/>
    </row>
    <row r="96" customFormat="false" ht="12.75" hidden="false" customHeight="true" outlineLevel="0" collapsed="false">
      <c r="C96" s="70"/>
      <c r="O96" s="52"/>
      <c r="P96" s="52"/>
      <c r="Q96" s="52"/>
      <c r="R96" s="52"/>
      <c r="S96" s="52"/>
      <c r="T96" s="52"/>
      <c r="U96" s="52"/>
      <c r="V96" s="52"/>
      <c r="W96" s="52"/>
    </row>
    <row r="97" customFormat="false" ht="12.75" hidden="false" customHeight="true" outlineLevel="0" collapsed="false">
      <c r="C97" s="70"/>
      <c r="O97" s="52"/>
      <c r="P97" s="52"/>
      <c r="Q97" s="52"/>
      <c r="R97" s="52"/>
      <c r="S97" s="52"/>
      <c r="T97" s="52"/>
      <c r="U97" s="52"/>
      <c r="V97" s="52"/>
      <c r="W97" s="52"/>
    </row>
    <row r="98" customFormat="false" ht="12.75" hidden="false" customHeight="true" outlineLevel="0" collapsed="false">
      <c r="C98" s="70"/>
      <c r="O98" s="52"/>
      <c r="P98" s="52"/>
      <c r="Q98" s="52"/>
      <c r="R98" s="52"/>
      <c r="S98" s="52"/>
      <c r="T98" s="52"/>
      <c r="U98" s="52"/>
      <c r="V98" s="52"/>
      <c r="W98" s="52"/>
    </row>
    <row r="99" customFormat="false" ht="12.75" hidden="false" customHeight="true" outlineLevel="0" collapsed="false">
      <c r="C99" s="70"/>
      <c r="O99" s="52"/>
      <c r="P99" s="52"/>
      <c r="Q99" s="52"/>
      <c r="R99" s="52"/>
      <c r="S99" s="52"/>
      <c r="T99" s="52"/>
      <c r="U99" s="52"/>
      <c r="V99" s="52"/>
      <c r="W99" s="52"/>
    </row>
    <row r="100" customFormat="false" ht="12.75" hidden="false" customHeight="true" outlineLevel="0" collapsed="false">
      <c r="C100" s="70"/>
      <c r="O100" s="52"/>
      <c r="P100" s="52"/>
      <c r="Q100" s="52"/>
      <c r="R100" s="52"/>
      <c r="S100" s="52"/>
      <c r="T100" s="52"/>
      <c r="U100" s="52"/>
      <c r="V100" s="52"/>
      <c r="W100" s="52"/>
    </row>
    <row r="101" customFormat="false" ht="12.75" hidden="false" customHeight="true" outlineLevel="0" collapsed="false">
      <c r="C101" s="70"/>
      <c r="O101" s="52"/>
      <c r="P101" s="52"/>
      <c r="Q101" s="52"/>
      <c r="R101" s="52"/>
      <c r="S101" s="52"/>
      <c r="T101" s="52"/>
      <c r="U101" s="52"/>
      <c r="V101" s="52"/>
      <c r="W101" s="52"/>
    </row>
    <row r="102" customFormat="false" ht="12.75" hidden="false" customHeight="true" outlineLevel="0" collapsed="false">
      <c r="C102" s="70"/>
      <c r="O102" s="52"/>
      <c r="P102" s="52"/>
      <c r="Q102" s="52"/>
      <c r="R102" s="52"/>
      <c r="S102" s="52"/>
      <c r="T102" s="52"/>
      <c r="U102" s="52"/>
      <c r="V102" s="52"/>
      <c r="W102" s="52"/>
    </row>
    <row r="103" customFormat="false" ht="12.75" hidden="false" customHeight="true" outlineLevel="0" collapsed="false">
      <c r="C103" s="70"/>
      <c r="O103" s="52"/>
      <c r="P103" s="52"/>
      <c r="Q103" s="52"/>
      <c r="R103" s="52"/>
      <c r="S103" s="52"/>
      <c r="T103" s="52"/>
      <c r="U103" s="52"/>
      <c r="V103" s="52"/>
      <c r="W103" s="52"/>
    </row>
    <row r="104" customFormat="false" ht="12.75" hidden="false" customHeight="true" outlineLevel="0" collapsed="false">
      <c r="C104" s="70"/>
      <c r="O104" s="52"/>
      <c r="P104" s="52"/>
      <c r="Q104" s="52"/>
      <c r="R104" s="52"/>
      <c r="S104" s="52"/>
      <c r="T104" s="52"/>
      <c r="U104" s="52"/>
      <c r="V104" s="52"/>
      <c r="W104" s="52"/>
    </row>
    <row r="105" customFormat="false" ht="12.75" hidden="false" customHeight="true" outlineLevel="0" collapsed="false">
      <c r="C105" s="70"/>
      <c r="O105" s="52"/>
      <c r="P105" s="52"/>
      <c r="Q105" s="52"/>
      <c r="R105" s="52"/>
      <c r="S105" s="52"/>
      <c r="T105" s="52"/>
      <c r="U105" s="52"/>
      <c r="V105" s="52"/>
      <c r="W105" s="52"/>
    </row>
    <row r="106" customFormat="false" ht="12.75" hidden="false" customHeight="true" outlineLevel="0" collapsed="false">
      <c r="C106" s="70"/>
      <c r="O106" s="52"/>
      <c r="P106" s="52"/>
      <c r="Q106" s="52"/>
      <c r="R106" s="52"/>
      <c r="S106" s="52"/>
      <c r="T106" s="52"/>
      <c r="U106" s="52"/>
      <c r="V106" s="52"/>
      <c r="W106" s="52"/>
    </row>
    <row r="107" customFormat="false" ht="12.75" hidden="false" customHeight="true" outlineLevel="0" collapsed="false">
      <c r="C107" s="70"/>
      <c r="O107" s="52"/>
      <c r="P107" s="52"/>
      <c r="Q107" s="52"/>
      <c r="R107" s="52"/>
      <c r="S107" s="52"/>
      <c r="T107" s="52"/>
      <c r="U107" s="52"/>
      <c r="V107" s="52"/>
      <c r="W107" s="52"/>
    </row>
    <row r="108" customFormat="false" ht="12.75" hidden="false" customHeight="true" outlineLevel="0" collapsed="false">
      <c r="C108" s="70"/>
      <c r="O108" s="52"/>
      <c r="P108" s="52"/>
      <c r="Q108" s="52"/>
      <c r="R108" s="52"/>
      <c r="S108" s="52"/>
      <c r="T108" s="52"/>
      <c r="U108" s="52"/>
      <c r="V108" s="52"/>
      <c r="W108" s="52"/>
    </row>
    <row r="109" customFormat="false" ht="12.75" hidden="false" customHeight="true" outlineLevel="0" collapsed="false">
      <c r="C109" s="70"/>
      <c r="O109" s="52"/>
      <c r="P109" s="52"/>
      <c r="Q109" s="52"/>
      <c r="R109" s="52"/>
      <c r="S109" s="52"/>
      <c r="T109" s="52"/>
      <c r="U109" s="52"/>
      <c r="V109" s="52"/>
      <c r="W109" s="52"/>
    </row>
    <row r="110" customFormat="false" ht="12.75" hidden="false" customHeight="true" outlineLevel="0" collapsed="false">
      <c r="C110" s="70"/>
      <c r="O110" s="52"/>
      <c r="P110" s="52"/>
      <c r="Q110" s="52"/>
      <c r="R110" s="52"/>
      <c r="S110" s="52"/>
      <c r="T110" s="52"/>
      <c r="U110" s="52"/>
      <c r="V110" s="52"/>
      <c r="W110" s="52"/>
    </row>
    <row r="111" customFormat="false" ht="12.75" hidden="false" customHeight="true" outlineLevel="0" collapsed="false">
      <c r="C111" s="70"/>
      <c r="O111" s="52"/>
      <c r="P111" s="52"/>
      <c r="Q111" s="52"/>
      <c r="R111" s="52"/>
      <c r="S111" s="52"/>
      <c r="T111" s="52"/>
      <c r="U111" s="52"/>
      <c r="V111" s="52"/>
      <c r="W111" s="52"/>
    </row>
    <row r="112" customFormat="false" ht="12.75" hidden="false" customHeight="true" outlineLevel="0" collapsed="false">
      <c r="C112" s="70"/>
      <c r="O112" s="52"/>
      <c r="P112" s="52"/>
      <c r="Q112" s="52"/>
      <c r="R112" s="52"/>
      <c r="S112" s="52"/>
      <c r="T112" s="52"/>
      <c r="U112" s="52"/>
      <c r="V112" s="52"/>
      <c r="W112" s="52"/>
    </row>
    <row r="113" customFormat="false" ht="12.75" hidden="false" customHeight="true" outlineLevel="0" collapsed="false">
      <c r="C113" s="70"/>
      <c r="O113" s="52"/>
      <c r="P113" s="52"/>
      <c r="Q113" s="52"/>
      <c r="R113" s="52"/>
      <c r="S113" s="52"/>
      <c r="T113" s="52"/>
      <c r="U113" s="52"/>
      <c r="V113" s="52"/>
      <c r="W113" s="52"/>
    </row>
    <row r="114" customFormat="false" ht="12.75" hidden="false" customHeight="true" outlineLevel="0" collapsed="false">
      <c r="C114" s="70"/>
      <c r="O114" s="52"/>
      <c r="P114" s="52"/>
      <c r="Q114" s="52"/>
      <c r="R114" s="52"/>
      <c r="S114" s="52"/>
      <c r="T114" s="52"/>
      <c r="U114" s="52"/>
      <c r="V114" s="52"/>
      <c r="W114" s="52"/>
    </row>
    <row r="115" customFormat="false" ht="12.75" hidden="false" customHeight="true" outlineLevel="0" collapsed="false">
      <c r="C115" s="70"/>
      <c r="O115" s="52"/>
      <c r="P115" s="52"/>
      <c r="Q115" s="52"/>
      <c r="R115" s="52"/>
      <c r="S115" s="52"/>
      <c r="T115" s="52"/>
      <c r="U115" s="52"/>
      <c r="V115" s="52"/>
      <c r="W115" s="52"/>
    </row>
    <row r="116" customFormat="false" ht="12.75" hidden="false" customHeight="true" outlineLevel="0" collapsed="false">
      <c r="C116" s="70"/>
      <c r="O116" s="52"/>
      <c r="P116" s="52"/>
      <c r="Q116" s="52"/>
      <c r="R116" s="52"/>
      <c r="S116" s="52"/>
      <c r="T116" s="52"/>
      <c r="U116" s="52"/>
      <c r="V116" s="52"/>
      <c r="W116" s="52"/>
    </row>
    <row r="117" customFormat="false" ht="12.75" hidden="false" customHeight="true" outlineLevel="0" collapsed="false">
      <c r="C117" s="70"/>
      <c r="O117" s="52"/>
      <c r="P117" s="52"/>
      <c r="Q117" s="52"/>
      <c r="R117" s="52"/>
      <c r="S117" s="52"/>
      <c r="T117" s="52"/>
      <c r="U117" s="52"/>
      <c r="V117" s="52"/>
      <c r="W117" s="52"/>
    </row>
    <row r="118" customFormat="false" ht="12.75" hidden="false" customHeight="true" outlineLevel="0" collapsed="false">
      <c r="C118" s="70"/>
      <c r="O118" s="52"/>
      <c r="P118" s="52"/>
      <c r="Q118" s="52"/>
      <c r="R118" s="52"/>
      <c r="S118" s="52"/>
      <c r="T118" s="52"/>
      <c r="U118" s="52"/>
      <c r="V118" s="52"/>
      <c r="W118" s="52"/>
    </row>
    <row r="119" customFormat="false" ht="12.75" hidden="false" customHeight="true" outlineLevel="0" collapsed="false">
      <c r="C119" s="70"/>
      <c r="O119" s="52"/>
      <c r="P119" s="52"/>
      <c r="Q119" s="52"/>
      <c r="R119" s="52"/>
      <c r="S119" s="52"/>
      <c r="T119" s="52"/>
      <c r="U119" s="52"/>
      <c r="V119" s="52"/>
      <c r="W119" s="52"/>
    </row>
    <row r="120" customFormat="false" ht="12.75" hidden="false" customHeight="true" outlineLevel="0" collapsed="false">
      <c r="C120" s="70"/>
      <c r="O120" s="52"/>
      <c r="P120" s="52"/>
      <c r="Q120" s="52"/>
      <c r="R120" s="52"/>
      <c r="S120" s="52"/>
      <c r="T120" s="52"/>
      <c r="U120" s="52"/>
      <c r="V120" s="52"/>
      <c r="W120" s="52"/>
    </row>
    <row r="121" customFormat="false" ht="12.75" hidden="false" customHeight="true" outlineLevel="0" collapsed="false">
      <c r="C121" s="70"/>
      <c r="O121" s="52"/>
      <c r="P121" s="52"/>
      <c r="Q121" s="52"/>
      <c r="R121" s="52"/>
      <c r="S121" s="52"/>
      <c r="T121" s="52"/>
      <c r="U121" s="52"/>
      <c r="V121" s="52"/>
      <c r="W121" s="52"/>
    </row>
    <row r="122" customFormat="false" ht="12.75" hidden="false" customHeight="true" outlineLevel="0" collapsed="false">
      <c r="C122" s="70"/>
      <c r="O122" s="52"/>
      <c r="P122" s="52"/>
      <c r="Q122" s="52"/>
      <c r="R122" s="52"/>
      <c r="S122" s="52"/>
      <c r="T122" s="52"/>
      <c r="U122" s="52"/>
      <c r="V122" s="52"/>
      <c r="W122" s="52"/>
    </row>
    <row r="123" customFormat="false" ht="12.75" hidden="false" customHeight="true" outlineLevel="0" collapsed="false">
      <c r="C123" s="70"/>
      <c r="O123" s="52"/>
      <c r="P123" s="52"/>
      <c r="Q123" s="52"/>
      <c r="R123" s="52"/>
      <c r="S123" s="52"/>
      <c r="T123" s="52"/>
      <c r="U123" s="52"/>
      <c r="V123" s="52"/>
      <c r="W123" s="52"/>
    </row>
    <row r="124" customFormat="false" ht="12.75" hidden="false" customHeight="true" outlineLevel="0" collapsed="false">
      <c r="C124" s="70"/>
      <c r="O124" s="52"/>
      <c r="P124" s="52"/>
      <c r="Q124" s="52"/>
      <c r="R124" s="52"/>
      <c r="S124" s="52"/>
      <c r="T124" s="52"/>
      <c r="U124" s="52"/>
      <c r="V124" s="52"/>
      <c r="W124" s="52"/>
    </row>
    <row r="125" customFormat="false" ht="12.75" hidden="false" customHeight="true" outlineLevel="0" collapsed="false">
      <c r="C125" s="70"/>
      <c r="O125" s="52"/>
      <c r="P125" s="52"/>
      <c r="Q125" s="52"/>
      <c r="R125" s="52"/>
      <c r="S125" s="52"/>
      <c r="T125" s="52"/>
      <c r="U125" s="52"/>
      <c r="V125" s="52"/>
      <c r="W125" s="52"/>
    </row>
    <row r="126" customFormat="false" ht="12.75" hidden="false" customHeight="true" outlineLevel="0" collapsed="false">
      <c r="C126" s="70"/>
      <c r="O126" s="52"/>
      <c r="P126" s="52"/>
      <c r="Q126" s="52"/>
      <c r="R126" s="52"/>
      <c r="S126" s="52"/>
      <c r="T126" s="52"/>
      <c r="U126" s="52"/>
      <c r="V126" s="52"/>
      <c r="W126" s="52"/>
    </row>
    <row r="127" customFormat="false" ht="12.75" hidden="false" customHeight="true" outlineLevel="0" collapsed="false">
      <c r="C127" s="70"/>
      <c r="O127" s="52"/>
      <c r="P127" s="52"/>
      <c r="Q127" s="52"/>
      <c r="R127" s="52"/>
      <c r="S127" s="52"/>
      <c r="T127" s="52"/>
      <c r="U127" s="52"/>
      <c r="V127" s="52"/>
      <c r="W127" s="52"/>
    </row>
    <row r="128" customFormat="false" ht="12.75" hidden="false" customHeight="true" outlineLevel="0" collapsed="false">
      <c r="C128" s="70"/>
      <c r="O128" s="52"/>
      <c r="P128" s="52"/>
      <c r="Q128" s="52"/>
      <c r="R128" s="52"/>
      <c r="S128" s="52"/>
      <c r="T128" s="52"/>
      <c r="U128" s="52"/>
      <c r="V128" s="52"/>
      <c r="W128" s="52"/>
    </row>
    <row r="129" customFormat="false" ht="12.75" hidden="false" customHeight="true" outlineLevel="0" collapsed="false">
      <c r="C129" s="70"/>
      <c r="O129" s="52"/>
      <c r="P129" s="52"/>
      <c r="Q129" s="52"/>
      <c r="R129" s="52"/>
      <c r="S129" s="52"/>
      <c r="T129" s="52"/>
      <c r="U129" s="52"/>
      <c r="V129" s="52"/>
      <c r="W129" s="52"/>
    </row>
    <row r="130" customFormat="false" ht="12.75" hidden="false" customHeight="true" outlineLevel="0" collapsed="false">
      <c r="C130" s="70"/>
      <c r="O130" s="52"/>
      <c r="P130" s="52"/>
      <c r="Q130" s="52"/>
      <c r="R130" s="52"/>
      <c r="S130" s="52"/>
      <c r="T130" s="52"/>
      <c r="U130" s="52"/>
      <c r="V130" s="52"/>
      <c r="W130" s="52"/>
    </row>
    <row r="131" customFormat="false" ht="12.75" hidden="false" customHeight="true" outlineLevel="0" collapsed="false">
      <c r="C131" s="70"/>
      <c r="O131" s="52"/>
      <c r="P131" s="52"/>
      <c r="Q131" s="52"/>
      <c r="R131" s="52"/>
      <c r="S131" s="52"/>
      <c r="T131" s="52"/>
      <c r="U131" s="52"/>
      <c r="V131" s="52"/>
      <c r="W131" s="52"/>
    </row>
    <row r="132" customFormat="false" ht="12.75" hidden="false" customHeight="true" outlineLevel="0" collapsed="false">
      <c r="C132" s="70"/>
      <c r="O132" s="52"/>
      <c r="P132" s="52"/>
      <c r="Q132" s="52"/>
      <c r="R132" s="52"/>
      <c r="S132" s="52"/>
      <c r="T132" s="52"/>
      <c r="U132" s="52"/>
      <c r="V132" s="52"/>
      <c r="W132" s="52"/>
    </row>
    <row r="133" customFormat="false" ht="12.75" hidden="false" customHeight="true" outlineLevel="0" collapsed="false">
      <c r="C133" s="70"/>
      <c r="O133" s="52"/>
      <c r="P133" s="52"/>
      <c r="Q133" s="52"/>
      <c r="R133" s="52"/>
      <c r="S133" s="52"/>
      <c r="T133" s="52"/>
      <c r="U133" s="52"/>
      <c r="V133" s="52"/>
      <c r="W133" s="52"/>
    </row>
    <row r="134" customFormat="false" ht="12.75" hidden="false" customHeight="true" outlineLevel="0" collapsed="false">
      <c r="C134" s="70"/>
      <c r="O134" s="52"/>
      <c r="P134" s="52"/>
      <c r="Q134" s="52"/>
      <c r="R134" s="52"/>
      <c r="S134" s="52"/>
      <c r="T134" s="52"/>
      <c r="U134" s="52"/>
      <c r="V134" s="52"/>
      <c r="W134" s="52"/>
    </row>
    <row r="135" customFormat="false" ht="12.75" hidden="false" customHeight="true" outlineLevel="0" collapsed="false">
      <c r="C135" s="70"/>
      <c r="O135" s="52"/>
      <c r="P135" s="52"/>
      <c r="Q135" s="52"/>
      <c r="R135" s="52"/>
      <c r="S135" s="52"/>
      <c r="T135" s="52"/>
      <c r="U135" s="52"/>
      <c r="V135" s="52"/>
      <c r="W135" s="52"/>
    </row>
    <row r="136" customFormat="false" ht="12.75" hidden="false" customHeight="true" outlineLevel="0" collapsed="false">
      <c r="C136" s="70"/>
      <c r="O136" s="52"/>
      <c r="P136" s="52"/>
      <c r="Q136" s="52"/>
      <c r="R136" s="52"/>
      <c r="S136" s="52"/>
      <c r="T136" s="52"/>
      <c r="U136" s="52"/>
      <c r="V136" s="52"/>
      <c r="W136" s="52"/>
    </row>
    <row r="137" customFormat="false" ht="12.75" hidden="false" customHeight="true" outlineLevel="0" collapsed="false">
      <c r="C137" s="70"/>
      <c r="O137" s="52"/>
      <c r="P137" s="52"/>
      <c r="Q137" s="52"/>
      <c r="R137" s="52"/>
      <c r="S137" s="52"/>
      <c r="T137" s="52"/>
      <c r="U137" s="52"/>
      <c r="V137" s="52"/>
      <c r="W137" s="52"/>
    </row>
    <row r="138" customFormat="false" ht="12.75" hidden="false" customHeight="true" outlineLevel="0" collapsed="false">
      <c r="C138" s="70"/>
      <c r="O138" s="52"/>
      <c r="P138" s="52"/>
      <c r="Q138" s="52"/>
      <c r="R138" s="52"/>
      <c r="S138" s="52"/>
      <c r="T138" s="52"/>
      <c r="U138" s="52"/>
      <c r="V138" s="52"/>
      <c r="W138" s="52"/>
    </row>
    <row r="139" customFormat="false" ht="12.75" hidden="false" customHeight="true" outlineLevel="0" collapsed="false">
      <c r="C139" s="70"/>
      <c r="O139" s="52"/>
      <c r="P139" s="52"/>
      <c r="Q139" s="52"/>
      <c r="R139" s="52"/>
      <c r="S139" s="52"/>
      <c r="T139" s="52"/>
      <c r="U139" s="52"/>
      <c r="V139" s="52"/>
      <c r="W139" s="52"/>
    </row>
    <row r="140" customFormat="false" ht="12.75" hidden="false" customHeight="true" outlineLevel="0" collapsed="false">
      <c r="C140" s="70"/>
      <c r="N140" s="2"/>
      <c r="O140" s="41"/>
      <c r="P140" s="41"/>
      <c r="Q140" s="41"/>
      <c r="R140" s="41"/>
      <c r="S140" s="41"/>
      <c r="T140" s="41"/>
      <c r="U140" s="41"/>
      <c r="V140" s="41"/>
      <c r="W140" s="52"/>
    </row>
    <row r="141" customFormat="false" ht="12.75" hidden="false" customHeight="true" outlineLevel="0" collapsed="false">
      <c r="C141" s="70"/>
      <c r="N141" s="2"/>
      <c r="O141" s="41"/>
      <c r="P141" s="41"/>
      <c r="Q141" s="41"/>
      <c r="R141" s="41"/>
      <c r="S141" s="41"/>
      <c r="T141" s="41"/>
      <c r="U141" s="41"/>
      <c r="V141" s="41"/>
      <c r="W141" s="52"/>
    </row>
    <row r="142" customFormat="false" ht="12.75" hidden="false" customHeight="true" outlineLevel="0" collapsed="false">
      <c r="C142" s="70"/>
      <c r="N142" s="2"/>
      <c r="O142" s="41"/>
      <c r="P142" s="41"/>
      <c r="Q142" s="41"/>
      <c r="R142" s="41"/>
      <c r="S142" s="41"/>
      <c r="T142" s="41"/>
      <c r="U142" s="41"/>
      <c r="V142" s="41"/>
      <c r="W142" s="52"/>
    </row>
    <row r="143" customFormat="false" ht="12.75" hidden="false" customHeight="true" outlineLevel="0" collapsed="false">
      <c r="C143" s="70"/>
      <c r="N143" s="2"/>
      <c r="O143" s="41"/>
      <c r="P143" s="41"/>
      <c r="Q143" s="41"/>
      <c r="R143" s="41"/>
      <c r="S143" s="41"/>
      <c r="T143" s="41"/>
      <c r="U143" s="41"/>
      <c r="V143" s="41"/>
      <c r="W143" s="52"/>
    </row>
    <row r="144" customFormat="false" ht="12.75" hidden="false" customHeight="true" outlineLevel="0" collapsed="false">
      <c r="C144" s="70"/>
      <c r="N144" s="2"/>
      <c r="O144" s="41"/>
      <c r="P144" s="41"/>
      <c r="Q144" s="41"/>
      <c r="R144" s="41"/>
      <c r="S144" s="41"/>
      <c r="T144" s="41"/>
      <c r="U144" s="41"/>
      <c r="V144" s="41"/>
      <c r="W144" s="52"/>
    </row>
    <row r="145" customFormat="false" ht="12.75" hidden="false" customHeight="true" outlineLevel="0" collapsed="false">
      <c r="C145" s="70"/>
      <c r="N145" s="2"/>
      <c r="O145" s="41"/>
      <c r="P145" s="41"/>
      <c r="Q145" s="41"/>
      <c r="R145" s="41"/>
      <c r="S145" s="41"/>
      <c r="T145" s="41"/>
      <c r="U145" s="41"/>
      <c r="V145" s="41"/>
      <c r="W145" s="52"/>
    </row>
    <row r="146" customFormat="false" ht="12.75" hidden="false" customHeight="true" outlineLevel="0" collapsed="false">
      <c r="C146" s="70"/>
      <c r="N146" s="2"/>
      <c r="O146" s="41"/>
      <c r="P146" s="41"/>
      <c r="Q146" s="41"/>
      <c r="R146" s="41"/>
      <c r="S146" s="41"/>
      <c r="T146" s="41"/>
      <c r="U146" s="41"/>
      <c r="V146" s="41"/>
      <c r="W146" s="52"/>
    </row>
    <row r="147" customFormat="false" ht="12.75" hidden="false" customHeight="true" outlineLevel="0" collapsed="false">
      <c r="C147" s="70"/>
      <c r="N147" s="2"/>
      <c r="O147" s="41"/>
      <c r="P147" s="41"/>
      <c r="Q147" s="41"/>
      <c r="R147" s="41"/>
      <c r="S147" s="41"/>
      <c r="T147" s="41"/>
      <c r="U147" s="41"/>
      <c r="V147" s="41"/>
      <c r="W147" s="52"/>
    </row>
    <row r="148" customFormat="false" ht="12.75" hidden="false" customHeight="true" outlineLevel="0" collapsed="false">
      <c r="C148" s="70"/>
      <c r="N148" s="2"/>
      <c r="O148" s="41"/>
      <c r="P148" s="41"/>
      <c r="Q148" s="41"/>
      <c r="R148" s="41"/>
      <c r="S148" s="41"/>
      <c r="T148" s="41"/>
      <c r="U148" s="41"/>
      <c r="V148" s="41"/>
      <c r="W148" s="52"/>
    </row>
    <row r="149" customFormat="false" ht="12.75" hidden="false" customHeight="true" outlineLevel="0" collapsed="false">
      <c r="C149" s="70"/>
      <c r="N149" s="2"/>
      <c r="O149" s="41"/>
      <c r="P149" s="41"/>
      <c r="Q149" s="41"/>
      <c r="R149" s="41"/>
      <c r="S149" s="41"/>
      <c r="T149" s="41"/>
      <c r="U149" s="41"/>
      <c r="V149" s="41"/>
      <c r="W149" s="52"/>
    </row>
    <row r="150" customFormat="false" ht="12.75" hidden="false" customHeight="true" outlineLevel="0" collapsed="false">
      <c r="C150" s="70"/>
      <c r="N150" s="2"/>
      <c r="O150" s="41"/>
      <c r="P150" s="41"/>
      <c r="Q150" s="41"/>
      <c r="R150" s="41"/>
      <c r="S150" s="41"/>
      <c r="T150" s="41"/>
      <c r="U150" s="41"/>
      <c r="V150" s="41"/>
      <c r="W150" s="52"/>
    </row>
    <row r="151" customFormat="false" ht="12.75" hidden="false" customHeight="true" outlineLevel="0" collapsed="false">
      <c r="C151" s="70"/>
      <c r="N151" s="2"/>
      <c r="O151" s="41"/>
      <c r="P151" s="41"/>
      <c r="Q151" s="41"/>
      <c r="R151" s="41"/>
      <c r="S151" s="41"/>
      <c r="T151" s="41"/>
      <c r="U151" s="41"/>
      <c r="V151" s="41"/>
      <c r="W151" s="52"/>
    </row>
    <row r="152" customFormat="false" ht="12.75" hidden="false" customHeight="true" outlineLevel="0" collapsed="false">
      <c r="C152" s="70"/>
      <c r="N152" s="2"/>
      <c r="O152" s="41"/>
      <c r="P152" s="41"/>
      <c r="Q152" s="41"/>
      <c r="R152" s="41"/>
      <c r="S152" s="41"/>
      <c r="T152" s="41"/>
      <c r="U152" s="41"/>
      <c r="V152" s="41"/>
      <c r="W152" s="52"/>
    </row>
    <row r="153" customFormat="false" ht="12.75" hidden="false" customHeight="true" outlineLevel="0" collapsed="false">
      <c r="C153" s="70"/>
      <c r="N153" s="2"/>
      <c r="O153" s="41"/>
      <c r="P153" s="41"/>
      <c r="Q153" s="41"/>
      <c r="R153" s="41"/>
      <c r="S153" s="41"/>
      <c r="T153" s="41"/>
      <c r="U153" s="41"/>
      <c r="V153" s="41"/>
      <c r="W153" s="52"/>
    </row>
    <row r="154" customFormat="false" ht="12.75" hidden="false" customHeight="true" outlineLevel="0" collapsed="false">
      <c r="C154" s="70"/>
      <c r="N154" s="2"/>
      <c r="O154" s="41"/>
      <c r="P154" s="41"/>
      <c r="Q154" s="41"/>
      <c r="R154" s="41"/>
      <c r="S154" s="41"/>
      <c r="T154" s="41"/>
      <c r="U154" s="41"/>
      <c r="V154" s="41"/>
      <c r="W154" s="52"/>
    </row>
    <row r="155" customFormat="false" ht="12.75" hidden="false" customHeight="true" outlineLevel="0" collapsed="false">
      <c r="C155" s="70"/>
      <c r="N155" s="2"/>
      <c r="O155" s="41"/>
      <c r="P155" s="41"/>
      <c r="Q155" s="41"/>
      <c r="R155" s="41"/>
      <c r="S155" s="41"/>
      <c r="T155" s="41"/>
      <c r="U155" s="41"/>
      <c r="V155" s="41"/>
      <c r="W155" s="52"/>
    </row>
    <row r="156" customFormat="false" ht="12.75" hidden="false" customHeight="true" outlineLevel="0" collapsed="false">
      <c r="C156" s="70"/>
      <c r="N156" s="2"/>
      <c r="O156" s="41"/>
      <c r="P156" s="41"/>
      <c r="Q156" s="41"/>
      <c r="R156" s="41"/>
      <c r="S156" s="41"/>
      <c r="T156" s="41"/>
      <c r="U156" s="41"/>
      <c r="V156" s="41"/>
      <c r="W156" s="52"/>
    </row>
    <row r="157" customFormat="false" ht="12.75" hidden="false" customHeight="true" outlineLevel="0" collapsed="false">
      <c r="C157" s="70"/>
      <c r="N157" s="2"/>
      <c r="O157" s="41"/>
      <c r="P157" s="41"/>
      <c r="Q157" s="41"/>
      <c r="R157" s="41"/>
      <c r="S157" s="41"/>
      <c r="T157" s="41"/>
      <c r="U157" s="41"/>
      <c r="V157" s="41"/>
      <c r="W157" s="52"/>
    </row>
    <row r="158" customFormat="false" ht="12.75" hidden="false" customHeight="true" outlineLevel="0" collapsed="false">
      <c r="C158" s="70"/>
      <c r="N158" s="2"/>
      <c r="O158" s="41"/>
      <c r="P158" s="41"/>
      <c r="Q158" s="41"/>
      <c r="R158" s="41"/>
      <c r="S158" s="41"/>
      <c r="T158" s="41"/>
      <c r="U158" s="41"/>
      <c r="V158" s="41"/>
      <c r="W158" s="52"/>
    </row>
    <row r="159" customFormat="false" ht="12.75" hidden="false" customHeight="true" outlineLevel="0" collapsed="false">
      <c r="C159" s="70"/>
      <c r="N159" s="2"/>
      <c r="O159" s="41"/>
      <c r="P159" s="41"/>
      <c r="Q159" s="41"/>
      <c r="R159" s="41"/>
      <c r="S159" s="41"/>
      <c r="T159" s="41"/>
      <c r="U159" s="41"/>
      <c r="V159" s="41"/>
      <c r="W159" s="52"/>
    </row>
    <row r="160" customFormat="false" ht="12.75" hidden="false" customHeight="true" outlineLevel="0" collapsed="false">
      <c r="C160" s="70"/>
      <c r="N160" s="2"/>
      <c r="O160" s="41"/>
      <c r="P160" s="41"/>
      <c r="Q160" s="41"/>
      <c r="R160" s="41"/>
      <c r="S160" s="41"/>
      <c r="T160" s="41"/>
      <c r="U160" s="41"/>
      <c r="V160" s="41"/>
      <c r="W160" s="52"/>
    </row>
    <row r="161" customFormat="false" ht="12.75" hidden="false" customHeight="true" outlineLevel="0" collapsed="false">
      <c r="C161" s="70"/>
      <c r="N161" s="2"/>
      <c r="O161" s="41"/>
      <c r="P161" s="41"/>
      <c r="Q161" s="41"/>
      <c r="R161" s="41"/>
      <c r="S161" s="41"/>
      <c r="T161" s="41"/>
      <c r="U161" s="41"/>
      <c r="V161" s="41"/>
      <c r="W161" s="52"/>
    </row>
    <row r="162" customFormat="false" ht="12.75" hidden="false" customHeight="true" outlineLevel="0" collapsed="false">
      <c r="C162" s="70"/>
      <c r="N162" s="2"/>
      <c r="O162" s="41"/>
      <c r="P162" s="41"/>
      <c r="Q162" s="41"/>
      <c r="R162" s="41"/>
      <c r="S162" s="41"/>
      <c r="T162" s="41"/>
      <c r="U162" s="41"/>
      <c r="V162" s="41"/>
      <c r="W162" s="52"/>
    </row>
    <row r="163" customFormat="false" ht="12.75" hidden="false" customHeight="true" outlineLevel="0" collapsed="false">
      <c r="C163" s="70"/>
      <c r="N163" s="2"/>
      <c r="O163" s="41"/>
      <c r="P163" s="41"/>
      <c r="Q163" s="41"/>
      <c r="R163" s="41"/>
      <c r="S163" s="41"/>
      <c r="T163" s="41"/>
      <c r="U163" s="41"/>
      <c r="V163" s="41"/>
      <c r="W163" s="52"/>
    </row>
    <row r="164" customFormat="false" ht="12.75" hidden="false" customHeight="true" outlineLevel="0" collapsed="false">
      <c r="C164" s="70"/>
      <c r="N164" s="2"/>
      <c r="O164" s="41"/>
      <c r="P164" s="41"/>
      <c r="Q164" s="41"/>
      <c r="R164" s="41"/>
      <c r="S164" s="41"/>
      <c r="T164" s="41"/>
      <c r="U164" s="41"/>
      <c r="V164" s="41"/>
      <c r="W164" s="52"/>
    </row>
    <row r="165" customFormat="false" ht="12.75" hidden="false" customHeight="true" outlineLevel="0" collapsed="false">
      <c r="C165" s="70"/>
      <c r="N165" s="2"/>
      <c r="O165" s="41"/>
      <c r="P165" s="41"/>
      <c r="Q165" s="41"/>
      <c r="R165" s="41"/>
      <c r="S165" s="41"/>
      <c r="T165" s="41"/>
      <c r="U165" s="41"/>
      <c r="V165" s="41"/>
      <c r="W165" s="52"/>
    </row>
    <row r="166" customFormat="false" ht="12.75" hidden="false" customHeight="true" outlineLevel="0" collapsed="false">
      <c r="C166" s="70"/>
      <c r="N166" s="2"/>
      <c r="O166" s="41"/>
      <c r="P166" s="41"/>
      <c r="Q166" s="41"/>
      <c r="R166" s="41"/>
      <c r="S166" s="41"/>
      <c r="T166" s="41"/>
      <c r="U166" s="41"/>
      <c r="V166" s="41"/>
      <c r="W166" s="52"/>
    </row>
    <row r="167" customFormat="false" ht="12.75" hidden="false" customHeight="true" outlineLevel="0" collapsed="false">
      <c r="C167" s="70"/>
      <c r="N167" s="2"/>
      <c r="O167" s="41"/>
      <c r="P167" s="41"/>
      <c r="Q167" s="41"/>
      <c r="R167" s="41"/>
      <c r="S167" s="41"/>
      <c r="T167" s="41"/>
      <c r="U167" s="41"/>
      <c r="V167" s="41"/>
      <c r="W167" s="52"/>
    </row>
    <row r="168" customFormat="false" ht="12.75" hidden="false" customHeight="true" outlineLevel="0" collapsed="false">
      <c r="C168" s="70"/>
      <c r="N168" s="2"/>
      <c r="O168" s="41"/>
      <c r="P168" s="41"/>
      <c r="Q168" s="41"/>
      <c r="R168" s="41"/>
      <c r="S168" s="41"/>
      <c r="T168" s="41"/>
      <c r="U168" s="41"/>
      <c r="V168" s="41"/>
      <c r="W168" s="52"/>
    </row>
    <row r="169" customFormat="false" ht="12.75" hidden="false" customHeight="true" outlineLevel="0" collapsed="false">
      <c r="C169" s="70"/>
      <c r="N169" s="2"/>
      <c r="O169" s="41"/>
      <c r="P169" s="41"/>
      <c r="Q169" s="41"/>
      <c r="R169" s="41"/>
      <c r="S169" s="41"/>
      <c r="T169" s="41"/>
      <c r="U169" s="41"/>
      <c r="V169" s="41"/>
      <c r="W169" s="52"/>
    </row>
    <row r="170" customFormat="false" ht="12.75" hidden="false" customHeight="true" outlineLevel="0" collapsed="false">
      <c r="C170" s="70"/>
      <c r="N170" s="2"/>
      <c r="O170" s="41"/>
      <c r="P170" s="41"/>
      <c r="Q170" s="41"/>
      <c r="R170" s="41"/>
      <c r="S170" s="41"/>
      <c r="T170" s="41"/>
      <c r="U170" s="41"/>
      <c r="V170" s="41"/>
      <c r="W170" s="52"/>
    </row>
    <row r="171" customFormat="false" ht="12.75" hidden="false" customHeight="true" outlineLevel="0" collapsed="false">
      <c r="C171" s="70"/>
      <c r="N171" s="2"/>
      <c r="O171" s="41"/>
      <c r="P171" s="41"/>
      <c r="Q171" s="41"/>
      <c r="R171" s="41"/>
      <c r="S171" s="41"/>
      <c r="T171" s="41"/>
      <c r="U171" s="41"/>
      <c r="V171" s="41"/>
      <c r="W171" s="52"/>
    </row>
    <row r="172" customFormat="false" ht="12.75" hidden="false" customHeight="true" outlineLevel="0" collapsed="false">
      <c r="C172" s="70"/>
      <c r="N172" s="2"/>
      <c r="O172" s="41"/>
      <c r="P172" s="41"/>
      <c r="Q172" s="41"/>
      <c r="R172" s="41"/>
      <c r="S172" s="41"/>
      <c r="T172" s="41"/>
      <c r="U172" s="41"/>
      <c r="V172" s="41"/>
      <c r="W172" s="52"/>
    </row>
    <row r="173" customFormat="false" ht="12.75" hidden="false" customHeight="true" outlineLevel="0" collapsed="false">
      <c r="C173" s="70"/>
      <c r="N173" s="2"/>
      <c r="O173" s="41"/>
      <c r="P173" s="41"/>
      <c r="Q173" s="41"/>
      <c r="R173" s="41"/>
      <c r="S173" s="41"/>
      <c r="T173" s="41"/>
      <c r="U173" s="41"/>
      <c r="V173" s="41"/>
      <c r="W173" s="52"/>
    </row>
    <row r="174" customFormat="false" ht="12.75" hidden="false" customHeight="true" outlineLevel="0" collapsed="false">
      <c r="C174" s="70"/>
      <c r="N174" s="2"/>
      <c r="O174" s="41"/>
      <c r="P174" s="41"/>
      <c r="Q174" s="41"/>
      <c r="R174" s="41"/>
      <c r="S174" s="41"/>
      <c r="T174" s="41"/>
      <c r="U174" s="41"/>
      <c r="V174" s="41"/>
      <c r="W174" s="52"/>
    </row>
    <row r="175" customFormat="false" ht="12.75" hidden="false" customHeight="true" outlineLevel="0" collapsed="false">
      <c r="C175" s="70"/>
      <c r="N175" s="2"/>
      <c r="O175" s="41"/>
      <c r="P175" s="41"/>
      <c r="Q175" s="41"/>
      <c r="R175" s="41"/>
      <c r="S175" s="41"/>
      <c r="T175" s="41"/>
      <c r="U175" s="41"/>
      <c r="V175" s="41"/>
      <c r="W175" s="52"/>
    </row>
    <row r="176" customFormat="false" ht="12.75" hidden="false" customHeight="true" outlineLevel="0" collapsed="false">
      <c r="C176" s="70"/>
      <c r="N176" s="2"/>
      <c r="O176" s="41"/>
      <c r="P176" s="41"/>
      <c r="Q176" s="41"/>
      <c r="R176" s="41"/>
      <c r="S176" s="41"/>
      <c r="T176" s="41"/>
      <c r="U176" s="41"/>
      <c r="V176" s="41"/>
      <c r="W176" s="52"/>
    </row>
    <row r="177" customFormat="false" ht="12.75" hidden="false" customHeight="true" outlineLevel="0" collapsed="false">
      <c r="C177" s="70"/>
      <c r="N177" s="2"/>
      <c r="O177" s="41"/>
      <c r="P177" s="41"/>
      <c r="Q177" s="41"/>
      <c r="R177" s="41"/>
      <c r="S177" s="41"/>
      <c r="T177" s="41"/>
      <c r="U177" s="41"/>
      <c r="V177" s="41"/>
      <c r="W177" s="52"/>
    </row>
    <row r="178" customFormat="false" ht="12.75" hidden="false" customHeight="true" outlineLevel="0" collapsed="false">
      <c r="C178" s="70"/>
      <c r="N178" s="2"/>
      <c r="O178" s="41"/>
      <c r="P178" s="41"/>
      <c r="Q178" s="41"/>
      <c r="R178" s="41"/>
      <c r="S178" s="41"/>
      <c r="T178" s="41"/>
      <c r="U178" s="41"/>
      <c r="V178" s="41"/>
      <c r="W178" s="52"/>
    </row>
    <row r="179" customFormat="false" ht="12.75" hidden="false" customHeight="true" outlineLevel="0" collapsed="false">
      <c r="C179" s="70"/>
      <c r="N179" s="2"/>
      <c r="O179" s="41"/>
      <c r="P179" s="41"/>
      <c r="Q179" s="41"/>
      <c r="R179" s="41"/>
      <c r="S179" s="41"/>
      <c r="T179" s="41"/>
      <c r="U179" s="41"/>
      <c r="V179" s="41"/>
      <c r="W179" s="52"/>
    </row>
    <row r="180" customFormat="false" ht="12.75" hidden="false" customHeight="true" outlineLevel="0" collapsed="false">
      <c r="C180" s="70"/>
      <c r="N180" s="2"/>
      <c r="O180" s="41"/>
      <c r="P180" s="41"/>
      <c r="Q180" s="41"/>
      <c r="R180" s="41"/>
      <c r="S180" s="41"/>
      <c r="T180" s="41"/>
      <c r="U180" s="41"/>
      <c r="V180" s="41"/>
      <c r="W180" s="52"/>
    </row>
    <row r="181" customFormat="false" ht="12.75" hidden="false" customHeight="true" outlineLevel="0" collapsed="false">
      <c r="C181" s="70"/>
      <c r="N181" s="2"/>
      <c r="O181" s="41"/>
      <c r="P181" s="41"/>
      <c r="Q181" s="41"/>
      <c r="R181" s="41"/>
      <c r="S181" s="41"/>
      <c r="T181" s="41"/>
      <c r="U181" s="41"/>
      <c r="V181" s="41"/>
      <c r="W181" s="52"/>
    </row>
    <row r="182" customFormat="false" ht="12.75" hidden="false" customHeight="true" outlineLevel="0" collapsed="false">
      <c r="C182" s="70"/>
      <c r="N182" s="2"/>
      <c r="O182" s="41"/>
      <c r="P182" s="41"/>
      <c r="Q182" s="41"/>
      <c r="R182" s="41"/>
      <c r="S182" s="41"/>
      <c r="T182" s="41"/>
      <c r="U182" s="41"/>
      <c r="V182" s="41"/>
      <c r="W182" s="52"/>
    </row>
    <row r="183" customFormat="false" ht="12.75" hidden="false" customHeight="true" outlineLevel="0" collapsed="false">
      <c r="C183" s="70"/>
      <c r="N183" s="2"/>
      <c r="O183" s="41"/>
      <c r="P183" s="41"/>
      <c r="Q183" s="41"/>
      <c r="R183" s="41"/>
      <c r="S183" s="41"/>
      <c r="T183" s="41"/>
      <c r="U183" s="41"/>
      <c r="V183" s="41"/>
      <c r="W183" s="52"/>
    </row>
    <row r="184" customFormat="false" ht="12.75" hidden="false" customHeight="true" outlineLevel="0" collapsed="false">
      <c r="C184" s="70"/>
      <c r="N184" s="2"/>
      <c r="O184" s="41"/>
      <c r="P184" s="41"/>
      <c r="Q184" s="41"/>
      <c r="R184" s="41"/>
      <c r="S184" s="41"/>
      <c r="T184" s="41"/>
      <c r="U184" s="41"/>
      <c r="V184" s="41"/>
      <c r="W184" s="52"/>
    </row>
    <row r="185" customFormat="false" ht="12.75" hidden="false" customHeight="true" outlineLevel="0" collapsed="false">
      <c r="C185" s="70"/>
      <c r="N185" s="2"/>
      <c r="O185" s="41"/>
      <c r="P185" s="41"/>
      <c r="Q185" s="41"/>
      <c r="R185" s="41"/>
      <c r="S185" s="41"/>
      <c r="T185" s="41"/>
      <c r="U185" s="41"/>
      <c r="V185" s="41"/>
      <c r="W185" s="52"/>
    </row>
    <row r="186" customFormat="false" ht="12.75" hidden="false" customHeight="true" outlineLevel="0" collapsed="false">
      <c r="C186" s="70"/>
      <c r="N186" s="2"/>
      <c r="O186" s="41"/>
      <c r="P186" s="41"/>
      <c r="Q186" s="41"/>
      <c r="R186" s="41"/>
      <c r="S186" s="41"/>
      <c r="T186" s="41"/>
      <c r="U186" s="41"/>
      <c r="V186" s="41"/>
      <c r="W186" s="52"/>
    </row>
    <row r="187" customFormat="false" ht="12.75" hidden="false" customHeight="true" outlineLevel="0" collapsed="false">
      <c r="C187" s="70"/>
      <c r="N187" s="2"/>
      <c r="O187" s="41"/>
      <c r="P187" s="41"/>
      <c r="Q187" s="41"/>
      <c r="R187" s="41"/>
      <c r="S187" s="41"/>
      <c r="T187" s="41"/>
      <c r="U187" s="41"/>
      <c r="V187" s="41"/>
      <c r="W187" s="52"/>
    </row>
    <row r="188" customFormat="false" ht="12.75" hidden="false" customHeight="true" outlineLevel="0" collapsed="false">
      <c r="C188" s="70"/>
      <c r="N188" s="2"/>
      <c r="O188" s="41"/>
      <c r="P188" s="41"/>
      <c r="Q188" s="41"/>
      <c r="R188" s="41"/>
      <c r="S188" s="41"/>
      <c r="T188" s="41"/>
      <c r="U188" s="41"/>
      <c r="V188" s="41"/>
      <c r="W188" s="52"/>
    </row>
    <row r="189" customFormat="false" ht="12.75" hidden="false" customHeight="true" outlineLevel="0" collapsed="false">
      <c r="C189" s="70"/>
      <c r="N189" s="2"/>
      <c r="O189" s="41"/>
      <c r="P189" s="41"/>
      <c r="Q189" s="41"/>
      <c r="R189" s="41"/>
      <c r="S189" s="41"/>
      <c r="T189" s="41"/>
      <c r="U189" s="41"/>
      <c r="V189" s="41"/>
      <c r="W189" s="52"/>
    </row>
    <row r="190" customFormat="false" ht="12.75" hidden="false" customHeight="true" outlineLevel="0" collapsed="false">
      <c r="C190" s="70"/>
      <c r="N190" s="2"/>
      <c r="O190" s="41"/>
      <c r="P190" s="41"/>
      <c r="Q190" s="41"/>
      <c r="R190" s="41"/>
      <c r="S190" s="41"/>
      <c r="T190" s="41"/>
      <c r="U190" s="41"/>
      <c r="V190" s="41"/>
      <c r="W190" s="52"/>
    </row>
    <row r="191" customFormat="false" ht="12.75" hidden="false" customHeight="true" outlineLevel="0" collapsed="false">
      <c r="C191" s="70"/>
      <c r="N191" s="2"/>
      <c r="O191" s="41"/>
      <c r="P191" s="41"/>
      <c r="Q191" s="41"/>
      <c r="R191" s="41"/>
      <c r="S191" s="41"/>
      <c r="T191" s="41"/>
      <c r="U191" s="41"/>
      <c r="V191" s="41"/>
      <c r="W191" s="52"/>
    </row>
    <row r="192" customFormat="false" ht="12.75" hidden="false" customHeight="true" outlineLevel="0" collapsed="false">
      <c r="C192" s="70"/>
      <c r="N192" s="2"/>
      <c r="O192" s="41"/>
      <c r="P192" s="41"/>
      <c r="Q192" s="41"/>
      <c r="R192" s="41"/>
      <c r="S192" s="41"/>
      <c r="T192" s="41"/>
      <c r="U192" s="41"/>
      <c r="V192" s="41"/>
      <c r="W192" s="52"/>
    </row>
    <row r="193" customFormat="false" ht="12.75" hidden="false" customHeight="true" outlineLevel="0" collapsed="false">
      <c r="C193" s="70"/>
      <c r="N193" s="2"/>
      <c r="O193" s="41"/>
      <c r="P193" s="41"/>
      <c r="Q193" s="41"/>
      <c r="R193" s="41"/>
      <c r="S193" s="41"/>
      <c r="T193" s="41"/>
      <c r="U193" s="41"/>
      <c r="V193" s="41"/>
      <c r="W193" s="52"/>
    </row>
    <row r="194" customFormat="false" ht="12.75" hidden="false" customHeight="true" outlineLevel="0" collapsed="false">
      <c r="C194" s="70"/>
      <c r="N194" s="2"/>
      <c r="O194" s="41"/>
      <c r="P194" s="41"/>
      <c r="Q194" s="41"/>
      <c r="R194" s="41"/>
      <c r="S194" s="41"/>
      <c r="T194" s="41"/>
      <c r="U194" s="41"/>
      <c r="V194" s="41"/>
      <c r="W194" s="52"/>
    </row>
    <row r="195" customFormat="false" ht="12.75" hidden="false" customHeight="true" outlineLevel="0" collapsed="false">
      <c r="C195" s="70"/>
      <c r="N195" s="2"/>
      <c r="O195" s="41"/>
      <c r="P195" s="41"/>
      <c r="Q195" s="41"/>
      <c r="R195" s="41"/>
      <c r="S195" s="41"/>
      <c r="T195" s="41"/>
      <c r="U195" s="41"/>
      <c r="V195" s="41"/>
      <c r="W195" s="52"/>
    </row>
    <row r="196" customFormat="false" ht="12.75" hidden="false" customHeight="true" outlineLevel="0" collapsed="false">
      <c r="C196" s="70"/>
      <c r="N196" s="2"/>
      <c r="O196" s="41"/>
      <c r="P196" s="41"/>
      <c r="Q196" s="41"/>
      <c r="R196" s="41"/>
      <c r="S196" s="41"/>
      <c r="T196" s="41"/>
      <c r="U196" s="41"/>
      <c r="V196" s="41"/>
      <c r="W196" s="52"/>
    </row>
    <row r="197" customFormat="false" ht="12.75" hidden="false" customHeight="true" outlineLevel="0" collapsed="false">
      <c r="C197" s="70"/>
      <c r="N197" s="2"/>
      <c r="O197" s="41"/>
      <c r="P197" s="41"/>
      <c r="Q197" s="41"/>
      <c r="R197" s="41"/>
      <c r="S197" s="41"/>
      <c r="T197" s="41"/>
      <c r="U197" s="41"/>
      <c r="V197" s="41"/>
      <c r="W197" s="52"/>
    </row>
    <row r="198" customFormat="false" ht="12.75" hidden="false" customHeight="true" outlineLevel="0" collapsed="false">
      <c r="C198" s="70"/>
      <c r="N198" s="2"/>
      <c r="O198" s="41"/>
      <c r="P198" s="41"/>
      <c r="Q198" s="41"/>
      <c r="R198" s="41"/>
      <c r="S198" s="41"/>
      <c r="T198" s="41"/>
      <c r="U198" s="41"/>
      <c r="V198" s="41"/>
      <c r="W198" s="52"/>
    </row>
    <row r="199" customFormat="false" ht="12.75" hidden="false" customHeight="true" outlineLevel="0" collapsed="false">
      <c r="C199" s="70"/>
      <c r="N199" s="2"/>
      <c r="O199" s="41"/>
      <c r="P199" s="41"/>
      <c r="Q199" s="41"/>
      <c r="R199" s="41"/>
      <c r="S199" s="41"/>
      <c r="T199" s="41"/>
      <c r="U199" s="41"/>
      <c r="V199" s="41"/>
      <c r="W199" s="52"/>
    </row>
    <row r="200" customFormat="false" ht="12.75" hidden="false" customHeight="true" outlineLevel="0" collapsed="false">
      <c r="C200" s="70"/>
      <c r="N200" s="2"/>
      <c r="O200" s="41"/>
      <c r="P200" s="41"/>
      <c r="Q200" s="41"/>
      <c r="R200" s="41"/>
      <c r="S200" s="41"/>
      <c r="T200" s="41"/>
      <c r="U200" s="41"/>
      <c r="V200" s="41"/>
      <c r="W200" s="52"/>
    </row>
    <row r="201" customFormat="false" ht="12.75" hidden="false" customHeight="true" outlineLevel="0" collapsed="false">
      <c r="C201" s="70"/>
      <c r="N201" s="2"/>
      <c r="O201" s="41"/>
      <c r="P201" s="41"/>
      <c r="Q201" s="41"/>
      <c r="R201" s="41"/>
      <c r="S201" s="41"/>
      <c r="T201" s="41"/>
      <c r="U201" s="41"/>
      <c r="V201" s="41"/>
      <c r="W201" s="52"/>
    </row>
    <row r="202" customFormat="false" ht="12.75" hidden="false" customHeight="true" outlineLevel="0" collapsed="false">
      <c r="C202" s="70"/>
      <c r="N202" s="2"/>
      <c r="O202" s="41"/>
      <c r="P202" s="41"/>
      <c r="Q202" s="41"/>
      <c r="R202" s="41"/>
      <c r="S202" s="41"/>
      <c r="T202" s="41"/>
      <c r="U202" s="41"/>
      <c r="V202" s="41"/>
      <c r="W202" s="52"/>
    </row>
    <row r="203" customFormat="false" ht="12.75" hidden="false" customHeight="true" outlineLevel="0" collapsed="false">
      <c r="C203" s="70"/>
      <c r="N203" s="2"/>
      <c r="O203" s="41"/>
      <c r="P203" s="41"/>
      <c r="Q203" s="41"/>
      <c r="R203" s="41"/>
      <c r="S203" s="41"/>
      <c r="T203" s="41"/>
      <c r="U203" s="41"/>
      <c r="V203" s="41"/>
      <c r="W203" s="52"/>
    </row>
    <row r="204" customFormat="false" ht="12.75" hidden="false" customHeight="true" outlineLevel="0" collapsed="false">
      <c r="C204" s="70"/>
      <c r="N204" s="2"/>
      <c r="O204" s="41"/>
      <c r="P204" s="41"/>
      <c r="Q204" s="41"/>
      <c r="R204" s="41"/>
      <c r="S204" s="41"/>
      <c r="T204" s="41"/>
      <c r="U204" s="41"/>
      <c r="V204" s="41"/>
      <c r="W204" s="52"/>
    </row>
    <row r="205" customFormat="false" ht="12.75" hidden="false" customHeight="true" outlineLevel="0" collapsed="false">
      <c r="C205" s="70"/>
      <c r="N205" s="2"/>
      <c r="O205" s="41"/>
      <c r="P205" s="41"/>
      <c r="Q205" s="41"/>
      <c r="R205" s="41"/>
      <c r="S205" s="41"/>
      <c r="T205" s="41"/>
      <c r="U205" s="41"/>
      <c r="V205" s="41"/>
      <c r="W205" s="52"/>
    </row>
    <row r="206" customFormat="false" ht="12.75" hidden="false" customHeight="true" outlineLevel="0" collapsed="false">
      <c r="C206" s="70"/>
      <c r="N206" s="2"/>
      <c r="O206" s="41"/>
      <c r="P206" s="41"/>
      <c r="Q206" s="41"/>
      <c r="R206" s="41"/>
      <c r="S206" s="41"/>
      <c r="T206" s="41"/>
      <c r="U206" s="41"/>
      <c r="V206" s="41"/>
      <c r="W206" s="52"/>
    </row>
    <row r="207" customFormat="false" ht="12.75" hidden="false" customHeight="true" outlineLevel="0" collapsed="false">
      <c r="C207" s="70"/>
      <c r="N207" s="2"/>
      <c r="O207" s="41"/>
      <c r="P207" s="41"/>
      <c r="Q207" s="41"/>
      <c r="R207" s="41"/>
      <c r="S207" s="41"/>
      <c r="T207" s="41"/>
      <c r="U207" s="41"/>
      <c r="V207" s="41"/>
      <c r="W207" s="52"/>
    </row>
    <row r="208" customFormat="false" ht="12.75" hidden="false" customHeight="true" outlineLevel="0" collapsed="false">
      <c r="C208" s="70"/>
      <c r="N208" s="2"/>
      <c r="O208" s="41"/>
      <c r="P208" s="41"/>
      <c r="Q208" s="41"/>
      <c r="R208" s="41"/>
      <c r="S208" s="41"/>
      <c r="T208" s="41"/>
      <c r="U208" s="41"/>
      <c r="V208" s="41"/>
      <c r="W208" s="52"/>
    </row>
    <row r="209" customFormat="false" ht="12.75" hidden="false" customHeight="true" outlineLevel="0" collapsed="false">
      <c r="C209" s="70"/>
      <c r="N209" s="2"/>
      <c r="O209" s="41"/>
      <c r="P209" s="41"/>
      <c r="Q209" s="41"/>
      <c r="R209" s="41"/>
      <c r="S209" s="41"/>
      <c r="T209" s="41"/>
      <c r="U209" s="41"/>
      <c r="V209" s="41"/>
      <c r="W209" s="52"/>
    </row>
    <row r="210" customFormat="false" ht="12.75" hidden="false" customHeight="true" outlineLevel="0" collapsed="false">
      <c r="C210" s="70"/>
      <c r="N210" s="2"/>
      <c r="O210" s="41"/>
      <c r="P210" s="41"/>
      <c r="Q210" s="41"/>
      <c r="R210" s="41"/>
      <c r="S210" s="41"/>
      <c r="T210" s="41"/>
      <c r="U210" s="41"/>
      <c r="V210" s="41"/>
      <c r="W210" s="52"/>
    </row>
    <row r="211" customFormat="false" ht="12.75" hidden="false" customHeight="true" outlineLevel="0" collapsed="false">
      <c r="C211" s="70"/>
      <c r="N211" s="2"/>
      <c r="O211" s="41"/>
      <c r="P211" s="41"/>
      <c r="Q211" s="41"/>
      <c r="R211" s="41"/>
      <c r="S211" s="41"/>
      <c r="T211" s="41"/>
      <c r="U211" s="41"/>
      <c r="V211" s="41"/>
      <c r="W211" s="52"/>
    </row>
    <row r="212" customFormat="false" ht="12.75" hidden="false" customHeight="true" outlineLevel="0" collapsed="false">
      <c r="C212" s="70"/>
      <c r="N212" s="2"/>
      <c r="O212" s="41"/>
      <c r="P212" s="41"/>
      <c r="Q212" s="41"/>
      <c r="R212" s="41"/>
      <c r="S212" s="41"/>
      <c r="T212" s="41"/>
      <c r="U212" s="41"/>
      <c r="V212" s="41"/>
      <c r="W212" s="52"/>
    </row>
    <row r="213" customFormat="false" ht="12.75" hidden="false" customHeight="true" outlineLevel="0" collapsed="false">
      <c r="C213" s="70"/>
      <c r="N213" s="2"/>
      <c r="O213" s="41"/>
      <c r="P213" s="41"/>
      <c r="Q213" s="41"/>
      <c r="R213" s="41"/>
      <c r="S213" s="41"/>
      <c r="T213" s="41"/>
      <c r="U213" s="41"/>
      <c r="V213" s="41"/>
      <c r="W213" s="52"/>
    </row>
    <row r="214" customFormat="false" ht="12.75" hidden="false" customHeight="true" outlineLevel="0" collapsed="false">
      <c r="C214" s="70"/>
      <c r="N214" s="2"/>
      <c r="O214" s="41"/>
      <c r="P214" s="41"/>
      <c r="Q214" s="41"/>
      <c r="R214" s="41"/>
      <c r="S214" s="41"/>
      <c r="T214" s="41"/>
      <c r="U214" s="41"/>
      <c r="V214" s="41"/>
      <c r="W214" s="52"/>
    </row>
    <row r="215" customFormat="false" ht="12.75" hidden="false" customHeight="true" outlineLevel="0" collapsed="false">
      <c r="C215" s="70"/>
      <c r="N215" s="2"/>
      <c r="O215" s="41"/>
      <c r="P215" s="41"/>
      <c r="Q215" s="41"/>
      <c r="R215" s="41"/>
      <c r="S215" s="41"/>
      <c r="T215" s="41"/>
      <c r="U215" s="41"/>
      <c r="V215" s="41"/>
      <c r="W215" s="52"/>
    </row>
    <row r="216" customFormat="false" ht="12.75" hidden="false" customHeight="true" outlineLevel="0" collapsed="false">
      <c r="C216" s="70"/>
      <c r="N216" s="2"/>
      <c r="O216" s="41"/>
      <c r="P216" s="41"/>
      <c r="Q216" s="41"/>
      <c r="R216" s="41"/>
      <c r="S216" s="41"/>
      <c r="T216" s="41"/>
      <c r="U216" s="41"/>
      <c r="V216" s="41"/>
      <c r="W216" s="52"/>
    </row>
    <row r="217" customFormat="false" ht="12.75" hidden="false" customHeight="true" outlineLevel="0" collapsed="false">
      <c r="C217" s="70"/>
      <c r="N217" s="2"/>
      <c r="O217" s="41"/>
      <c r="P217" s="41"/>
      <c r="Q217" s="41"/>
      <c r="R217" s="41"/>
      <c r="S217" s="41"/>
      <c r="T217" s="41"/>
      <c r="U217" s="41"/>
      <c r="V217" s="41"/>
      <c r="W217" s="52"/>
    </row>
    <row r="218" customFormat="false" ht="12.75" hidden="false" customHeight="true" outlineLevel="0" collapsed="false">
      <c r="C218" s="70"/>
      <c r="N218" s="2"/>
      <c r="O218" s="41"/>
      <c r="P218" s="41"/>
      <c r="Q218" s="41"/>
      <c r="R218" s="41"/>
      <c r="S218" s="41"/>
      <c r="T218" s="41"/>
      <c r="U218" s="41"/>
      <c r="V218" s="41"/>
      <c r="W218" s="52"/>
    </row>
    <row r="219" customFormat="false" ht="12.75" hidden="false" customHeight="true" outlineLevel="0" collapsed="false">
      <c r="C219" s="70"/>
      <c r="N219" s="2"/>
      <c r="O219" s="41"/>
      <c r="P219" s="41"/>
      <c r="Q219" s="41"/>
      <c r="R219" s="41"/>
      <c r="S219" s="41"/>
      <c r="T219" s="41"/>
      <c r="U219" s="41"/>
      <c r="V219" s="41"/>
      <c r="W219" s="52"/>
    </row>
    <row r="220" customFormat="false" ht="12.75" hidden="false" customHeight="true" outlineLevel="0" collapsed="false">
      <c r="C220" s="70"/>
      <c r="N220" s="2"/>
      <c r="O220" s="41"/>
      <c r="P220" s="41"/>
      <c r="Q220" s="41"/>
      <c r="R220" s="41"/>
      <c r="S220" s="41"/>
      <c r="T220" s="41"/>
      <c r="U220" s="41"/>
      <c r="V220" s="41"/>
      <c r="W220" s="52"/>
    </row>
    <row r="221" customFormat="false" ht="12.75" hidden="false" customHeight="true" outlineLevel="0" collapsed="false">
      <c r="C221" s="70"/>
      <c r="N221" s="2"/>
      <c r="O221" s="41"/>
      <c r="P221" s="41"/>
      <c r="Q221" s="41"/>
      <c r="R221" s="41"/>
      <c r="S221" s="41"/>
      <c r="T221" s="41"/>
      <c r="U221" s="41"/>
      <c r="V221" s="41"/>
      <c r="W221" s="52"/>
    </row>
    <row r="222" customFormat="false" ht="12.75" hidden="false" customHeight="true" outlineLevel="0" collapsed="false">
      <c r="C222" s="70"/>
      <c r="N222" s="2"/>
      <c r="O222" s="41"/>
      <c r="P222" s="41"/>
      <c r="Q222" s="41"/>
      <c r="R222" s="41"/>
      <c r="S222" s="41"/>
      <c r="T222" s="41"/>
      <c r="U222" s="41"/>
      <c r="V222" s="41"/>
      <c r="W222" s="52"/>
    </row>
    <row r="223" customFormat="false" ht="12.75" hidden="false" customHeight="true" outlineLevel="0" collapsed="false">
      <c r="C223" s="70"/>
      <c r="N223" s="2"/>
      <c r="O223" s="41"/>
      <c r="P223" s="41"/>
      <c r="Q223" s="41"/>
      <c r="R223" s="41"/>
      <c r="S223" s="41"/>
      <c r="T223" s="41"/>
      <c r="U223" s="41"/>
      <c r="V223" s="41"/>
      <c r="W223" s="52"/>
    </row>
    <row r="224" customFormat="false" ht="12.75" hidden="false" customHeight="true" outlineLevel="0" collapsed="false">
      <c r="C224" s="70"/>
      <c r="N224" s="2"/>
      <c r="O224" s="41"/>
      <c r="P224" s="41"/>
      <c r="Q224" s="41"/>
      <c r="R224" s="41"/>
      <c r="S224" s="41"/>
      <c r="T224" s="41"/>
      <c r="U224" s="41"/>
      <c r="V224" s="41"/>
      <c r="W224" s="52"/>
    </row>
    <row r="225" customFormat="false" ht="12.75" hidden="false" customHeight="true" outlineLevel="0" collapsed="false">
      <c r="C225" s="70"/>
      <c r="N225" s="2"/>
      <c r="O225" s="41"/>
      <c r="P225" s="41"/>
      <c r="Q225" s="41"/>
      <c r="R225" s="41"/>
      <c r="S225" s="41"/>
      <c r="T225" s="41"/>
      <c r="U225" s="41"/>
      <c r="V225" s="41"/>
      <c r="W225" s="52"/>
    </row>
    <row r="226" customFormat="false" ht="12.75" hidden="false" customHeight="true" outlineLevel="0" collapsed="false">
      <c r="C226" s="70"/>
      <c r="N226" s="2"/>
      <c r="O226" s="41"/>
      <c r="P226" s="41"/>
      <c r="Q226" s="41"/>
      <c r="R226" s="41"/>
      <c r="S226" s="41"/>
      <c r="T226" s="41"/>
      <c r="U226" s="41"/>
      <c r="V226" s="41"/>
      <c r="W226" s="52"/>
    </row>
    <row r="227" customFormat="false" ht="12.75" hidden="false" customHeight="true" outlineLevel="0" collapsed="false">
      <c r="C227" s="70"/>
      <c r="N227" s="2"/>
      <c r="O227" s="41"/>
      <c r="P227" s="41"/>
      <c r="Q227" s="41"/>
      <c r="R227" s="41"/>
      <c r="S227" s="41"/>
      <c r="T227" s="41"/>
      <c r="U227" s="41"/>
      <c r="V227" s="41"/>
      <c r="W227" s="52"/>
    </row>
    <row r="228" customFormat="false" ht="12.75" hidden="false" customHeight="true" outlineLevel="0" collapsed="false">
      <c r="C228" s="70"/>
      <c r="N228" s="2"/>
      <c r="O228" s="41"/>
      <c r="P228" s="41"/>
      <c r="Q228" s="41"/>
      <c r="R228" s="41"/>
      <c r="S228" s="41"/>
      <c r="T228" s="41"/>
      <c r="U228" s="41"/>
      <c r="V228" s="41"/>
      <c r="W228" s="52"/>
    </row>
    <row r="229" customFormat="false" ht="12.75" hidden="false" customHeight="true" outlineLevel="0" collapsed="false">
      <c r="C229" s="70"/>
      <c r="N229" s="2"/>
      <c r="O229" s="41"/>
      <c r="P229" s="41"/>
      <c r="Q229" s="41"/>
      <c r="R229" s="41"/>
      <c r="S229" s="41"/>
      <c r="T229" s="41"/>
      <c r="U229" s="41"/>
      <c r="V229" s="41"/>
      <c r="W229" s="52"/>
    </row>
    <row r="230" customFormat="false" ht="12.75" hidden="false" customHeight="true" outlineLevel="0" collapsed="false">
      <c r="C230" s="70"/>
      <c r="N230" s="2"/>
      <c r="O230" s="41"/>
      <c r="P230" s="41"/>
      <c r="Q230" s="41"/>
      <c r="R230" s="41"/>
      <c r="S230" s="41"/>
      <c r="T230" s="41"/>
      <c r="U230" s="41"/>
      <c r="V230" s="41"/>
      <c r="W230" s="52"/>
    </row>
    <row r="231" customFormat="false" ht="12.75" hidden="false" customHeight="true" outlineLevel="0" collapsed="false">
      <c r="C231" s="70"/>
      <c r="N231" s="2"/>
      <c r="O231" s="41"/>
      <c r="P231" s="41"/>
      <c r="Q231" s="41"/>
      <c r="R231" s="41"/>
      <c r="S231" s="41"/>
      <c r="T231" s="41"/>
      <c r="U231" s="41"/>
      <c r="V231" s="41"/>
      <c r="W231" s="52"/>
    </row>
    <row r="232" customFormat="false" ht="12.75" hidden="false" customHeight="true" outlineLevel="0" collapsed="false">
      <c r="C232" s="70"/>
      <c r="N232" s="2"/>
      <c r="O232" s="41"/>
      <c r="P232" s="41"/>
      <c r="Q232" s="41"/>
      <c r="R232" s="41"/>
      <c r="S232" s="41"/>
      <c r="T232" s="41"/>
      <c r="U232" s="41"/>
      <c r="V232" s="41"/>
      <c r="W232" s="52"/>
    </row>
    <row r="233" customFormat="false" ht="12.75" hidden="false" customHeight="true" outlineLevel="0" collapsed="false">
      <c r="C233" s="70"/>
      <c r="N233" s="2"/>
      <c r="O233" s="41"/>
      <c r="P233" s="41"/>
      <c r="Q233" s="41"/>
      <c r="R233" s="41"/>
      <c r="S233" s="41"/>
      <c r="T233" s="41"/>
      <c r="U233" s="41"/>
      <c r="V233" s="41"/>
      <c r="W233" s="52"/>
    </row>
    <row r="234" customFormat="false" ht="12.75" hidden="false" customHeight="true" outlineLevel="0" collapsed="false">
      <c r="C234" s="70"/>
      <c r="N234" s="2"/>
      <c r="O234" s="41"/>
      <c r="P234" s="41"/>
      <c r="Q234" s="41"/>
      <c r="R234" s="41"/>
      <c r="S234" s="41"/>
      <c r="T234" s="41"/>
      <c r="U234" s="41"/>
      <c r="V234" s="41"/>
      <c r="W234" s="52"/>
    </row>
    <row r="235" customFormat="false" ht="12.75" hidden="false" customHeight="true" outlineLevel="0" collapsed="false">
      <c r="C235" s="70"/>
      <c r="N235" s="2"/>
      <c r="O235" s="41"/>
      <c r="P235" s="41"/>
      <c r="Q235" s="41"/>
      <c r="R235" s="41"/>
      <c r="S235" s="41"/>
      <c r="T235" s="41"/>
      <c r="U235" s="41"/>
      <c r="V235" s="41"/>
      <c r="W235" s="52"/>
    </row>
    <row r="236" customFormat="false" ht="12.75" hidden="false" customHeight="true" outlineLevel="0" collapsed="false">
      <c r="C236" s="70"/>
      <c r="N236" s="2"/>
      <c r="O236" s="41"/>
      <c r="P236" s="41"/>
      <c r="Q236" s="41"/>
      <c r="R236" s="41"/>
      <c r="S236" s="41"/>
      <c r="T236" s="41"/>
      <c r="U236" s="41"/>
      <c r="V236" s="41"/>
      <c r="W236" s="52"/>
    </row>
    <row r="237" customFormat="false" ht="12.75" hidden="false" customHeight="true" outlineLevel="0" collapsed="false">
      <c r="C237" s="70"/>
      <c r="N237" s="2"/>
      <c r="O237" s="41"/>
      <c r="P237" s="41"/>
      <c r="Q237" s="41"/>
      <c r="R237" s="41"/>
      <c r="S237" s="41"/>
      <c r="T237" s="41"/>
      <c r="U237" s="41"/>
      <c r="V237" s="41"/>
      <c r="W237" s="52"/>
    </row>
    <row r="238" customFormat="false" ht="12.75" hidden="false" customHeight="true" outlineLevel="0" collapsed="false">
      <c r="C238" s="70"/>
      <c r="N238" s="2"/>
      <c r="O238" s="41"/>
      <c r="P238" s="41"/>
      <c r="Q238" s="41"/>
      <c r="R238" s="41"/>
      <c r="S238" s="41"/>
      <c r="T238" s="41"/>
      <c r="U238" s="41"/>
      <c r="V238" s="41"/>
      <c r="W238" s="52"/>
    </row>
    <row r="239" customFormat="false" ht="12.75" hidden="false" customHeight="true" outlineLevel="0" collapsed="false">
      <c r="C239" s="70"/>
      <c r="N239" s="2"/>
      <c r="O239" s="41"/>
      <c r="P239" s="41"/>
      <c r="Q239" s="41"/>
      <c r="R239" s="41"/>
      <c r="S239" s="41"/>
      <c r="T239" s="41"/>
      <c r="U239" s="41"/>
      <c r="V239" s="41"/>
      <c r="W239" s="52"/>
    </row>
    <row r="240" customFormat="false" ht="12.75" hidden="false" customHeight="true" outlineLevel="0" collapsed="false">
      <c r="C240" s="70"/>
      <c r="N240" s="2"/>
      <c r="O240" s="41"/>
      <c r="P240" s="41"/>
      <c r="Q240" s="41"/>
      <c r="R240" s="41"/>
      <c r="S240" s="41"/>
      <c r="T240" s="41"/>
      <c r="U240" s="41"/>
      <c r="V240" s="41"/>
      <c r="W240" s="52"/>
    </row>
    <row r="241" customFormat="false" ht="12.75" hidden="false" customHeight="true" outlineLevel="0" collapsed="false">
      <c r="C241" s="70"/>
      <c r="N241" s="2"/>
      <c r="O241" s="41"/>
      <c r="P241" s="41"/>
      <c r="Q241" s="41"/>
      <c r="R241" s="41"/>
      <c r="S241" s="41"/>
      <c r="T241" s="41"/>
      <c r="U241" s="41"/>
      <c r="V241" s="41"/>
      <c r="W241" s="52"/>
    </row>
    <row r="242" customFormat="false" ht="12.75" hidden="false" customHeight="true" outlineLevel="0" collapsed="false">
      <c r="C242" s="70"/>
      <c r="N242" s="2"/>
      <c r="O242" s="41"/>
      <c r="P242" s="41"/>
      <c r="Q242" s="41"/>
      <c r="R242" s="41"/>
      <c r="S242" s="41"/>
      <c r="T242" s="41"/>
      <c r="U242" s="41"/>
      <c r="V242" s="41"/>
      <c r="W242" s="52"/>
    </row>
    <row r="243" customFormat="false" ht="12.75" hidden="false" customHeight="true" outlineLevel="0" collapsed="false">
      <c r="C243" s="70"/>
      <c r="N243" s="2"/>
      <c r="O243" s="41"/>
      <c r="P243" s="41"/>
      <c r="Q243" s="41"/>
      <c r="R243" s="41"/>
      <c r="S243" s="41"/>
      <c r="T243" s="41"/>
      <c r="U243" s="41"/>
      <c r="V243" s="41"/>
      <c r="W243" s="52"/>
    </row>
    <row r="244" customFormat="false" ht="12.75" hidden="false" customHeight="true" outlineLevel="0" collapsed="false">
      <c r="C244" s="70"/>
      <c r="N244" s="2"/>
      <c r="O244" s="41"/>
      <c r="P244" s="41"/>
      <c r="Q244" s="41"/>
      <c r="R244" s="41"/>
      <c r="S244" s="41"/>
      <c r="T244" s="41"/>
      <c r="U244" s="41"/>
      <c r="V244" s="41"/>
      <c r="W244" s="52"/>
    </row>
    <row r="245" customFormat="false" ht="12.75" hidden="false" customHeight="true" outlineLevel="0" collapsed="false">
      <c r="C245" s="70"/>
      <c r="N245" s="2"/>
      <c r="O245" s="41"/>
      <c r="P245" s="41"/>
      <c r="Q245" s="41"/>
      <c r="R245" s="41"/>
      <c r="S245" s="41"/>
      <c r="T245" s="41"/>
      <c r="U245" s="41"/>
      <c r="V245" s="41"/>
      <c r="W245" s="52"/>
    </row>
    <row r="246" customFormat="false" ht="12.75" hidden="false" customHeight="true" outlineLevel="0" collapsed="false">
      <c r="C246" s="70"/>
      <c r="N246" s="2"/>
      <c r="O246" s="41"/>
      <c r="P246" s="41"/>
      <c r="Q246" s="41"/>
      <c r="R246" s="41"/>
      <c r="S246" s="41"/>
      <c r="T246" s="41"/>
      <c r="U246" s="41"/>
      <c r="V246" s="41"/>
      <c r="W246" s="52"/>
    </row>
    <row r="247" customFormat="false" ht="12.75" hidden="false" customHeight="true" outlineLevel="0" collapsed="false">
      <c r="C247" s="70"/>
      <c r="N247" s="2"/>
      <c r="O247" s="41"/>
      <c r="P247" s="41"/>
      <c r="Q247" s="41"/>
      <c r="R247" s="41"/>
      <c r="S247" s="41"/>
      <c r="T247" s="41"/>
      <c r="U247" s="41"/>
      <c r="V247" s="41"/>
      <c r="W247" s="52"/>
    </row>
    <row r="248" customFormat="false" ht="12.75" hidden="false" customHeight="true" outlineLevel="0" collapsed="false">
      <c r="C248" s="70"/>
      <c r="N248" s="2"/>
      <c r="O248" s="41"/>
      <c r="P248" s="41"/>
      <c r="Q248" s="41"/>
      <c r="R248" s="41"/>
      <c r="S248" s="41"/>
      <c r="T248" s="41"/>
      <c r="U248" s="41"/>
      <c r="V248" s="41"/>
      <c r="W248" s="52"/>
    </row>
    <row r="249" customFormat="false" ht="12.75" hidden="false" customHeight="true" outlineLevel="0" collapsed="false">
      <c r="C249" s="70"/>
      <c r="N249" s="2"/>
      <c r="O249" s="41"/>
      <c r="P249" s="41"/>
      <c r="Q249" s="41"/>
      <c r="R249" s="41"/>
      <c r="S249" s="41"/>
      <c r="T249" s="41"/>
      <c r="U249" s="41"/>
      <c r="V249" s="41"/>
      <c r="W249" s="52"/>
    </row>
    <row r="250" customFormat="false" ht="12.75" hidden="false" customHeight="true" outlineLevel="0" collapsed="false">
      <c r="C250" s="70"/>
      <c r="N250" s="2"/>
      <c r="O250" s="41"/>
      <c r="P250" s="41"/>
      <c r="Q250" s="41"/>
      <c r="R250" s="41"/>
      <c r="S250" s="41"/>
      <c r="T250" s="41"/>
      <c r="U250" s="41"/>
      <c r="V250" s="41"/>
      <c r="W250" s="52"/>
    </row>
    <row r="251" customFormat="false" ht="12.75" hidden="false" customHeight="true" outlineLevel="0" collapsed="false">
      <c r="C251" s="70"/>
      <c r="N251" s="2"/>
      <c r="O251" s="41"/>
      <c r="P251" s="41"/>
      <c r="Q251" s="41"/>
      <c r="R251" s="41"/>
      <c r="S251" s="41"/>
      <c r="T251" s="41"/>
      <c r="U251" s="41"/>
      <c r="V251" s="41"/>
      <c r="W251" s="52"/>
    </row>
    <row r="252" customFormat="false" ht="12.75" hidden="false" customHeight="true" outlineLevel="0" collapsed="false">
      <c r="C252" s="70"/>
      <c r="N252" s="2"/>
      <c r="O252" s="41"/>
      <c r="P252" s="41"/>
      <c r="Q252" s="41"/>
      <c r="R252" s="41"/>
      <c r="S252" s="41"/>
      <c r="T252" s="41"/>
      <c r="U252" s="41"/>
      <c r="V252" s="41"/>
      <c r="W252" s="52"/>
    </row>
    <row r="253" customFormat="false" ht="12.75" hidden="false" customHeight="true" outlineLevel="0" collapsed="false">
      <c r="C253" s="70"/>
      <c r="N253" s="2"/>
      <c r="O253" s="41"/>
      <c r="P253" s="41"/>
      <c r="Q253" s="41"/>
      <c r="R253" s="41"/>
      <c r="S253" s="41"/>
      <c r="T253" s="41"/>
      <c r="U253" s="41"/>
      <c r="V253" s="41"/>
      <c r="W253" s="52"/>
    </row>
    <row r="254" customFormat="false" ht="12.75" hidden="false" customHeight="true" outlineLevel="0" collapsed="false">
      <c r="C254" s="70"/>
      <c r="N254" s="2"/>
      <c r="O254" s="41"/>
      <c r="P254" s="41"/>
      <c r="Q254" s="41"/>
      <c r="R254" s="41"/>
      <c r="S254" s="41"/>
      <c r="T254" s="41"/>
      <c r="U254" s="41"/>
      <c r="V254" s="41"/>
      <c r="W254" s="52"/>
    </row>
    <row r="255" customFormat="false" ht="12.75" hidden="false" customHeight="true" outlineLevel="0" collapsed="false">
      <c r="C255" s="70"/>
      <c r="N255" s="2"/>
      <c r="O255" s="41"/>
      <c r="P255" s="41"/>
      <c r="Q255" s="41"/>
      <c r="R255" s="41"/>
      <c r="S255" s="41"/>
      <c r="T255" s="41"/>
      <c r="U255" s="41"/>
      <c r="V255" s="41"/>
      <c r="W255" s="52"/>
    </row>
    <row r="256" customFormat="false" ht="12.75" hidden="false" customHeight="true" outlineLevel="0" collapsed="false">
      <c r="C256" s="70"/>
      <c r="N256" s="2"/>
      <c r="O256" s="41"/>
      <c r="P256" s="41"/>
      <c r="Q256" s="41"/>
      <c r="R256" s="41"/>
      <c r="S256" s="41"/>
      <c r="T256" s="41"/>
      <c r="U256" s="41"/>
      <c r="V256" s="41"/>
      <c r="W256" s="52"/>
    </row>
    <row r="257" customFormat="false" ht="12.75" hidden="false" customHeight="true" outlineLevel="0" collapsed="false">
      <c r="C257" s="70"/>
      <c r="N257" s="2"/>
      <c r="O257" s="41"/>
      <c r="P257" s="41"/>
      <c r="Q257" s="41"/>
      <c r="R257" s="41"/>
      <c r="S257" s="41"/>
      <c r="T257" s="41"/>
      <c r="U257" s="41"/>
      <c r="V257" s="41"/>
      <c r="W257" s="52"/>
    </row>
    <row r="258" customFormat="false" ht="12.75" hidden="false" customHeight="true" outlineLevel="0" collapsed="false">
      <c r="C258" s="70"/>
      <c r="N258" s="2"/>
      <c r="O258" s="41"/>
      <c r="P258" s="41"/>
      <c r="Q258" s="41"/>
      <c r="R258" s="41"/>
      <c r="S258" s="41"/>
      <c r="T258" s="41"/>
      <c r="U258" s="41"/>
      <c r="V258" s="41"/>
      <c r="W258" s="52"/>
    </row>
    <row r="259" customFormat="false" ht="12.75" hidden="false" customHeight="true" outlineLevel="0" collapsed="false">
      <c r="C259" s="70"/>
      <c r="N259" s="2"/>
      <c r="O259" s="41"/>
      <c r="P259" s="41"/>
      <c r="Q259" s="41"/>
      <c r="R259" s="41"/>
      <c r="S259" s="41"/>
      <c r="T259" s="41"/>
      <c r="U259" s="41"/>
      <c r="V259" s="41"/>
      <c r="W259" s="52"/>
    </row>
    <row r="260" customFormat="false" ht="12.75" hidden="false" customHeight="true" outlineLevel="0" collapsed="false">
      <c r="C260" s="70"/>
      <c r="N260" s="2"/>
      <c r="O260" s="41"/>
      <c r="P260" s="41"/>
      <c r="Q260" s="41"/>
      <c r="R260" s="41"/>
      <c r="S260" s="41"/>
      <c r="T260" s="41"/>
      <c r="U260" s="41"/>
      <c r="V260" s="41"/>
      <c r="W260" s="52"/>
    </row>
    <row r="261" customFormat="false" ht="12.75" hidden="false" customHeight="true" outlineLevel="0" collapsed="false">
      <c r="C261" s="70"/>
      <c r="N261" s="2"/>
      <c r="O261" s="41"/>
      <c r="P261" s="41"/>
      <c r="Q261" s="41"/>
      <c r="R261" s="41"/>
      <c r="S261" s="41"/>
      <c r="T261" s="41"/>
      <c r="U261" s="41"/>
      <c r="V261" s="41"/>
      <c r="W261" s="52"/>
    </row>
    <row r="262" customFormat="false" ht="12.75" hidden="false" customHeight="true" outlineLevel="0" collapsed="false">
      <c r="C262" s="70"/>
      <c r="N262" s="2"/>
      <c r="O262" s="41"/>
      <c r="P262" s="41"/>
      <c r="Q262" s="41"/>
      <c r="R262" s="41"/>
      <c r="S262" s="41"/>
      <c r="T262" s="41"/>
      <c r="U262" s="41"/>
      <c r="V262" s="41"/>
      <c r="W262" s="52"/>
    </row>
    <row r="263" customFormat="false" ht="12.75" hidden="false" customHeight="true" outlineLevel="0" collapsed="false">
      <c r="C263" s="70"/>
      <c r="N263" s="2"/>
      <c r="O263" s="41"/>
      <c r="P263" s="41"/>
      <c r="Q263" s="41"/>
      <c r="R263" s="41"/>
      <c r="S263" s="41"/>
      <c r="T263" s="41"/>
      <c r="U263" s="41"/>
      <c r="V263" s="41"/>
      <c r="W263" s="52"/>
    </row>
    <row r="264" customFormat="false" ht="12.75" hidden="false" customHeight="true" outlineLevel="0" collapsed="false">
      <c r="C264" s="70"/>
      <c r="N264" s="2"/>
      <c r="O264" s="41"/>
      <c r="P264" s="41"/>
      <c r="Q264" s="41"/>
      <c r="R264" s="41"/>
      <c r="S264" s="41"/>
      <c r="T264" s="41"/>
      <c r="U264" s="41"/>
      <c r="V264" s="41"/>
      <c r="W264" s="52"/>
    </row>
    <row r="265" customFormat="false" ht="12.75" hidden="false" customHeight="true" outlineLevel="0" collapsed="false">
      <c r="C265" s="70"/>
      <c r="N265" s="2"/>
      <c r="O265" s="41"/>
      <c r="P265" s="41"/>
      <c r="Q265" s="41"/>
      <c r="R265" s="41"/>
      <c r="S265" s="41"/>
      <c r="T265" s="41"/>
      <c r="U265" s="41"/>
      <c r="V265" s="41"/>
      <c r="W265" s="52"/>
    </row>
    <row r="266" customFormat="false" ht="12.75" hidden="false" customHeight="true" outlineLevel="0" collapsed="false">
      <c r="C266" s="70"/>
      <c r="N266" s="2"/>
      <c r="O266" s="41"/>
      <c r="P266" s="41"/>
      <c r="Q266" s="41"/>
      <c r="R266" s="41"/>
      <c r="S266" s="41"/>
      <c r="T266" s="41"/>
      <c r="U266" s="41"/>
      <c r="V266" s="41"/>
      <c r="W266" s="52"/>
    </row>
    <row r="267" customFormat="false" ht="12.75" hidden="false" customHeight="true" outlineLevel="0" collapsed="false">
      <c r="C267" s="70"/>
      <c r="N267" s="2"/>
      <c r="O267" s="41"/>
      <c r="P267" s="41"/>
      <c r="Q267" s="41"/>
      <c r="R267" s="41"/>
      <c r="S267" s="41"/>
      <c r="T267" s="41"/>
      <c r="U267" s="41"/>
      <c r="V267" s="41"/>
      <c r="W267" s="52"/>
    </row>
    <row r="268" customFormat="false" ht="12.75" hidden="false" customHeight="true" outlineLevel="0" collapsed="false">
      <c r="C268" s="70"/>
      <c r="N268" s="2"/>
      <c r="O268" s="41"/>
      <c r="P268" s="41"/>
      <c r="Q268" s="41"/>
      <c r="R268" s="41"/>
      <c r="S268" s="41"/>
      <c r="T268" s="41"/>
      <c r="U268" s="41"/>
      <c r="V268" s="41"/>
      <c r="W268" s="52"/>
    </row>
    <row r="269" customFormat="false" ht="12.75" hidden="false" customHeight="true" outlineLevel="0" collapsed="false">
      <c r="C269" s="70"/>
      <c r="N269" s="2"/>
      <c r="O269" s="41"/>
      <c r="P269" s="41"/>
      <c r="Q269" s="41"/>
      <c r="R269" s="41"/>
      <c r="S269" s="41"/>
      <c r="T269" s="41"/>
      <c r="U269" s="41"/>
      <c r="V269" s="41"/>
      <c r="W269" s="52"/>
    </row>
    <row r="270" customFormat="false" ht="12.75" hidden="false" customHeight="true" outlineLevel="0" collapsed="false">
      <c r="C270" s="70"/>
      <c r="N270" s="2"/>
      <c r="O270" s="41"/>
      <c r="P270" s="41"/>
      <c r="Q270" s="41"/>
      <c r="R270" s="41"/>
      <c r="S270" s="41"/>
      <c r="T270" s="41"/>
      <c r="U270" s="41"/>
      <c r="V270" s="41"/>
      <c r="W270" s="52"/>
    </row>
    <row r="271" customFormat="false" ht="12.75" hidden="false" customHeight="true" outlineLevel="0" collapsed="false">
      <c r="C271" s="70"/>
      <c r="N271" s="2"/>
      <c r="O271" s="41"/>
      <c r="P271" s="41"/>
      <c r="Q271" s="41"/>
      <c r="R271" s="41"/>
      <c r="S271" s="41"/>
      <c r="T271" s="41"/>
      <c r="U271" s="41"/>
      <c r="V271" s="41"/>
      <c r="W271" s="52"/>
    </row>
    <row r="272" customFormat="false" ht="12.75" hidden="false" customHeight="true" outlineLevel="0" collapsed="false">
      <c r="C272" s="70"/>
      <c r="N272" s="2"/>
      <c r="O272" s="41"/>
      <c r="P272" s="41"/>
      <c r="Q272" s="41"/>
      <c r="R272" s="41"/>
      <c r="S272" s="41"/>
      <c r="T272" s="41"/>
      <c r="U272" s="41"/>
      <c r="V272" s="41"/>
      <c r="W272" s="52"/>
    </row>
    <row r="273" customFormat="false" ht="12.75" hidden="false" customHeight="true" outlineLevel="0" collapsed="false">
      <c r="C273" s="70"/>
      <c r="N273" s="2"/>
      <c r="O273" s="41"/>
      <c r="P273" s="41"/>
      <c r="Q273" s="41"/>
      <c r="R273" s="41"/>
      <c r="S273" s="41"/>
      <c r="T273" s="41"/>
      <c r="U273" s="41"/>
      <c r="V273" s="41"/>
      <c r="W273" s="52"/>
    </row>
    <row r="274" customFormat="false" ht="12.75" hidden="false" customHeight="true" outlineLevel="0" collapsed="false">
      <c r="C274" s="70"/>
      <c r="N274" s="2"/>
      <c r="O274" s="41"/>
      <c r="P274" s="41"/>
      <c r="Q274" s="41"/>
      <c r="R274" s="41"/>
      <c r="S274" s="41"/>
      <c r="T274" s="41"/>
      <c r="U274" s="41"/>
      <c r="V274" s="41"/>
      <c r="W274" s="52"/>
    </row>
    <row r="275" customFormat="false" ht="12.75" hidden="false" customHeight="true" outlineLevel="0" collapsed="false">
      <c r="C275" s="70"/>
      <c r="N275" s="2"/>
      <c r="O275" s="41"/>
      <c r="P275" s="41"/>
      <c r="Q275" s="41"/>
      <c r="R275" s="41"/>
      <c r="S275" s="41"/>
      <c r="T275" s="41"/>
      <c r="U275" s="41"/>
      <c r="V275" s="41"/>
      <c r="W275" s="52"/>
    </row>
    <row r="276" customFormat="false" ht="12.75" hidden="false" customHeight="true" outlineLevel="0" collapsed="false">
      <c r="C276" s="70"/>
      <c r="N276" s="2"/>
      <c r="O276" s="41"/>
      <c r="P276" s="41"/>
      <c r="Q276" s="41"/>
      <c r="R276" s="41"/>
      <c r="S276" s="41"/>
      <c r="T276" s="41"/>
      <c r="U276" s="41"/>
      <c r="V276" s="41"/>
      <c r="W276" s="52"/>
    </row>
    <row r="277" customFormat="false" ht="12.75" hidden="false" customHeight="true" outlineLevel="0" collapsed="false">
      <c r="C277" s="70"/>
      <c r="N277" s="2"/>
      <c r="O277" s="41"/>
      <c r="P277" s="41"/>
      <c r="Q277" s="41"/>
      <c r="R277" s="41"/>
      <c r="S277" s="41"/>
      <c r="T277" s="41"/>
      <c r="U277" s="41"/>
      <c r="V277" s="41"/>
      <c r="W277" s="52"/>
    </row>
    <row r="278" customFormat="false" ht="12.75" hidden="false" customHeight="true" outlineLevel="0" collapsed="false">
      <c r="C278" s="70"/>
      <c r="N278" s="2"/>
      <c r="O278" s="41"/>
      <c r="P278" s="41"/>
      <c r="Q278" s="41"/>
      <c r="R278" s="41"/>
      <c r="S278" s="41"/>
      <c r="T278" s="41"/>
      <c r="U278" s="41"/>
      <c r="V278" s="41"/>
      <c r="W278" s="52"/>
    </row>
    <row r="279" customFormat="false" ht="12.75" hidden="false" customHeight="true" outlineLevel="0" collapsed="false">
      <c r="C279" s="70"/>
      <c r="N279" s="2"/>
      <c r="O279" s="41"/>
      <c r="P279" s="41"/>
      <c r="Q279" s="41"/>
      <c r="R279" s="41"/>
      <c r="S279" s="41"/>
      <c r="T279" s="41"/>
      <c r="U279" s="41"/>
      <c r="V279" s="41"/>
      <c r="W279" s="52"/>
    </row>
    <row r="280" customFormat="false" ht="12.75" hidden="false" customHeight="true" outlineLevel="0" collapsed="false">
      <c r="C280" s="70"/>
      <c r="N280" s="2"/>
      <c r="O280" s="41"/>
      <c r="P280" s="41"/>
      <c r="Q280" s="41"/>
      <c r="R280" s="41"/>
      <c r="S280" s="41"/>
      <c r="T280" s="41"/>
      <c r="U280" s="41"/>
      <c r="V280" s="41"/>
      <c r="W280" s="52"/>
    </row>
    <row r="281" customFormat="false" ht="12.75" hidden="false" customHeight="true" outlineLevel="0" collapsed="false">
      <c r="C281" s="70"/>
      <c r="N281" s="2"/>
      <c r="O281" s="41"/>
      <c r="P281" s="41"/>
      <c r="Q281" s="41"/>
      <c r="R281" s="41"/>
      <c r="S281" s="41"/>
      <c r="T281" s="41"/>
      <c r="U281" s="41"/>
      <c r="V281" s="41"/>
      <c r="W281" s="52"/>
    </row>
    <row r="282" customFormat="false" ht="12.75" hidden="false" customHeight="true" outlineLevel="0" collapsed="false">
      <c r="C282" s="70"/>
      <c r="N282" s="2"/>
      <c r="O282" s="41"/>
      <c r="P282" s="41"/>
      <c r="Q282" s="41"/>
      <c r="R282" s="41"/>
      <c r="S282" s="41"/>
      <c r="T282" s="41"/>
      <c r="U282" s="41"/>
      <c r="V282" s="41"/>
      <c r="W282" s="52"/>
    </row>
    <row r="283" customFormat="false" ht="12.75" hidden="false" customHeight="true" outlineLevel="0" collapsed="false">
      <c r="C283" s="70"/>
      <c r="N283" s="2"/>
      <c r="O283" s="41"/>
      <c r="P283" s="41"/>
      <c r="Q283" s="41"/>
      <c r="R283" s="41"/>
      <c r="S283" s="41"/>
      <c r="T283" s="41"/>
      <c r="U283" s="41"/>
      <c r="V283" s="41"/>
      <c r="W283" s="52"/>
    </row>
    <row r="284" customFormat="false" ht="12.75" hidden="false" customHeight="true" outlineLevel="0" collapsed="false">
      <c r="C284" s="70"/>
      <c r="N284" s="2"/>
      <c r="O284" s="41"/>
      <c r="P284" s="41"/>
      <c r="Q284" s="41"/>
      <c r="R284" s="41"/>
      <c r="S284" s="41"/>
      <c r="T284" s="41"/>
      <c r="U284" s="41"/>
      <c r="V284" s="41"/>
      <c r="W284" s="52"/>
    </row>
    <row r="285" customFormat="false" ht="12.75" hidden="false" customHeight="true" outlineLevel="0" collapsed="false">
      <c r="C285" s="70"/>
      <c r="N285" s="2"/>
      <c r="O285" s="41"/>
      <c r="P285" s="41"/>
      <c r="Q285" s="41"/>
      <c r="R285" s="41"/>
      <c r="S285" s="41"/>
      <c r="T285" s="41"/>
      <c r="U285" s="41"/>
      <c r="V285" s="41"/>
      <c r="W285" s="52"/>
    </row>
    <row r="286" customFormat="false" ht="12.75" hidden="false" customHeight="true" outlineLevel="0" collapsed="false">
      <c r="C286" s="70"/>
      <c r="N286" s="2"/>
      <c r="O286" s="41"/>
      <c r="P286" s="41"/>
      <c r="Q286" s="41"/>
      <c r="R286" s="41"/>
      <c r="S286" s="41"/>
      <c r="T286" s="41"/>
      <c r="U286" s="41"/>
      <c r="V286" s="41"/>
      <c r="W286" s="52"/>
    </row>
    <row r="287" customFormat="false" ht="12.75" hidden="false" customHeight="true" outlineLevel="0" collapsed="false">
      <c r="C287" s="70"/>
      <c r="N287" s="2"/>
      <c r="O287" s="41"/>
      <c r="P287" s="41"/>
      <c r="Q287" s="41"/>
      <c r="R287" s="41"/>
      <c r="S287" s="41"/>
      <c r="T287" s="41"/>
      <c r="U287" s="41"/>
      <c r="V287" s="41"/>
      <c r="W287" s="52"/>
    </row>
    <row r="288" customFormat="false" ht="12.75" hidden="false" customHeight="true" outlineLevel="0" collapsed="false">
      <c r="C288" s="70"/>
      <c r="N288" s="2"/>
      <c r="O288" s="41"/>
      <c r="P288" s="41"/>
      <c r="Q288" s="41"/>
      <c r="R288" s="41"/>
      <c r="S288" s="41"/>
      <c r="T288" s="41"/>
      <c r="U288" s="41"/>
      <c r="V288" s="41"/>
      <c r="W288" s="52"/>
    </row>
    <row r="289" customFormat="false" ht="12.75" hidden="false" customHeight="true" outlineLevel="0" collapsed="false">
      <c r="C289" s="70"/>
      <c r="N289" s="2"/>
      <c r="O289" s="41"/>
      <c r="P289" s="41"/>
      <c r="Q289" s="41"/>
      <c r="R289" s="41"/>
      <c r="S289" s="41"/>
      <c r="T289" s="41"/>
      <c r="U289" s="41"/>
      <c r="V289" s="41"/>
      <c r="W289" s="52"/>
    </row>
    <row r="290" customFormat="false" ht="12.75" hidden="false" customHeight="true" outlineLevel="0" collapsed="false">
      <c r="C290" s="70"/>
      <c r="N290" s="2"/>
      <c r="O290" s="41"/>
      <c r="P290" s="41"/>
      <c r="Q290" s="41"/>
      <c r="R290" s="41"/>
      <c r="S290" s="41"/>
      <c r="T290" s="41"/>
      <c r="U290" s="41"/>
      <c r="V290" s="41"/>
      <c r="W290" s="52"/>
    </row>
    <row r="291" customFormat="false" ht="12.75" hidden="false" customHeight="true" outlineLevel="0" collapsed="false">
      <c r="C291" s="70"/>
      <c r="N291" s="2"/>
      <c r="O291" s="41"/>
      <c r="P291" s="41"/>
      <c r="Q291" s="41"/>
      <c r="R291" s="41"/>
      <c r="S291" s="41"/>
      <c r="T291" s="41"/>
      <c r="U291" s="41"/>
      <c r="V291" s="41"/>
      <c r="W291" s="52"/>
    </row>
    <row r="292" customFormat="false" ht="12.75" hidden="false" customHeight="true" outlineLevel="0" collapsed="false">
      <c r="C292" s="70"/>
      <c r="N292" s="2"/>
      <c r="O292" s="41"/>
      <c r="P292" s="41"/>
      <c r="Q292" s="41"/>
      <c r="R292" s="41"/>
      <c r="S292" s="41"/>
      <c r="T292" s="41"/>
      <c r="U292" s="41"/>
      <c r="V292" s="41"/>
      <c r="W292" s="52"/>
    </row>
    <row r="293" customFormat="false" ht="12.75" hidden="false" customHeight="true" outlineLevel="0" collapsed="false">
      <c r="C293" s="70"/>
      <c r="N293" s="2"/>
      <c r="O293" s="41"/>
      <c r="P293" s="41"/>
      <c r="Q293" s="41"/>
      <c r="R293" s="41"/>
      <c r="S293" s="41"/>
      <c r="T293" s="41"/>
      <c r="U293" s="41"/>
      <c r="V293" s="41"/>
      <c r="W293" s="52"/>
    </row>
    <row r="294" customFormat="false" ht="12.75" hidden="false" customHeight="true" outlineLevel="0" collapsed="false">
      <c r="C294" s="70"/>
      <c r="N294" s="2"/>
      <c r="O294" s="41"/>
      <c r="P294" s="41"/>
      <c r="Q294" s="41"/>
      <c r="R294" s="41"/>
      <c r="S294" s="41"/>
      <c r="T294" s="41"/>
      <c r="U294" s="41"/>
      <c r="V294" s="41"/>
      <c r="W294" s="52"/>
    </row>
    <row r="295" customFormat="false" ht="12.75" hidden="false" customHeight="true" outlineLevel="0" collapsed="false">
      <c r="C295" s="70"/>
      <c r="N295" s="2"/>
      <c r="O295" s="41"/>
      <c r="P295" s="41"/>
      <c r="Q295" s="41"/>
      <c r="R295" s="41"/>
      <c r="S295" s="41"/>
      <c r="T295" s="41"/>
      <c r="U295" s="41"/>
      <c r="V295" s="41"/>
      <c r="W295" s="52"/>
    </row>
    <row r="296" customFormat="false" ht="12.75" hidden="false" customHeight="true" outlineLevel="0" collapsed="false">
      <c r="C296" s="70"/>
      <c r="N296" s="2"/>
      <c r="O296" s="41"/>
      <c r="P296" s="41"/>
      <c r="Q296" s="41"/>
      <c r="R296" s="41"/>
      <c r="S296" s="41"/>
      <c r="T296" s="41"/>
      <c r="U296" s="41"/>
      <c r="V296" s="41"/>
      <c r="W296" s="52"/>
    </row>
    <row r="297" customFormat="false" ht="12.75" hidden="false" customHeight="true" outlineLevel="0" collapsed="false">
      <c r="C297" s="70"/>
      <c r="N297" s="2"/>
      <c r="O297" s="41"/>
      <c r="P297" s="41"/>
      <c r="Q297" s="41"/>
      <c r="R297" s="41"/>
      <c r="S297" s="41"/>
      <c r="T297" s="41"/>
      <c r="U297" s="41"/>
      <c r="V297" s="41"/>
      <c r="W297" s="52"/>
    </row>
    <row r="298" customFormat="false" ht="12.75" hidden="false" customHeight="true" outlineLevel="0" collapsed="false">
      <c r="C298" s="70"/>
      <c r="N298" s="2"/>
      <c r="O298" s="41"/>
      <c r="P298" s="41"/>
      <c r="Q298" s="41"/>
      <c r="R298" s="41"/>
      <c r="S298" s="41"/>
      <c r="T298" s="41"/>
      <c r="U298" s="41"/>
      <c r="V298" s="41"/>
      <c r="W298" s="52"/>
    </row>
    <row r="299" customFormat="false" ht="12.75" hidden="false" customHeight="true" outlineLevel="0" collapsed="false">
      <c r="C299" s="70"/>
      <c r="N299" s="2"/>
      <c r="O299" s="41"/>
      <c r="P299" s="41"/>
      <c r="Q299" s="41"/>
      <c r="R299" s="41"/>
      <c r="S299" s="41"/>
      <c r="T299" s="41"/>
      <c r="U299" s="41"/>
      <c r="V299" s="41"/>
      <c r="W299" s="52"/>
    </row>
    <row r="300" customFormat="false" ht="12.75" hidden="false" customHeight="true" outlineLevel="0" collapsed="false">
      <c r="C300" s="70"/>
      <c r="N300" s="2"/>
      <c r="O300" s="41"/>
      <c r="P300" s="41"/>
      <c r="Q300" s="41"/>
      <c r="R300" s="41"/>
      <c r="S300" s="41"/>
      <c r="T300" s="41"/>
      <c r="U300" s="41"/>
      <c r="V300" s="41"/>
      <c r="W300" s="52"/>
    </row>
    <row r="301" customFormat="false" ht="12.75" hidden="false" customHeight="true" outlineLevel="0" collapsed="false">
      <c r="C301" s="70"/>
      <c r="N301" s="2"/>
      <c r="O301" s="41"/>
      <c r="P301" s="41"/>
      <c r="Q301" s="41"/>
      <c r="R301" s="41"/>
      <c r="S301" s="41"/>
      <c r="T301" s="41"/>
      <c r="U301" s="41"/>
      <c r="V301" s="41"/>
      <c r="W301" s="52"/>
    </row>
    <row r="302" customFormat="false" ht="12.75" hidden="false" customHeight="true" outlineLevel="0" collapsed="false">
      <c r="C302" s="70"/>
      <c r="N302" s="2"/>
      <c r="O302" s="41"/>
      <c r="P302" s="41"/>
      <c r="Q302" s="41"/>
      <c r="R302" s="41"/>
      <c r="S302" s="41"/>
      <c r="T302" s="41"/>
      <c r="U302" s="41"/>
      <c r="V302" s="41"/>
      <c r="W302" s="52"/>
    </row>
    <row r="303" customFormat="false" ht="12.75" hidden="false" customHeight="true" outlineLevel="0" collapsed="false">
      <c r="C303" s="70"/>
      <c r="N303" s="2"/>
      <c r="O303" s="41"/>
      <c r="P303" s="41"/>
      <c r="Q303" s="41"/>
      <c r="R303" s="41"/>
      <c r="S303" s="41"/>
      <c r="T303" s="41"/>
      <c r="U303" s="41"/>
      <c r="V303" s="41"/>
      <c r="W303" s="52"/>
    </row>
    <row r="304" customFormat="false" ht="12.75" hidden="false" customHeight="true" outlineLevel="0" collapsed="false">
      <c r="C304" s="70"/>
      <c r="N304" s="2"/>
      <c r="O304" s="41"/>
      <c r="P304" s="41"/>
      <c r="Q304" s="41"/>
      <c r="R304" s="41"/>
      <c r="S304" s="41"/>
      <c r="T304" s="41"/>
      <c r="U304" s="41"/>
      <c r="V304" s="41"/>
      <c r="W304" s="52"/>
    </row>
    <row r="305" customFormat="false" ht="12.75" hidden="false" customHeight="true" outlineLevel="0" collapsed="false">
      <c r="C305" s="70"/>
      <c r="N305" s="2"/>
      <c r="O305" s="41"/>
      <c r="P305" s="41"/>
      <c r="Q305" s="41"/>
      <c r="R305" s="41"/>
      <c r="S305" s="41"/>
      <c r="T305" s="41"/>
      <c r="U305" s="41"/>
      <c r="V305" s="41"/>
      <c r="W305" s="52"/>
    </row>
    <row r="306" customFormat="false" ht="12.75" hidden="false" customHeight="true" outlineLevel="0" collapsed="false">
      <c r="C306" s="70"/>
      <c r="N306" s="2"/>
      <c r="O306" s="41"/>
      <c r="P306" s="41"/>
      <c r="Q306" s="41"/>
      <c r="R306" s="41"/>
      <c r="S306" s="41"/>
      <c r="T306" s="41"/>
      <c r="U306" s="41"/>
      <c r="V306" s="41"/>
      <c r="W306" s="52"/>
    </row>
    <row r="307" customFormat="false" ht="12.75" hidden="false" customHeight="true" outlineLevel="0" collapsed="false">
      <c r="C307" s="70"/>
      <c r="N307" s="2"/>
      <c r="O307" s="41"/>
      <c r="P307" s="41"/>
      <c r="Q307" s="41"/>
      <c r="R307" s="41"/>
      <c r="S307" s="41"/>
      <c r="T307" s="41"/>
      <c r="U307" s="41"/>
      <c r="V307" s="41"/>
      <c r="W307" s="52"/>
    </row>
    <row r="308" customFormat="false" ht="12.75" hidden="false" customHeight="true" outlineLevel="0" collapsed="false">
      <c r="C308" s="70"/>
      <c r="N308" s="2"/>
      <c r="O308" s="41"/>
      <c r="P308" s="41"/>
      <c r="Q308" s="41"/>
      <c r="R308" s="41"/>
      <c r="S308" s="41"/>
      <c r="T308" s="41"/>
      <c r="U308" s="41"/>
      <c r="V308" s="41"/>
      <c r="W308" s="52"/>
    </row>
    <row r="309" customFormat="false" ht="12.75" hidden="false" customHeight="true" outlineLevel="0" collapsed="false">
      <c r="C309" s="70"/>
      <c r="N309" s="2"/>
      <c r="O309" s="41"/>
      <c r="P309" s="41"/>
      <c r="Q309" s="41"/>
      <c r="R309" s="41"/>
      <c r="S309" s="41"/>
      <c r="T309" s="41"/>
      <c r="U309" s="41"/>
      <c r="V309" s="41"/>
      <c r="W309" s="52"/>
    </row>
    <row r="310" customFormat="false" ht="12.75" hidden="false" customHeight="true" outlineLevel="0" collapsed="false">
      <c r="C310" s="70"/>
      <c r="N310" s="2"/>
      <c r="O310" s="41"/>
      <c r="P310" s="41"/>
      <c r="Q310" s="41"/>
      <c r="R310" s="41"/>
      <c r="S310" s="41"/>
      <c r="T310" s="41"/>
      <c r="U310" s="41"/>
      <c r="V310" s="41"/>
      <c r="W310" s="52"/>
    </row>
    <row r="311" customFormat="false" ht="12.75" hidden="false" customHeight="true" outlineLevel="0" collapsed="false">
      <c r="C311" s="70"/>
      <c r="N311" s="2"/>
      <c r="O311" s="41"/>
      <c r="P311" s="41"/>
      <c r="Q311" s="41"/>
      <c r="R311" s="41"/>
      <c r="S311" s="41"/>
      <c r="T311" s="41"/>
      <c r="U311" s="41"/>
      <c r="V311" s="41"/>
      <c r="W311" s="52"/>
    </row>
    <row r="312" customFormat="false" ht="12.75" hidden="false" customHeight="true" outlineLevel="0" collapsed="false">
      <c r="C312" s="70"/>
      <c r="N312" s="2"/>
      <c r="O312" s="41"/>
      <c r="P312" s="41"/>
      <c r="Q312" s="41"/>
      <c r="R312" s="41"/>
      <c r="S312" s="41"/>
      <c r="T312" s="41"/>
      <c r="U312" s="41"/>
      <c r="V312" s="41"/>
      <c r="W312" s="52"/>
    </row>
    <row r="313" customFormat="false" ht="12.75" hidden="false" customHeight="true" outlineLevel="0" collapsed="false">
      <c r="C313" s="70"/>
      <c r="N313" s="2"/>
      <c r="O313" s="41"/>
      <c r="P313" s="41"/>
      <c r="Q313" s="41"/>
      <c r="R313" s="41"/>
      <c r="S313" s="41"/>
      <c r="T313" s="41"/>
      <c r="U313" s="41"/>
      <c r="V313" s="41"/>
      <c r="W313" s="52"/>
    </row>
    <row r="314" customFormat="false" ht="12.75" hidden="false" customHeight="true" outlineLevel="0" collapsed="false">
      <c r="C314" s="70"/>
      <c r="N314" s="2"/>
      <c r="O314" s="41"/>
      <c r="P314" s="41"/>
      <c r="Q314" s="41"/>
      <c r="R314" s="41"/>
      <c r="S314" s="41"/>
      <c r="T314" s="41"/>
      <c r="U314" s="41"/>
      <c r="V314" s="41"/>
      <c r="W314" s="52"/>
    </row>
    <row r="315" customFormat="false" ht="12.75" hidden="false" customHeight="true" outlineLevel="0" collapsed="false">
      <c r="C315" s="70"/>
      <c r="N315" s="2"/>
      <c r="O315" s="41"/>
      <c r="P315" s="41"/>
      <c r="Q315" s="41"/>
      <c r="R315" s="41"/>
      <c r="S315" s="41"/>
      <c r="T315" s="41"/>
      <c r="U315" s="41"/>
      <c r="V315" s="41"/>
      <c r="W315" s="52"/>
    </row>
    <row r="316" customFormat="false" ht="12.75" hidden="false" customHeight="true" outlineLevel="0" collapsed="false">
      <c r="C316" s="70"/>
      <c r="N316" s="2"/>
      <c r="O316" s="41"/>
      <c r="P316" s="41"/>
      <c r="Q316" s="41"/>
      <c r="R316" s="41"/>
      <c r="S316" s="41"/>
      <c r="T316" s="41"/>
      <c r="U316" s="41"/>
      <c r="V316" s="41"/>
      <c r="W316" s="52"/>
    </row>
    <row r="317" customFormat="false" ht="12.75" hidden="false" customHeight="true" outlineLevel="0" collapsed="false">
      <c r="C317" s="70"/>
      <c r="N317" s="2"/>
      <c r="O317" s="41"/>
      <c r="P317" s="41"/>
      <c r="Q317" s="41"/>
      <c r="R317" s="41"/>
      <c r="S317" s="41"/>
      <c r="T317" s="41"/>
      <c r="U317" s="41"/>
      <c r="V317" s="41"/>
      <c r="W317" s="52"/>
    </row>
    <row r="318" customFormat="false" ht="12.75" hidden="false" customHeight="true" outlineLevel="0" collapsed="false">
      <c r="C318" s="70"/>
      <c r="N318" s="2"/>
      <c r="O318" s="41"/>
      <c r="P318" s="41"/>
      <c r="Q318" s="41"/>
      <c r="R318" s="41"/>
      <c r="S318" s="41"/>
      <c r="T318" s="41"/>
      <c r="U318" s="41"/>
      <c r="V318" s="41"/>
      <c r="W318" s="52"/>
    </row>
    <row r="319" customFormat="false" ht="12.75" hidden="false" customHeight="true" outlineLevel="0" collapsed="false">
      <c r="C319" s="70"/>
      <c r="N319" s="2"/>
      <c r="O319" s="41"/>
      <c r="P319" s="41"/>
      <c r="Q319" s="41"/>
      <c r="R319" s="41"/>
      <c r="S319" s="41"/>
      <c r="T319" s="41"/>
      <c r="U319" s="41"/>
      <c r="V319" s="41"/>
      <c r="W319" s="52"/>
    </row>
    <row r="320" customFormat="false" ht="12.75" hidden="false" customHeight="true" outlineLevel="0" collapsed="false">
      <c r="C320" s="70"/>
      <c r="N320" s="2"/>
      <c r="O320" s="41"/>
      <c r="P320" s="41"/>
      <c r="Q320" s="41"/>
      <c r="R320" s="41"/>
      <c r="S320" s="41"/>
      <c r="T320" s="41"/>
      <c r="U320" s="41"/>
      <c r="V320" s="41"/>
      <c r="W320" s="52"/>
    </row>
    <row r="321" customFormat="false" ht="12.75" hidden="false" customHeight="true" outlineLevel="0" collapsed="false">
      <c r="C321" s="70"/>
      <c r="N321" s="2"/>
      <c r="O321" s="41"/>
      <c r="P321" s="41"/>
      <c r="Q321" s="41"/>
      <c r="R321" s="41"/>
      <c r="S321" s="41"/>
      <c r="T321" s="41"/>
      <c r="U321" s="41"/>
      <c r="V321" s="41"/>
      <c r="W321" s="52"/>
    </row>
    <row r="322" customFormat="false" ht="12.75" hidden="false" customHeight="true" outlineLevel="0" collapsed="false">
      <c r="C322" s="70"/>
      <c r="N322" s="2"/>
      <c r="O322" s="41"/>
      <c r="P322" s="41"/>
      <c r="Q322" s="41"/>
      <c r="R322" s="41"/>
      <c r="S322" s="41"/>
      <c r="T322" s="41"/>
      <c r="U322" s="41"/>
      <c r="V322" s="41"/>
      <c r="W322" s="52"/>
    </row>
    <row r="323" customFormat="false" ht="12.75" hidden="false" customHeight="true" outlineLevel="0" collapsed="false">
      <c r="C323" s="70"/>
      <c r="N323" s="2"/>
      <c r="O323" s="41"/>
      <c r="P323" s="41"/>
      <c r="Q323" s="41"/>
      <c r="R323" s="41"/>
      <c r="S323" s="41"/>
      <c r="T323" s="41"/>
      <c r="U323" s="41"/>
      <c r="V323" s="41"/>
      <c r="W323" s="52"/>
    </row>
    <row r="324" customFormat="false" ht="12.75" hidden="false" customHeight="true" outlineLevel="0" collapsed="false">
      <c r="C324" s="70"/>
      <c r="N324" s="2"/>
      <c r="O324" s="41"/>
      <c r="P324" s="41"/>
      <c r="Q324" s="41"/>
      <c r="R324" s="41"/>
      <c r="S324" s="41"/>
      <c r="T324" s="41"/>
      <c r="U324" s="41"/>
      <c r="V324" s="41"/>
      <c r="W324" s="52"/>
    </row>
    <row r="325" customFormat="false" ht="12.75" hidden="false" customHeight="true" outlineLevel="0" collapsed="false">
      <c r="C325" s="70"/>
      <c r="N325" s="2"/>
      <c r="O325" s="41"/>
      <c r="P325" s="41"/>
      <c r="Q325" s="41"/>
      <c r="R325" s="41"/>
      <c r="S325" s="41"/>
      <c r="T325" s="41"/>
      <c r="U325" s="41"/>
      <c r="V325" s="41"/>
      <c r="W325" s="52"/>
    </row>
    <row r="326" customFormat="false" ht="12.75" hidden="false" customHeight="true" outlineLevel="0" collapsed="false">
      <c r="C326" s="70"/>
      <c r="N326" s="2"/>
      <c r="O326" s="41"/>
      <c r="P326" s="41"/>
      <c r="Q326" s="41"/>
      <c r="R326" s="41"/>
      <c r="S326" s="41"/>
      <c r="T326" s="41"/>
      <c r="U326" s="41"/>
      <c r="V326" s="41"/>
      <c r="W326" s="52"/>
    </row>
    <row r="327" customFormat="false" ht="12.75" hidden="false" customHeight="true" outlineLevel="0" collapsed="false">
      <c r="C327" s="70"/>
      <c r="N327" s="2"/>
      <c r="O327" s="41"/>
      <c r="P327" s="41"/>
      <c r="Q327" s="41"/>
      <c r="R327" s="41"/>
      <c r="S327" s="41"/>
      <c r="T327" s="41"/>
      <c r="U327" s="41"/>
      <c r="V327" s="41"/>
      <c r="W327" s="52"/>
    </row>
    <row r="328" customFormat="false" ht="12.75" hidden="false" customHeight="true" outlineLevel="0" collapsed="false">
      <c r="C328" s="70"/>
      <c r="N328" s="2"/>
      <c r="O328" s="41"/>
      <c r="P328" s="41"/>
      <c r="Q328" s="41"/>
      <c r="R328" s="41"/>
      <c r="S328" s="41"/>
      <c r="T328" s="41"/>
      <c r="U328" s="41"/>
      <c r="V328" s="41"/>
      <c r="W328" s="52"/>
    </row>
    <row r="329" customFormat="false" ht="12.75" hidden="false" customHeight="true" outlineLevel="0" collapsed="false">
      <c r="C329" s="70"/>
      <c r="N329" s="2"/>
      <c r="O329" s="41"/>
      <c r="P329" s="41"/>
      <c r="Q329" s="41"/>
      <c r="R329" s="41"/>
      <c r="S329" s="41"/>
      <c r="T329" s="41"/>
      <c r="U329" s="41"/>
      <c r="V329" s="41"/>
      <c r="W329" s="52"/>
    </row>
    <row r="330" customFormat="false" ht="12.75" hidden="false" customHeight="true" outlineLevel="0" collapsed="false">
      <c r="C330" s="70"/>
      <c r="N330" s="2"/>
      <c r="O330" s="41"/>
      <c r="P330" s="41"/>
      <c r="Q330" s="41"/>
      <c r="R330" s="41"/>
      <c r="S330" s="41"/>
      <c r="T330" s="41"/>
      <c r="U330" s="41"/>
      <c r="V330" s="41"/>
      <c r="W330" s="52"/>
    </row>
    <row r="331" customFormat="false" ht="12.75" hidden="false" customHeight="true" outlineLevel="0" collapsed="false">
      <c r="C331" s="70"/>
      <c r="N331" s="2"/>
      <c r="O331" s="41"/>
      <c r="P331" s="41"/>
      <c r="Q331" s="41"/>
      <c r="R331" s="41"/>
      <c r="S331" s="41"/>
      <c r="T331" s="41"/>
      <c r="U331" s="41"/>
      <c r="V331" s="41"/>
      <c r="W331" s="52"/>
    </row>
    <row r="332" customFormat="false" ht="12.75" hidden="false" customHeight="true" outlineLevel="0" collapsed="false">
      <c r="C332" s="70"/>
      <c r="N332" s="2"/>
      <c r="O332" s="41"/>
      <c r="P332" s="41"/>
      <c r="Q332" s="41"/>
      <c r="R332" s="41"/>
      <c r="S332" s="41"/>
      <c r="T332" s="41"/>
      <c r="U332" s="41"/>
      <c r="V332" s="41"/>
      <c r="W332" s="52"/>
    </row>
    <row r="333" customFormat="false" ht="12.75" hidden="false" customHeight="true" outlineLevel="0" collapsed="false">
      <c r="C333" s="70"/>
      <c r="N333" s="2"/>
      <c r="O333" s="41"/>
      <c r="P333" s="41"/>
      <c r="Q333" s="41"/>
      <c r="R333" s="41"/>
      <c r="S333" s="41"/>
      <c r="T333" s="41"/>
      <c r="U333" s="41"/>
      <c r="V333" s="41"/>
      <c r="W333" s="52"/>
    </row>
    <row r="334" customFormat="false" ht="12.75" hidden="false" customHeight="true" outlineLevel="0" collapsed="false">
      <c r="C334" s="70"/>
      <c r="N334" s="2"/>
      <c r="O334" s="41"/>
      <c r="P334" s="41"/>
      <c r="Q334" s="41"/>
      <c r="R334" s="41"/>
      <c r="S334" s="41"/>
      <c r="T334" s="41"/>
      <c r="U334" s="41"/>
      <c r="V334" s="41"/>
      <c r="W334" s="52"/>
    </row>
    <row r="335" customFormat="false" ht="12.75" hidden="false" customHeight="true" outlineLevel="0" collapsed="false">
      <c r="C335" s="70"/>
      <c r="N335" s="2"/>
      <c r="O335" s="41"/>
      <c r="P335" s="41"/>
      <c r="Q335" s="41"/>
      <c r="R335" s="41"/>
      <c r="S335" s="41"/>
      <c r="T335" s="41"/>
      <c r="U335" s="41"/>
      <c r="V335" s="41"/>
      <c r="W335" s="52"/>
    </row>
    <row r="336" customFormat="false" ht="12.75" hidden="false" customHeight="true" outlineLevel="0" collapsed="false">
      <c r="C336" s="70"/>
      <c r="N336" s="2"/>
      <c r="O336" s="41"/>
      <c r="P336" s="41"/>
      <c r="Q336" s="41"/>
      <c r="R336" s="41"/>
      <c r="S336" s="41"/>
      <c r="T336" s="41"/>
      <c r="U336" s="41"/>
      <c r="V336" s="41"/>
      <c r="W336" s="52"/>
    </row>
    <row r="337" customFormat="false" ht="12.75" hidden="false" customHeight="true" outlineLevel="0" collapsed="false">
      <c r="C337" s="70"/>
      <c r="N337" s="2"/>
      <c r="O337" s="41"/>
      <c r="P337" s="41"/>
      <c r="Q337" s="41"/>
      <c r="R337" s="41"/>
      <c r="S337" s="41"/>
      <c r="T337" s="41"/>
      <c r="U337" s="41"/>
      <c r="V337" s="41"/>
      <c r="W337" s="52"/>
    </row>
    <row r="338" customFormat="false" ht="12.75" hidden="false" customHeight="true" outlineLevel="0" collapsed="false">
      <c r="C338" s="70"/>
      <c r="N338" s="2"/>
      <c r="O338" s="41"/>
      <c r="P338" s="41"/>
      <c r="Q338" s="41"/>
      <c r="R338" s="41"/>
      <c r="S338" s="41"/>
      <c r="T338" s="41"/>
      <c r="U338" s="41"/>
      <c r="V338" s="41"/>
      <c r="W338" s="52"/>
    </row>
    <row r="339" customFormat="false" ht="12.75" hidden="false" customHeight="true" outlineLevel="0" collapsed="false">
      <c r="C339" s="70"/>
      <c r="N339" s="2"/>
      <c r="O339" s="41"/>
      <c r="P339" s="41"/>
      <c r="Q339" s="41"/>
      <c r="R339" s="41"/>
      <c r="S339" s="41"/>
      <c r="T339" s="41"/>
      <c r="U339" s="41"/>
      <c r="V339" s="41"/>
      <c r="W339" s="52"/>
    </row>
    <row r="340" customFormat="false" ht="12.75" hidden="false" customHeight="true" outlineLevel="0" collapsed="false">
      <c r="C340" s="70"/>
      <c r="N340" s="2"/>
      <c r="O340" s="41"/>
      <c r="P340" s="41"/>
      <c r="Q340" s="41"/>
      <c r="R340" s="41"/>
      <c r="S340" s="41"/>
      <c r="T340" s="41"/>
      <c r="U340" s="41"/>
      <c r="V340" s="41"/>
      <c r="W340" s="52"/>
    </row>
    <row r="341" customFormat="false" ht="12.75" hidden="false" customHeight="true" outlineLevel="0" collapsed="false">
      <c r="C341" s="70"/>
      <c r="N341" s="2"/>
      <c r="O341" s="41"/>
      <c r="P341" s="41"/>
      <c r="Q341" s="41"/>
      <c r="R341" s="41"/>
      <c r="S341" s="41"/>
      <c r="T341" s="41"/>
      <c r="U341" s="41"/>
      <c r="V341" s="41"/>
      <c r="W341" s="52"/>
    </row>
    <row r="342" customFormat="false" ht="12.75" hidden="false" customHeight="true" outlineLevel="0" collapsed="false">
      <c r="C342" s="70"/>
      <c r="N342" s="2"/>
      <c r="O342" s="41"/>
      <c r="P342" s="41"/>
      <c r="Q342" s="41"/>
      <c r="R342" s="41"/>
      <c r="S342" s="41"/>
      <c r="T342" s="41"/>
      <c r="U342" s="41"/>
      <c r="V342" s="41"/>
      <c r="W342" s="52"/>
    </row>
    <row r="343" customFormat="false" ht="12.75" hidden="false" customHeight="true" outlineLevel="0" collapsed="false">
      <c r="C343" s="70"/>
      <c r="N343" s="2"/>
      <c r="O343" s="41"/>
      <c r="P343" s="41"/>
      <c r="Q343" s="41"/>
      <c r="R343" s="41"/>
      <c r="S343" s="41"/>
      <c r="T343" s="41"/>
      <c r="U343" s="41"/>
      <c r="V343" s="41"/>
      <c r="W343" s="52"/>
    </row>
    <row r="344" customFormat="false" ht="12.75" hidden="false" customHeight="true" outlineLevel="0" collapsed="false">
      <c r="C344" s="70"/>
      <c r="N344" s="2"/>
      <c r="O344" s="41"/>
      <c r="P344" s="41"/>
      <c r="Q344" s="41"/>
      <c r="R344" s="41"/>
      <c r="S344" s="41"/>
      <c r="T344" s="41"/>
      <c r="U344" s="41"/>
      <c r="V344" s="41"/>
      <c r="W344" s="52"/>
    </row>
    <row r="345" customFormat="false" ht="12.75" hidden="false" customHeight="true" outlineLevel="0" collapsed="false">
      <c r="C345" s="70"/>
      <c r="N345" s="2"/>
      <c r="O345" s="41"/>
      <c r="P345" s="41"/>
      <c r="Q345" s="41"/>
      <c r="R345" s="41"/>
      <c r="S345" s="41"/>
      <c r="T345" s="41"/>
      <c r="U345" s="41"/>
      <c r="V345" s="41"/>
      <c r="W345" s="52"/>
    </row>
    <row r="346" customFormat="false" ht="12.75" hidden="false" customHeight="true" outlineLevel="0" collapsed="false">
      <c r="C346" s="70"/>
      <c r="N346" s="2"/>
      <c r="O346" s="41"/>
      <c r="P346" s="41"/>
      <c r="Q346" s="41"/>
      <c r="R346" s="41"/>
      <c r="S346" s="41"/>
      <c r="T346" s="41"/>
      <c r="U346" s="41"/>
      <c r="V346" s="41"/>
      <c r="W346" s="52"/>
    </row>
    <row r="347" customFormat="false" ht="12.75" hidden="false" customHeight="true" outlineLevel="0" collapsed="false">
      <c r="C347" s="70"/>
      <c r="N347" s="2"/>
      <c r="O347" s="41"/>
      <c r="P347" s="41"/>
      <c r="Q347" s="41"/>
      <c r="R347" s="41"/>
      <c r="S347" s="41"/>
      <c r="T347" s="41"/>
      <c r="U347" s="41"/>
      <c r="V347" s="41"/>
      <c r="W347" s="52"/>
    </row>
    <row r="348" customFormat="false" ht="12.75" hidden="false" customHeight="true" outlineLevel="0" collapsed="false">
      <c r="C348" s="70"/>
      <c r="N348" s="2"/>
      <c r="O348" s="41"/>
      <c r="P348" s="41"/>
      <c r="Q348" s="41"/>
      <c r="R348" s="41"/>
      <c r="S348" s="41"/>
      <c r="T348" s="41"/>
      <c r="U348" s="41"/>
      <c r="V348" s="41"/>
      <c r="W348" s="52"/>
    </row>
    <row r="349" customFormat="false" ht="12.75" hidden="false" customHeight="true" outlineLevel="0" collapsed="false">
      <c r="C349" s="70"/>
      <c r="N349" s="2"/>
      <c r="O349" s="41"/>
      <c r="P349" s="41"/>
      <c r="Q349" s="41"/>
      <c r="R349" s="41"/>
      <c r="S349" s="41"/>
      <c r="T349" s="41"/>
      <c r="U349" s="41"/>
      <c r="V349" s="41"/>
      <c r="W349" s="52"/>
    </row>
    <row r="350" customFormat="false" ht="12.75" hidden="false" customHeight="true" outlineLevel="0" collapsed="false">
      <c r="C350" s="70"/>
      <c r="N350" s="2"/>
      <c r="O350" s="41"/>
      <c r="P350" s="41"/>
      <c r="Q350" s="41"/>
      <c r="R350" s="41"/>
      <c r="S350" s="41"/>
      <c r="T350" s="41"/>
      <c r="U350" s="41"/>
      <c r="V350" s="41"/>
      <c r="W350" s="52"/>
    </row>
    <row r="351" customFormat="false" ht="12.75" hidden="false" customHeight="true" outlineLevel="0" collapsed="false">
      <c r="C351" s="70"/>
      <c r="N351" s="2"/>
      <c r="O351" s="41"/>
      <c r="P351" s="41"/>
      <c r="Q351" s="41"/>
      <c r="R351" s="41"/>
      <c r="S351" s="41"/>
      <c r="T351" s="41"/>
      <c r="U351" s="41"/>
      <c r="V351" s="41"/>
      <c r="W351" s="52"/>
    </row>
    <row r="352" customFormat="false" ht="12.75" hidden="false" customHeight="true" outlineLevel="0" collapsed="false">
      <c r="C352" s="70"/>
      <c r="N352" s="2"/>
      <c r="O352" s="41"/>
      <c r="P352" s="41"/>
      <c r="Q352" s="41"/>
      <c r="R352" s="41"/>
      <c r="S352" s="41"/>
      <c r="T352" s="41"/>
      <c r="U352" s="41"/>
      <c r="V352" s="41"/>
      <c r="W352" s="52"/>
    </row>
    <row r="353" customFormat="false" ht="12.75" hidden="false" customHeight="true" outlineLevel="0" collapsed="false">
      <c r="C353" s="70"/>
      <c r="N353" s="2"/>
      <c r="O353" s="41"/>
      <c r="P353" s="41"/>
      <c r="Q353" s="41"/>
      <c r="R353" s="41"/>
      <c r="S353" s="41"/>
      <c r="T353" s="41"/>
      <c r="U353" s="41"/>
      <c r="V353" s="41"/>
      <c r="W353" s="52"/>
    </row>
    <row r="354" customFormat="false" ht="12.75" hidden="false" customHeight="true" outlineLevel="0" collapsed="false">
      <c r="C354" s="70"/>
      <c r="N354" s="2"/>
      <c r="O354" s="41"/>
      <c r="P354" s="41"/>
      <c r="Q354" s="41"/>
      <c r="R354" s="41"/>
      <c r="S354" s="41"/>
      <c r="T354" s="41"/>
      <c r="U354" s="41"/>
      <c r="V354" s="41"/>
      <c r="W354" s="52"/>
    </row>
    <row r="355" customFormat="false" ht="12.75" hidden="false" customHeight="true" outlineLevel="0" collapsed="false">
      <c r="C355" s="70"/>
      <c r="N355" s="2"/>
      <c r="O355" s="41"/>
      <c r="P355" s="41"/>
      <c r="Q355" s="41"/>
      <c r="R355" s="41"/>
      <c r="S355" s="41"/>
      <c r="T355" s="41"/>
      <c r="U355" s="41"/>
      <c r="V355" s="41"/>
      <c r="W355" s="52"/>
    </row>
    <row r="356" customFormat="false" ht="12.75" hidden="false" customHeight="true" outlineLevel="0" collapsed="false">
      <c r="C356" s="70"/>
      <c r="N356" s="2"/>
      <c r="O356" s="41"/>
      <c r="P356" s="41"/>
      <c r="Q356" s="41"/>
      <c r="R356" s="41"/>
      <c r="S356" s="41"/>
      <c r="T356" s="41"/>
      <c r="U356" s="41"/>
      <c r="V356" s="41"/>
      <c r="W356" s="52"/>
    </row>
    <row r="357" customFormat="false" ht="12.75" hidden="false" customHeight="true" outlineLevel="0" collapsed="false">
      <c r="C357" s="70"/>
      <c r="N357" s="2"/>
      <c r="O357" s="41"/>
      <c r="P357" s="41"/>
      <c r="Q357" s="41"/>
      <c r="R357" s="41"/>
      <c r="S357" s="41"/>
      <c r="T357" s="41"/>
      <c r="U357" s="41"/>
      <c r="V357" s="41"/>
      <c r="W357" s="52"/>
    </row>
    <row r="358" customFormat="false" ht="12.75" hidden="false" customHeight="true" outlineLevel="0" collapsed="false">
      <c r="C358" s="70"/>
      <c r="N358" s="2"/>
      <c r="O358" s="41"/>
      <c r="P358" s="41"/>
      <c r="Q358" s="41"/>
      <c r="R358" s="41"/>
      <c r="S358" s="41"/>
      <c r="T358" s="41"/>
      <c r="U358" s="41"/>
      <c r="V358" s="41"/>
      <c r="W358" s="52"/>
    </row>
    <row r="359" customFormat="false" ht="12.75" hidden="false" customHeight="true" outlineLevel="0" collapsed="false">
      <c r="C359" s="70"/>
      <c r="N359" s="2"/>
      <c r="O359" s="41"/>
      <c r="P359" s="41"/>
      <c r="Q359" s="41"/>
      <c r="R359" s="41"/>
      <c r="S359" s="41"/>
      <c r="T359" s="41"/>
      <c r="U359" s="41"/>
      <c r="V359" s="41"/>
      <c r="W359" s="52"/>
    </row>
    <row r="360" customFormat="false" ht="12.75" hidden="false" customHeight="true" outlineLevel="0" collapsed="false">
      <c r="C360" s="70"/>
      <c r="N360" s="2"/>
      <c r="O360" s="41"/>
      <c r="P360" s="41"/>
      <c r="Q360" s="41"/>
      <c r="R360" s="41"/>
      <c r="S360" s="41"/>
      <c r="T360" s="41"/>
      <c r="U360" s="41"/>
      <c r="V360" s="41"/>
      <c r="W360" s="52"/>
    </row>
    <row r="361" customFormat="false" ht="12.75" hidden="false" customHeight="true" outlineLevel="0" collapsed="false">
      <c r="C361" s="70"/>
      <c r="N361" s="2"/>
      <c r="O361" s="41"/>
      <c r="P361" s="41"/>
      <c r="Q361" s="41"/>
      <c r="R361" s="41"/>
      <c r="S361" s="41"/>
      <c r="T361" s="41"/>
      <c r="U361" s="41"/>
      <c r="V361" s="41"/>
      <c r="W361" s="52"/>
    </row>
    <row r="362" customFormat="false" ht="12.75" hidden="false" customHeight="true" outlineLevel="0" collapsed="false">
      <c r="C362" s="70"/>
      <c r="N362" s="2"/>
      <c r="O362" s="41"/>
      <c r="P362" s="41"/>
      <c r="Q362" s="41"/>
      <c r="R362" s="41"/>
      <c r="S362" s="41"/>
      <c r="T362" s="41"/>
      <c r="U362" s="41"/>
      <c r="V362" s="41"/>
      <c r="W362" s="52"/>
    </row>
    <row r="363" customFormat="false" ht="12.75" hidden="false" customHeight="true" outlineLevel="0" collapsed="false">
      <c r="C363" s="70"/>
      <c r="N363" s="2"/>
      <c r="O363" s="41"/>
      <c r="P363" s="41"/>
      <c r="Q363" s="41"/>
      <c r="R363" s="41"/>
      <c r="S363" s="41"/>
      <c r="T363" s="41"/>
      <c r="U363" s="41"/>
      <c r="V363" s="41"/>
      <c r="W363" s="52"/>
    </row>
    <row r="364" customFormat="false" ht="12.75" hidden="false" customHeight="true" outlineLevel="0" collapsed="false">
      <c r="C364" s="70"/>
      <c r="N364" s="2"/>
      <c r="O364" s="41"/>
      <c r="P364" s="41"/>
      <c r="Q364" s="41"/>
      <c r="R364" s="41"/>
      <c r="S364" s="41"/>
      <c r="T364" s="41"/>
      <c r="U364" s="41"/>
      <c r="V364" s="41"/>
      <c r="W364" s="52"/>
    </row>
    <row r="365" customFormat="false" ht="12.75" hidden="false" customHeight="true" outlineLevel="0" collapsed="false">
      <c r="C365" s="70"/>
      <c r="N365" s="2"/>
      <c r="O365" s="41"/>
      <c r="P365" s="41"/>
      <c r="Q365" s="41"/>
      <c r="R365" s="41"/>
      <c r="S365" s="41"/>
      <c r="T365" s="41"/>
      <c r="U365" s="41"/>
      <c r="V365" s="41"/>
      <c r="W365" s="52"/>
    </row>
    <row r="366" customFormat="false" ht="12.75" hidden="false" customHeight="true" outlineLevel="0" collapsed="false">
      <c r="C366" s="70"/>
      <c r="N366" s="2"/>
      <c r="O366" s="41"/>
      <c r="P366" s="41"/>
      <c r="Q366" s="41"/>
      <c r="R366" s="41"/>
      <c r="S366" s="41"/>
      <c r="T366" s="41"/>
      <c r="U366" s="41"/>
      <c r="V366" s="41"/>
      <c r="W366" s="52"/>
    </row>
    <row r="367" customFormat="false" ht="12.75" hidden="false" customHeight="true" outlineLevel="0" collapsed="false">
      <c r="C367" s="70"/>
      <c r="N367" s="2"/>
      <c r="O367" s="41"/>
      <c r="P367" s="41"/>
      <c r="Q367" s="41"/>
      <c r="R367" s="41"/>
      <c r="S367" s="41"/>
      <c r="T367" s="41"/>
      <c r="U367" s="41"/>
      <c r="V367" s="41"/>
      <c r="W367" s="52"/>
    </row>
    <row r="368" customFormat="false" ht="12.75" hidden="false" customHeight="true" outlineLevel="0" collapsed="false">
      <c r="C368" s="70"/>
      <c r="N368" s="2"/>
      <c r="O368" s="41"/>
      <c r="P368" s="41"/>
      <c r="Q368" s="41"/>
      <c r="R368" s="41"/>
      <c r="S368" s="41"/>
      <c r="T368" s="41"/>
      <c r="U368" s="41"/>
      <c r="V368" s="41"/>
      <c r="W368" s="52"/>
    </row>
    <row r="369" customFormat="false" ht="12.75" hidden="false" customHeight="true" outlineLevel="0" collapsed="false">
      <c r="C369" s="70"/>
      <c r="N369" s="2"/>
      <c r="O369" s="41"/>
      <c r="P369" s="41"/>
      <c r="Q369" s="41"/>
      <c r="R369" s="41"/>
      <c r="S369" s="41"/>
      <c r="T369" s="41"/>
      <c r="U369" s="41"/>
      <c r="V369" s="41"/>
      <c r="W369" s="52"/>
    </row>
    <row r="370" customFormat="false" ht="12.75" hidden="false" customHeight="true" outlineLevel="0" collapsed="false">
      <c r="C370" s="70"/>
      <c r="N370" s="2"/>
      <c r="O370" s="41"/>
      <c r="P370" s="41"/>
      <c r="Q370" s="41"/>
      <c r="R370" s="41"/>
      <c r="S370" s="41"/>
      <c r="T370" s="41"/>
      <c r="U370" s="41"/>
      <c r="V370" s="41"/>
      <c r="W370" s="52"/>
    </row>
    <row r="371" customFormat="false" ht="12.75" hidden="false" customHeight="true" outlineLevel="0" collapsed="false">
      <c r="C371" s="70"/>
      <c r="N371" s="2"/>
      <c r="O371" s="41"/>
      <c r="P371" s="41"/>
      <c r="Q371" s="41"/>
      <c r="R371" s="41"/>
      <c r="S371" s="41"/>
      <c r="T371" s="41"/>
      <c r="U371" s="41"/>
      <c r="V371" s="41"/>
      <c r="W371" s="52"/>
    </row>
    <row r="372" customFormat="false" ht="12.75" hidden="false" customHeight="true" outlineLevel="0" collapsed="false">
      <c r="C372" s="70"/>
      <c r="N372" s="2"/>
      <c r="O372" s="41"/>
      <c r="P372" s="41"/>
      <c r="Q372" s="41"/>
      <c r="R372" s="41"/>
      <c r="S372" s="41"/>
      <c r="T372" s="41"/>
      <c r="U372" s="41"/>
      <c r="V372" s="41"/>
      <c r="W372" s="52"/>
    </row>
    <row r="373" customFormat="false" ht="12.75" hidden="false" customHeight="true" outlineLevel="0" collapsed="false">
      <c r="C373" s="70"/>
      <c r="N373" s="2"/>
      <c r="O373" s="41"/>
      <c r="P373" s="41"/>
      <c r="Q373" s="41"/>
      <c r="R373" s="41"/>
      <c r="S373" s="41"/>
      <c r="T373" s="41"/>
      <c r="U373" s="41"/>
      <c r="V373" s="41"/>
      <c r="W373" s="52"/>
    </row>
    <row r="374" customFormat="false" ht="12.75" hidden="false" customHeight="true" outlineLevel="0" collapsed="false">
      <c r="C374" s="70"/>
      <c r="N374" s="2"/>
      <c r="O374" s="41"/>
      <c r="P374" s="41"/>
      <c r="Q374" s="41"/>
      <c r="R374" s="41"/>
      <c r="S374" s="41"/>
      <c r="T374" s="41"/>
      <c r="U374" s="41"/>
      <c r="V374" s="41"/>
      <c r="W374" s="52"/>
    </row>
    <row r="375" customFormat="false" ht="12.75" hidden="false" customHeight="true" outlineLevel="0" collapsed="false">
      <c r="C375" s="70"/>
      <c r="N375" s="2"/>
      <c r="O375" s="41"/>
      <c r="P375" s="41"/>
      <c r="Q375" s="41"/>
      <c r="R375" s="41"/>
      <c r="S375" s="41"/>
      <c r="T375" s="41"/>
      <c r="U375" s="41"/>
      <c r="V375" s="41"/>
      <c r="W375" s="52"/>
    </row>
    <row r="376" customFormat="false" ht="12.75" hidden="false" customHeight="true" outlineLevel="0" collapsed="false">
      <c r="C376" s="70"/>
      <c r="N376" s="2"/>
      <c r="O376" s="41"/>
      <c r="P376" s="41"/>
      <c r="Q376" s="41"/>
      <c r="R376" s="41"/>
      <c r="S376" s="41"/>
      <c r="T376" s="41"/>
      <c r="U376" s="41"/>
      <c r="V376" s="41"/>
      <c r="W376" s="52"/>
    </row>
    <row r="377" customFormat="false" ht="12.75" hidden="false" customHeight="true" outlineLevel="0" collapsed="false">
      <c r="C377" s="70"/>
      <c r="N377" s="2"/>
      <c r="O377" s="41"/>
      <c r="P377" s="41"/>
      <c r="Q377" s="41"/>
      <c r="R377" s="41"/>
      <c r="S377" s="41"/>
      <c r="T377" s="41"/>
      <c r="U377" s="41"/>
      <c r="V377" s="41"/>
      <c r="W377" s="52"/>
    </row>
    <row r="378" customFormat="false" ht="12.75" hidden="false" customHeight="true" outlineLevel="0" collapsed="false">
      <c r="C378" s="70"/>
      <c r="N378" s="2"/>
      <c r="O378" s="41"/>
      <c r="P378" s="41"/>
      <c r="Q378" s="41"/>
      <c r="R378" s="41"/>
      <c r="S378" s="41"/>
      <c r="T378" s="41"/>
      <c r="U378" s="41"/>
      <c r="V378" s="41"/>
      <c r="W378" s="52"/>
    </row>
    <row r="379" customFormat="false" ht="12.75" hidden="false" customHeight="true" outlineLevel="0" collapsed="false">
      <c r="C379" s="70"/>
      <c r="N379" s="2"/>
      <c r="O379" s="41"/>
      <c r="P379" s="41"/>
      <c r="Q379" s="41"/>
      <c r="R379" s="41"/>
      <c r="S379" s="41"/>
      <c r="T379" s="41"/>
      <c r="U379" s="41"/>
      <c r="V379" s="41"/>
      <c r="W379" s="52"/>
    </row>
    <row r="380" customFormat="false" ht="12.75" hidden="false" customHeight="true" outlineLevel="0" collapsed="false">
      <c r="C380" s="70"/>
      <c r="N380" s="2"/>
      <c r="O380" s="41"/>
      <c r="P380" s="41"/>
      <c r="Q380" s="41"/>
      <c r="R380" s="41"/>
      <c r="S380" s="41"/>
      <c r="T380" s="41"/>
      <c r="U380" s="41"/>
      <c r="V380" s="41"/>
      <c r="W380" s="52"/>
    </row>
    <row r="381" customFormat="false" ht="12.75" hidden="false" customHeight="true" outlineLevel="0" collapsed="false">
      <c r="C381" s="70"/>
      <c r="N381" s="2"/>
      <c r="O381" s="41"/>
      <c r="P381" s="41"/>
      <c r="Q381" s="41"/>
      <c r="R381" s="41"/>
      <c r="S381" s="41"/>
      <c r="T381" s="41"/>
      <c r="U381" s="41"/>
      <c r="V381" s="41"/>
      <c r="W381" s="52"/>
    </row>
    <row r="382" customFormat="false" ht="12.75" hidden="false" customHeight="true" outlineLevel="0" collapsed="false">
      <c r="C382" s="70"/>
      <c r="N382" s="2"/>
      <c r="O382" s="41"/>
      <c r="P382" s="41"/>
      <c r="Q382" s="41"/>
      <c r="R382" s="41"/>
      <c r="S382" s="41"/>
      <c r="T382" s="41"/>
      <c r="U382" s="41"/>
      <c r="V382" s="41"/>
      <c r="W382" s="52"/>
    </row>
    <row r="383" customFormat="false" ht="12.75" hidden="false" customHeight="true" outlineLevel="0" collapsed="false">
      <c r="C383" s="70"/>
      <c r="N383" s="2"/>
      <c r="O383" s="41"/>
      <c r="P383" s="41"/>
      <c r="Q383" s="41"/>
      <c r="R383" s="41"/>
      <c r="S383" s="41"/>
      <c r="T383" s="41"/>
      <c r="U383" s="41"/>
      <c r="V383" s="41"/>
      <c r="W383" s="52"/>
    </row>
    <row r="384" customFormat="false" ht="12.75" hidden="false" customHeight="true" outlineLevel="0" collapsed="false">
      <c r="C384" s="70"/>
      <c r="N384" s="2"/>
      <c r="O384" s="41"/>
      <c r="P384" s="41"/>
      <c r="Q384" s="41"/>
      <c r="R384" s="41"/>
      <c r="S384" s="41"/>
      <c r="T384" s="41"/>
      <c r="U384" s="41"/>
      <c r="V384" s="41"/>
      <c r="W384" s="52"/>
    </row>
    <row r="385" customFormat="false" ht="12.75" hidden="false" customHeight="true" outlineLevel="0" collapsed="false">
      <c r="C385" s="70"/>
      <c r="N385" s="2"/>
      <c r="O385" s="41"/>
      <c r="P385" s="41"/>
      <c r="Q385" s="41"/>
      <c r="R385" s="41"/>
      <c r="S385" s="41"/>
      <c r="T385" s="41"/>
      <c r="U385" s="41"/>
      <c r="V385" s="41"/>
      <c r="W385" s="52"/>
    </row>
    <row r="386" customFormat="false" ht="12.75" hidden="false" customHeight="true" outlineLevel="0" collapsed="false">
      <c r="C386" s="70"/>
      <c r="N386" s="2"/>
      <c r="O386" s="41"/>
      <c r="P386" s="41"/>
      <c r="Q386" s="41"/>
      <c r="R386" s="41"/>
      <c r="S386" s="41"/>
      <c r="T386" s="41"/>
      <c r="U386" s="41"/>
      <c r="V386" s="41"/>
      <c r="W386" s="52"/>
    </row>
    <row r="387" customFormat="false" ht="12.75" hidden="false" customHeight="true" outlineLevel="0" collapsed="false">
      <c r="C387" s="70"/>
      <c r="N387" s="2"/>
      <c r="O387" s="41"/>
      <c r="P387" s="41"/>
      <c r="Q387" s="41"/>
      <c r="R387" s="41"/>
      <c r="S387" s="41"/>
      <c r="T387" s="41"/>
      <c r="U387" s="41"/>
      <c r="V387" s="41"/>
      <c r="W387" s="52"/>
    </row>
    <row r="388" customFormat="false" ht="12.75" hidden="false" customHeight="true" outlineLevel="0" collapsed="false">
      <c r="C388" s="70"/>
      <c r="N388" s="2"/>
      <c r="O388" s="41"/>
      <c r="P388" s="41"/>
      <c r="Q388" s="41"/>
      <c r="R388" s="41"/>
      <c r="S388" s="41"/>
      <c r="T388" s="41"/>
      <c r="U388" s="41"/>
      <c r="V388" s="41"/>
      <c r="W388" s="52"/>
    </row>
    <row r="389" customFormat="false" ht="12.75" hidden="false" customHeight="true" outlineLevel="0" collapsed="false">
      <c r="C389" s="70"/>
      <c r="N389" s="2"/>
      <c r="O389" s="41"/>
      <c r="P389" s="41"/>
      <c r="Q389" s="41"/>
      <c r="R389" s="41"/>
      <c r="S389" s="41"/>
      <c r="T389" s="41"/>
      <c r="U389" s="41"/>
      <c r="V389" s="41"/>
      <c r="W389" s="52"/>
    </row>
    <row r="390" customFormat="false" ht="12.75" hidden="false" customHeight="true" outlineLevel="0" collapsed="false">
      <c r="C390" s="70"/>
      <c r="N390" s="2"/>
      <c r="O390" s="41"/>
      <c r="P390" s="41"/>
      <c r="Q390" s="41"/>
      <c r="R390" s="41"/>
      <c r="S390" s="41"/>
      <c r="T390" s="41"/>
      <c r="U390" s="41"/>
      <c r="V390" s="41"/>
      <c r="W390" s="52"/>
    </row>
    <row r="391" customFormat="false" ht="12.75" hidden="false" customHeight="true" outlineLevel="0" collapsed="false">
      <c r="C391" s="70"/>
      <c r="N391" s="2"/>
      <c r="O391" s="41"/>
      <c r="P391" s="41"/>
      <c r="Q391" s="41"/>
      <c r="R391" s="41"/>
      <c r="S391" s="41"/>
      <c r="T391" s="41"/>
      <c r="U391" s="41"/>
      <c r="V391" s="41"/>
      <c r="W391" s="52"/>
    </row>
    <row r="392" customFormat="false" ht="12.75" hidden="false" customHeight="true" outlineLevel="0" collapsed="false">
      <c r="C392" s="70"/>
      <c r="N392" s="2"/>
      <c r="O392" s="41"/>
      <c r="P392" s="41"/>
      <c r="Q392" s="41"/>
      <c r="R392" s="41"/>
      <c r="S392" s="41"/>
      <c r="T392" s="41"/>
      <c r="U392" s="41"/>
      <c r="V392" s="41"/>
      <c r="W392" s="52"/>
    </row>
    <row r="393" customFormat="false" ht="12.75" hidden="false" customHeight="true" outlineLevel="0" collapsed="false">
      <c r="C393" s="70"/>
      <c r="N393" s="2"/>
      <c r="O393" s="41"/>
      <c r="P393" s="41"/>
      <c r="Q393" s="41"/>
      <c r="R393" s="41"/>
      <c r="S393" s="41"/>
      <c r="T393" s="41"/>
      <c r="U393" s="41"/>
      <c r="V393" s="41"/>
      <c r="W393" s="52"/>
    </row>
    <row r="394" customFormat="false" ht="12.75" hidden="false" customHeight="true" outlineLevel="0" collapsed="false">
      <c r="C394" s="70"/>
      <c r="N394" s="2"/>
      <c r="O394" s="41"/>
      <c r="P394" s="41"/>
      <c r="Q394" s="41"/>
      <c r="R394" s="41"/>
      <c r="S394" s="41"/>
      <c r="T394" s="41"/>
      <c r="U394" s="41"/>
      <c r="V394" s="41"/>
      <c r="W394" s="52"/>
    </row>
    <row r="395" customFormat="false" ht="12.75" hidden="false" customHeight="true" outlineLevel="0" collapsed="false">
      <c r="C395" s="70"/>
      <c r="N395" s="2"/>
      <c r="O395" s="41"/>
      <c r="P395" s="41"/>
      <c r="Q395" s="41"/>
      <c r="R395" s="41"/>
      <c r="S395" s="41"/>
      <c r="T395" s="41"/>
      <c r="U395" s="41"/>
      <c r="V395" s="41"/>
      <c r="W395" s="52"/>
    </row>
    <row r="396" customFormat="false" ht="12.75" hidden="false" customHeight="true" outlineLevel="0" collapsed="false">
      <c r="C396" s="70"/>
      <c r="N396" s="2"/>
      <c r="O396" s="41"/>
      <c r="P396" s="41"/>
      <c r="Q396" s="41"/>
      <c r="R396" s="41"/>
      <c r="S396" s="41"/>
      <c r="T396" s="41"/>
      <c r="U396" s="41"/>
      <c r="V396" s="41"/>
      <c r="W396" s="52"/>
    </row>
    <row r="397" customFormat="false" ht="12.75" hidden="false" customHeight="true" outlineLevel="0" collapsed="false">
      <c r="C397" s="70"/>
      <c r="N397" s="2"/>
      <c r="O397" s="41"/>
      <c r="P397" s="41"/>
      <c r="Q397" s="41"/>
      <c r="R397" s="41"/>
      <c r="S397" s="41"/>
      <c r="T397" s="41"/>
      <c r="U397" s="41"/>
      <c r="V397" s="41"/>
      <c r="W397" s="52"/>
    </row>
    <row r="398" customFormat="false" ht="12.75" hidden="false" customHeight="true" outlineLevel="0" collapsed="false">
      <c r="C398" s="70"/>
      <c r="N398" s="2"/>
      <c r="O398" s="41"/>
      <c r="P398" s="41"/>
      <c r="Q398" s="41"/>
      <c r="R398" s="41"/>
      <c r="S398" s="41"/>
      <c r="T398" s="41"/>
      <c r="U398" s="41"/>
      <c r="V398" s="41"/>
      <c r="W398" s="52"/>
    </row>
    <row r="399" customFormat="false" ht="12.75" hidden="false" customHeight="true" outlineLevel="0" collapsed="false">
      <c r="C399" s="70"/>
      <c r="N399" s="2"/>
      <c r="O399" s="41"/>
      <c r="P399" s="41"/>
      <c r="Q399" s="41"/>
      <c r="R399" s="41"/>
      <c r="S399" s="41"/>
      <c r="T399" s="41"/>
      <c r="U399" s="41"/>
      <c r="V399" s="41"/>
      <c r="W399" s="52"/>
    </row>
    <row r="400" customFormat="false" ht="12.75" hidden="false" customHeight="true" outlineLevel="0" collapsed="false">
      <c r="C400" s="70"/>
      <c r="N400" s="2"/>
      <c r="O400" s="41"/>
      <c r="P400" s="41"/>
      <c r="Q400" s="41"/>
      <c r="R400" s="41"/>
      <c r="S400" s="41"/>
      <c r="T400" s="41"/>
      <c r="U400" s="41"/>
      <c r="V400" s="41"/>
      <c r="W400" s="52"/>
    </row>
    <row r="401" customFormat="false" ht="12.75" hidden="false" customHeight="true" outlineLevel="0" collapsed="false">
      <c r="C401" s="70"/>
      <c r="N401" s="2"/>
      <c r="O401" s="41"/>
      <c r="P401" s="41"/>
      <c r="Q401" s="41"/>
      <c r="R401" s="41"/>
      <c r="S401" s="41"/>
      <c r="T401" s="41"/>
      <c r="U401" s="41"/>
      <c r="V401" s="41"/>
      <c r="W401" s="52"/>
    </row>
    <row r="402" customFormat="false" ht="12.75" hidden="false" customHeight="true" outlineLevel="0" collapsed="false">
      <c r="C402" s="70"/>
      <c r="N402" s="2"/>
      <c r="O402" s="41"/>
      <c r="P402" s="41"/>
      <c r="Q402" s="41"/>
      <c r="R402" s="41"/>
      <c r="S402" s="41"/>
      <c r="T402" s="41"/>
      <c r="U402" s="41"/>
      <c r="V402" s="41"/>
      <c r="W402" s="52"/>
    </row>
    <row r="403" customFormat="false" ht="12.75" hidden="false" customHeight="true" outlineLevel="0" collapsed="false">
      <c r="C403" s="70"/>
      <c r="N403" s="2"/>
      <c r="O403" s="41"/>
      <c r="P403" s="41"/>
      <c r="Q403" s="41"/>
      <c r="R403" s="41"/>
      <c r="S403" s="41"/>
      <c r="T403" s="41"/>
      <c r="U403" s="41"/>
      <c r="V403" s="41"/>
      <c r="W403" s="52"/>
    </row>
    <row r="404" customFormat="false" ht="12.75" hidden="false" customHeight="true" outlineLevel="0" collapsed="false">
      <c r="C404" s="70"/>
      <c r="N404" s="2"/>
      <c r="O404" s="41"/>
      <c r="P404" s="41"/>
      <c r="Q404" s="41"/>
      <c r="R404" s="41"/>
      <c r="S404" s="41"/>
      <c r="T404" s="41"/>
      <c r="U404" s="41"/>
      <c r="V404" s="41"/>
      <c r="W404" s="52"/>
    </row>
    <row r="405" customFormat="false" ht="12.75" hidden="false" customHeight="true" outlineLevel="0" collapsed="false">
      <c r="C405" s="70"/>
      <c r="N405" s="2"/>
      <c r="O405" s="41"/>
      <c r="P405" s="41"/>
      <c r="Q405" s="41"/>
      <c r="R405" s="41"/>
      <c r="S405" s="41"/>
      <c r="T405" s="41"/>
      <c r="U405" s="41"/>
      <c r="V405" s="41"/>
      <c r="W405" s="52"/>
    </row>
    <row r="406" customFormat="false" ht="12.75" hidden="false" customHeight="true" outlineLevel="0" collapsed="false">
      <c r="C406" s="70"/>
      <c r="N406" s="2"/>
      <c r="O406" s="41"/>
      <c r="P406" s="41"/>
      <c r="Q406" s="41"/>
      <c r="R406" s="41"/>
      <c r="S406" s="41"/>
      <c r="T406" s="41"/>
      <c r="U406" s="41"/>
      <c r="V406" s="41"/>
      <c r="W406" s="52"/>
    </row>
    <row r="407" customFormat="false" ht="12.75" hidden="false" customHeight="true" outlineLevel="0" collapsed="false">
      <c r="C407" s="70"/>
      <c r="N407" s="2"/>
      <c r="O407" s="41"/>
      <c r="P407" s="41"/>
      <c r="Q407" s="41"/>
      <c r="R407" s="41"/>
      <c r="S407" s="41"/>
      <c r="T407" s="41"/>
      <c r="U407" s="41"/>
      <c r="V407" s="41"/>
      <c r="W407" s="52"/>
    </row>
    <row r="408" customFormat="false" ht="12.75" hidden="false" customHeight="true" outlineLevel="0" collapsed="false">
      <c r="C408" s="70"/>
      <c r="N408" s="2"/>
      <c r="O408" s="41"/>
      <c r="P408" s="41"/>
      <c r="Q408" s="41"/>
      <c r="R408" s="41"/>
      <c r="S408" s="41"/>
      <c r="T408" s="41"/>
      <c r="U408" s="41"/>
      <c r="V408" s="41"/>
      <c r="W408" s="52"/>
    </row>
    <row r="409" customFormat="false" ht="12.75" hidden="false" customHeight="true" outlineLevel="0" collapsed="false">
      <c r="C409" s="70"/>
      <c r="N409" s="2"/>
      <c r="O409" s="41"/>
      <c r="P409" s="41"/>
      <c r="Q409" s="41"/>
      <c r="R409" s="41"/>
      <c r="S409" s="41"/>
      <c r="T409" s="41"/>
      <c r="U409" s="41"/>
      <c r="V409" s="41"/>
      <c r="W409" s="52"/>
    </row>
    <row r="410" customFormat="false" ht="12.75" hidden="false" customHeight="true" outlineLevel="0" collapsed="false">
      <c r="C410" s="70"/>
      <c r="N410" s="2"/>
      <c r="O410" s="41"/>
      <c r="P410" s="41"/>
      <c r="Q410" s="41"/>
      <c r="R410" s="41"/>
      <c r="S410" s="41"/>
      <c r="T410" s="41"/>
      <c r="U410" s="41"/>
      <c r="V410" s="41"/>
      <c r="W410" s="52"/>
    </row>
    <row r="411" customFormat="false" ht="12.75" hidden="false" customHeight="true" outlineLevel="0" collapsed="false">
      <c r="C411" s="70"/>
      <c r="N411" s="2"/>
      <c r="O411" s="41"/>
      <c r="P411" s="41"/>
      <c r="Q411" s="41"/>
      <c r="R411" s="41"/>
      <c r="S411" s="41"/>
      <c r="T411" s="41"/>
      <c r="U411" s="41"/>
      <c r="V411" s="41"/>
      <c r="W411" s="52"/>
    </row>
    <row r="412" customFormat="false" ht="12.75" hidden="false" customHeight="true" outlineLevel="0" collapsed="false">
      <c r="C412" s="70"/>
      <c r="N412" s="2"/>
      <c r="O412" s="41"/>
      <c r="P412" s="41"/>
      <c r="Q412" s="41"/>
      <c r="R412" s="41"/>
      <c r="S412" s="41"/>
      <c r="T412" s="41"/>
      <c r="U412" s="41"/>
      <c r="V412" s="41"/>
      <c r="W412" s="52"/>
    </row>
    <row r="413" customFormat="false" ht="12.75" hidden="false" customHeight="true" outlineLevel="0" collapsed="false">
      <c r="C413" s="70"/>
      <c r="N413" s="2"/>
      <c r="O413" s="41"/>
      <c r="P413" s="41"/>
      <c r="Q413" s="41"/>
      <c r="R413" s="41"/>
      <c r="S413" s="41"/>
      <c r="T413" s="41"/>
      <c r="U413" s="41"/>
      <c r="V413" s="41"/>
      <c r="W413" s="52"/>
    </row>
    <row r="414" customFormat="false" ht="12.75" hidden="false" customHeight="true" outlineLevel="0" collapsed="false">
      <c r="C414" s="70"/>
      <c r="N414" s="2"/>
      <c r="O414" s="41"/>
      <c r="P414" s="41"/>
      <c r="Q414" s="41"/>
      <c r="R414" s="41"/>
      <c r="S414" s="41"/>
      <c r="T414" s="41"/>
      <c r="U414" s="41"/>
      <c r="V414" s="41"/>
      <c r="W414" s="52"/>
    </row>
    <row r="415" customFormat="false" ht="12.75" hidden="false" customHeight="true" outlineLevel="0" collapsed="false">
      <c r="C415" s="70"/>
      <c r="N415" s="2"/>
      <c r="O415" s="41"/>
      <c r="P415" s="41"/>
      <c r="Q415" s="41"/>
      <c r="R415" s="41"/>
      <c r="S415" s="41"/>
      <c r="T415" s="41"/>
      <c r="U415" s="41"/>
      <c r="V415" s="41"/>
      <c r="W415" s="52"/>
    </row>
    <row r="416" customFormat="false" ht="12.75" hidden="false" customHeight="true" outlineLevel="0" collapsed="false">
      <c r="C416" s="70"/>
      <c r="N416" s="2"/>
      <c r="O416" s="41"/>
      <c r="P416" s="41"/>
      <c r="Q416" s="41"/>
      <c r="R416" s="41"/>
      <c r="S416" s="41"/>
      <c r="T416" s="41"/>
      <c r="U416" s="41"/>
      <c r="V416" s="41"/>
      <c r="W416" s="52"/>
    </row>
    <row r="417" customFormat="false" ht="12.75" hidden="false" customHeight="true" outlineLevel="0" collapsed="false">
      <c r="C417" s="70"/>
      <c r="N417" s="2"/>
      <c r="O417" s="41"/>
      <c r="P417" s="41"/>
      <c r="Q417" s="41"/>
      <c r="R417" s="41"/>
      <c r="S417" s="41"/>
      <c r="T417" s="41"/>
      <c r="U417" s="41"/>
      <c r="V417" s="41"/>
      <c r="W417" s="52"/>
    </row>
    <row r="418" customFormat="false" ht="12.75" hidden="false" customHeight="true" outlineLevel="0" collapsed="false">
      <c r="C418" s="70"/>
      <c r="N418" s="2"/>
      <c r="O418" s="41"/>
      <c r="P418" s="41"/>
      <c r="Q418" s="41"/>
      <c r="R418" s="41"/>
      <c r="S418" s="41"/>
      <c r="T418" s="41"/>
      <c r="U418" s="41"/>
      <c r="V418" s="41"/>
      <c r="W418" s="52"/>
    </row>
    <row r="419" customFormat="false" ht="12.75" hidden="false" customHeight="true" outlineLevel="0" collapsed="false">
      <c r="C419" s="70"/>
      <c r="N419" s="2"/>
      <c r="O419" s="41"/>
      <c r="P419" s="41"/>
      <c r="Q419" s="41"/>
      <c r="R419" s="41"/>
      <c r="S419" s="41"/>
      <c r="T419" s="41"/>
      <c r="U419" s="41"/>
      <c r="V419" s="41"/>
      <c r="W419" s="52"/>
    </row>
    <row r="420" customFormat="false" ht="12.75" hidden="false" customHeight="true" outlineLevel="0" collapsed="false">
      <c r="C420" s="70"/>
      <c r="N420" s="2"/>
      <c r="O420" s="41"/>
      <c r="P420" s="41"/>
      <c r="Q420" s="41"/>
      <c r="R420" s="41"/>
      <c r="S420" s="41"/>
      <c r="T420" s="41"/>
      <c r="U420" s="41"/>
      <c r="V420" s="41"/>
      <c r="W420" s="52"/>
    </row>
    <row r="421" customFormat="false" ht="12.75" hidden="false" customHeight="true" outlineLevel="0" collapsed="false">
      <c r="C421" s="70"/>
      <c r="N421" s="2"/>
      <c r="O421" s="41"/>
      <c r="P421" s="41"/>
      <c r="Q421" s="41"/>
      <c r="R421" s="41"/>
      <c r="S421" s="41"/>
      <c r="T421" s="41"/>
      <c r="U421" s="41"/>
      <c r="V421" s="41"/>
      <c r="W421" s="52"/>
    </row>
    <row r="422" customFormat="false" ht="12.75" hidden="false" customHeight="true" outlineLevel="0" collapsed="false">
      <c r="C422" s="70"/>
      <c r="N422" s="2"/>
      <c r="O422" s="41"/>
      <c r="P422" s="41"/>
      <c r="Q422" s="41"/>
      <c r="R422" s="41"/>
      <c r="S422" s="41"/>
      <c r="T422" s="41"/>
      <c r="U422" s="41"/>
      <c r="V422" s="41"/>
      <c r="W422" s="52"/>
    </row>
    <row r="423" customFormat="false" ht="12.75" hidden="false" customHeight="true" outlineLevel="0" collapsed="false">
      <c r="C423" s="70"/>
      <c r="N423" s="2"/>
      <c r="O423" s="41"/>
      <c r="P423" s="41"/>
      <c r="Q423" s="41"/>
      <c r="R423" s="41"/>
      <c r="S423" s="41"/>
      <c r="T423" s="41"/>
      <c r="U423" s="41"/>
      <c r="V423" s="41"/>
      <c r="W423" s="52"/>
    </row>
    <row r="424" customFormat="false" ht="12.75" hidden="false" customHeight="true" outlineLevel="0" collapsed="false">
      <c r="C424" s="70"/>
      <c r="N424" s="2"/>
      <c r="O424" s="41"/>
      <c r="P424" s="41"/>
      <c r="Q424" s="41"/>
      <c r="R424" s="41"/>
      <c r="S424" s="41"/>
      <c r="T424" s="41"/>
      <c r="U424" s="41"/>
      <c r="V424" s="41"/>
      <c r="W424" s="52"/>
    </row>
    <row r="425" customFormat="false" ht="12.75" hidden="false" customHeight="true" outlineLevel="0" collapsed="false">
      <c r="C425" s="70"/>
      <c r="N425" s="2"/>
      <c r="O425" s="41"/>
      <c r="P425" s="41"/>
      <c r="Q425" s="41"/>
      <c r="R425" s="41"/>
      <c r="S425" s="41"/>
      <c r="T425" s="41"/>
      <c r="U425" s="41"/>
      <c r="V425" s="41"/>
      <c r="W425" s="52"/>
    </row>
    <row r="426" customFormat="false" ht="12.75" hidden="false" customHeight="true" outlineLevel="0" collapsed="false">
      <c r="C426" s="70"/>
      <c r="N426" s="2"/>
      <c r="O426" s="41"/>
      <c r="P426" s="41"/>
      <c r="Q426" s="41"/>
      <c r="R426" s="41"/>
      <c r="S426" s="41"/>
      <c r="T426" s="41"/>
      <c r="U426" s="41"/>
      <c r="V426" s="41"/>
      <c r="W426" s="52"/>
    </row>
    <row r="427" customFormat="false" ht="12.75" hidden="false" customHeight="true" outlineLevel="0" collapsed="false">
      <c r="C427" s="70"/>
      <c r="N427" s="2"/>
      <c r="O427" s="41"/>
      <c r="P427" s="41"/>
      <c r="Q427" s="41"/>
      <c r="R427" s="41"/>
      <c r="S427" s="41"/>
      <c r="T427" s="41"/>
      <c r="U427" s="41"/>
      <c r="V427" s="41"/>
      <c r="W427" s="52"/>
    </row>
    <row r="428" customFormat="false" ht="12.75" hidden="false" customHeight="true" outlineLevel="0" collapsed="false">
      <c r="C428" s="70"/>
      <c r="N428" s="2"/>
      <c r="O428" s="41"/>
      <c r="P428" s="41"/>
      <c r="Q428" s="41"/>
      <c r="R428" s="41"/>
      <c r="S428" s="41"/>
      <c r="T428" s="41"/>
      <c r="U428" s="41"/>
      <c r="V428" s="41"/>
      <c r="W428" s="52"/>
    </row>
    <row r="429" customFormat="false" ht="12.75" hidden="false" customHeight="true" outlineLevel="0" collapsed="false">
      <c r="C429" s="70"/>
      <c r="N429" s="2"/>
      <c r="O429" s="41"/>
      <c r="P429" s="41"/>
      <c r="Q429" s="41"/>
      <c r="R429" s="41"/>
      <c r="S429" s="41"/>
      <c r="T429" s="41"/>
      <c r="U429" s="41"/>
      <c r="V429" s="41"/>
      <c r="W429" s="52"/>
    </row>
    <row r="430" customFormat="false" ht="12.75" hidden="false" customHeight="true" outlineLevel="0" collapsed="false">
      <c r="C430" s="70"/>
      <c r="N430" s="2"/>
      <c r="O430" s="41"/>
      <c r="P430" s="41"/>
      <c r="Q430" s="41"/>
      <c r="R430" s="41"/>
      <c r="S430" s="41"/>
      <c r="T430" s="41"/>
      <c r="U430" s="41"/>
      <c r="V430" s="41"/>
      <c r="W430" s="52"/>
    </row>
    <row r="431" customFormat="false" ht="12.75" hidden="false" customHeight="true" outlineLevel="0" collapsed="false">
      <c r="C431" s="70"/>
      <c r="N431" s="2"/>
      <c r="O431" s="41"/>
      <c r="P431" s="41"/>
      <c r="Q431" s="41"/>
      <c r="R431" s="41"/>
      <c r="S431" s="41"/>
      <c r="T431" s="41"/>
      <c r="U431" s="41"/>
      <c r="V431" s="41"/>
      <c r="W431" s="52"/>
    </row>
    <row r="432" customFormat="false" ht="12.75" hidden="false" customHeight="true" outlineLevel="0" collapsed="false">
      <c r="C432" s="70"/>
      <c r="N432" s="2"/>
      <c r="O432" s="41"/>
      <c r="P432" s="41"/>
      <c r="Q432" s="41"/>
      <c r="R432" s="41"/>
      <c r="S432" s="41"/>
      <c r="T432" s="41"/>
      <c r="U432" s="41"/>
      <c r="V432" s="41"/>
      <c r="W432" s="52"/>
    </row>
    <row r="433" customFormat="false" ht="12.75" hidden="false" customHeight="true" outlineLevel="0" collapsed="false">
      <c r="C433" s="70"/>
      <c r="N433" s="2"/>
      <c r="O433" s="41"/>
      <c r="P433" s="41"/>
      <c r="Q433" s="41"/>
      <c r="R433" s="41"/>
      <c r="S433" s="41"/>
      <c r="T433" s="41"/>
      <c r="U433" s="41"/>
      <c r="V433" s="41"/>
      <c r="W433" s="52"/>
    </row>
    <row r="434" customFormat="false" ht="12.75" hidden="false" customHeight="true" outlineLevel="0" collapsed="false">
      <c r="C434" s="70"/>
      <c r="N434" s="2"/>
      <c r="O434" s="41"/>
      <c r="P434" s="41"/>
      <c r="Q434" s="41"/>
      <c r="R434" s="41"/>
      <c r="S434" s="41"/>
      <c r="T434" s="41"/>
      <c r="U434" s="41"/>
      <c r="V434" s="41"/>
      <c r="W434" s="52"/>
    </row>
    <row r="435" customFormat="false" ht="12.75" hidden="false" customHeight="true" outlineLevel="0" collapsed="false">
      <c r="C435" s="70"/>
      <c r="N435" s="2"/>
      <c r="O435" s="41"/>
      <c r="P435" s="41"/>
      <c r="Q435" s="41"/>
      <c r="R435" s="41"/>
      <c r="S435" s="41"/>
      <c r="T435" s="41"/>
      <c r="U435" s="41"/>
      <c r="V435" s="41"/>
      <c r="W435" s="52"/>
    </row>
    <row r="436" customFormat="false" ht="12.75" hidden="false" customHeight="true" outlineLevel="0" collapsed="false">
      <c r="C436" s="70"/>
      <c r="N436" s="2"/>
      <c r="O436" s="41"/>
      <c r="P436" s="41"/>
      <c r="Q436" s="41"/>
      <c r="R436" s="41"/>
      <c r="S436" s="41"/>
      <c r="T436" s="41"/>
      <c r="U436" s="41"/>
      <c r="V436" s="41"/>
      <c r="W436" s="52"/>
    </row>
    <row r="437" customFormat="false" ht="12.75" hidden="false" customHeight="true" outlineLevel="0" collapsed="false">
      <c r="C437" s="70"/>
      <c r="N437" s="2"/>
      <c r="O437" s="41"/>
      <c r="P437" s="41"/>
      <c r="Q437" s="41"/>
      <c r="R437" s="41"/>
      <c r="S437" s="41"/>
      <c r="T437" s="41"/>
      <c r="U437" s="41"/>
      <c r="V437" s="41"/>
      <c r="W437" s="52"/>
    </row>
    <row r="438" customFormat="false" ht="12.75" hidden="false" customHeight="true" outlineLevel="0" collapsed="false">
      <c r="C438" s="70"/>
      <c r="N438" s="2"/>
      <c r="O438" s="41"/>
      <c r="P438" s="41"/>
      <c r="Q438" s="41"/>
      <c r="R438" s="41"/>
      <c r="S438" s="41"/>
      <c r="T438" s="41"/>
      <c r="U438" s="41"/>
      <c r="V438" s="41"/>
      <c r="W438" s="52"/>
    </row>
    <row r="439" customFormat="false" ht="12.75" hidden="false" customHeight="true" outlineLevel="0" collapsed="false">
      <c r="C439" s="70"/>
      <c r="N439" s="2"/>
      <c r="O439" s="41"/>
      <c r="P439" s="41"/>
      <c r="Q439" s="41"/>
      <c r="R439" s="41"/>
      <c r="S439" s="41"/>
      <c r="T439" s="41"/>
      <c r="U439" s="41"/>
      <c r="V439" s="41"/>
      <c r="W439" s="52"/>
    </row>
    <row r="440" customFormat="false" ht="12.75" hidden="false" customHeight="true" outlineLevel="0" collapsed="false">
      <c r="C440" s="70"/>
      <c r="N440" s="2"/>
      <c r="O440" s="41"/>
      <c r="P440" s="41"/>
      <c r="Q440" s="41"/>
      <c r="R440" s="41"/>
      <c r="S440" s="41"/>
      <c r="T440" s="41"/>
      <c r="U440" s="41"/>
      <c r="V440" s="41"/>
      <c r="W440" s="52"/>
    </row>
    <row r="441" customFormat="false" ht="12.75" hidden="false" customHeight="true" outlineLevel="0" collapsed="false">
      <c r="C441" s="70"/>
      <c r="N441" s="2"/>
      <c r="O441" s="41"/>
      <c r="P441" s="41"/>
      <c r="Q441" s="41"/>
      <c r="R441" s="41"/>
      <c r="S441" s="41"/>
      <c r="T441" s="41"/>
      <c r="U441" s="41"/>
      <c r="V441" s="41"/>
      <c r="W441" s="52"/>
    </row>
    <row r="442" customFormat="false" ht="12.75" hidden="false" customHeight="true" outlineLevel="0" collapsed="false">
      <c r="C442" s="70"/>
      <c r="N442" s="2"/>
      <c r="O442" s="41"/>
      <c r="P442" s="41"/>
      <c r="Q442" s="41"/>
      <c r="R442" s="41"/>
      <c r="S442" s="41"/>
      <c r="T442" s="41"/>
      <c r="U442" s="41"/>
      <c r="V442" s="41"/>
      <c r="W442" s="52"/>
    </row>
    <row r="443" customFormat="false" ht="12.75" hidden="false" customHeight="true" outlineLevel="0" collapsed="false">
      <c r="C443" s="70"/>
      <c r="N443" s="2"/>
      <c r="O443" s="41"/>
      <c r="P443" s="41"/>
      <c r="Q443" s="41"/>
      <c r="R443" s="41"/>
      <c r="S443" s="41"/>
      <c r="T443" s="41"/>
      <c r="U443" s="41"/>
      <c r="V443" s="41"/>
      <c r="W443" s="52"/>
    </row>
    <row r="444" customFormat="false" ht="12.75" hidden="false" customHeight="true" outlineLevel="0" collapsed="false">
      <c r="C444" s="70"/>
      <c r="N444" s="2"/>
      <c r="O444" s="41"/>
      <c r="P444" s="41"/>
      <c r="Q444" s="41"/>
      <c r="R444" s="41"/>
      <c r="S444" s="41"/>
      <c r="T444" s="41"/>
      <c r="U444" s="41"/>
      <c r="V444" s="41"/>
      <c r="W444" s="52"/>
    </row>
    <row r="445" customFormat="false" ht="12.75" hidden="false" customHeight="true" outlineLevel="0" collapsed="false">
      <c r="C445" s="70"/>
      <c r="N445" s="2"/>
      <c r="O445" s="41"/>
      <c r="P445" s="41"/>
      <c r="Q445" s="41"/>
      <c r="R445" s="41"/>
      <c r="S445" s="41"/>
      <c r="T445" s="41"/>
      <c r="U445" s="41"/>
      <c r="V445" s="41"/>
      <c r="W445" s="52"/>
    </row>
    <row r="446" customFormat="false" ht="12.75" hidden="false" customHeight="true" outlineLevel="0" collapsed="false">
      <c r="C446" s="70"/>
      <c r="N446" s="2"/>
      <c r="O446" s="41"/>
      <c r="P446" s="41"/>
      <c r="Q446" s="41"/>
      <c r="R446" s="41"/>
      <c r="S446" s="41"/>
      <c r="T446" s="41"/>
      <c r="U446" s="41"/>
      <c r="V446" s="41"/>
      <c r="W446" s="52"/>
    </row>
    <row r="447" customFormat="false" ht="12.75" hidden="false" customHeight="true" outlineLevel="0" collapsed="false">
      <c r="C447" s="70"/>
      <c r="N447" s="2"/>
      <c r="O447" s="41"/>
      <c r="P447" s="41"/>
      <c r="Q447" s="41"/>
      <c r="R447" s="41"/>
      <c r="S447" s="41"/>
      <c r="T447" s="41"/>
      <c r="U447" s="41"/>
      <c r="V447" s="41"/>
      <c r="W447" s="52"/>
    </row>
    <row r="448" customFormat="false" ht="12.75" hidden="false" customHeight="true" outlineLevel="0" collapsed="false">
      <c r="C448" s="70"/>
      <c r="N448" s="2"/>
      <c r="O448" s="41"/>
      <c r="P448" s="41"/>
      <c r="Q448" s="41"/>
      <c r="R448" s="41"/>
      <c r="S448" s="41"/>
      <c r="T448" s="41"/>
      <c r="U448" s="41"/>
      <c r="V448" s="41"/>
      <c r="W448" s="52"/>
    </row>
    <row r="449" customFormat="false" ht="12.75" hidden="false" customHeight="true" outlineLevel="0" collapsed="false">
      <c r="C449" s="70"/>
      <c r="N449" s="2"/>
      <c r="O449" s="41"/>
      <c r="P449" s="41"/>
      <c r="Q449" s="41"/>
      <c r="R449" s="41"/>
      <c r="S449" s="41"/>
      <c r="T449" s="41"/>
      <c r="U449" s="41"/>
      <c r="V449" s="41"/>
      <c r="W449" s="52"/>
    </row>
    <row r="450" customFormat="false" ht="12.75" hidden="false" customHeight="true" outlineLevel="0" collapsed="false">
      <c r="C450" s="70"/>
      <c r="N450" s="2"/>
      <c r="O450" s="41"/>
      <c r="P450" s="41"/>
      <c r="Q450" s="41"/>
      <c r="R450" s="41"/>
      <c r="S450" s="41"/>
      <c r="T450" s="41"/>
      <c r="U450" s="41"/>
      <c r="V450" s="41"/>
      <c r="W450" s="52"/>
    </row>
    <row r="451" customFormat="false" ht="12.75" hidden="false" customHeight="true" outlineLevel="0" collapsed="false">
      <c r="C451" s="70"/>
      <c r="N451" s="2"/>
      <c r="O451" s="41"/>
      <c r="P451" s="41"/>
      <c r="Q451" s="41"/>
      <c r="R451" s="41"/>
      <c r="S451" s="41"/>
      <c r="T451" s="41"/>
      <c r="U451" s="41"/>
      <c r="V451" s="41"/>
      <c r="W451" s="52"/>
    </row>
    <row r="452" customFormat="false" ht="12.75" hidden="false" customHeight="true" outlineLevel="0" collapsed="false">
      <c r="C452" s="70"/>
      <c r="N452" s="2"/>
      <c r="O452" s="41"/>
      <c r="P452" s="41"/>
      <c r="Q452" s="41"/>
      <c r="R452" s="41"/>
      <c r="S452" s="41"/>
      <c r="T452" s="41"/>
      <c r="U452" s="41"/>
      <c r="V452" s="41"/>
      <c r="W452" s="52"/>
    </row>
    <row r="453" customFormat="false" ht="12.75" hidden="false" customHeight="true" outlineLevel="0" collapsed="false">
      <c r="C453" s="70"/>
      <c r="N453" s="2"/>
      <c r="O453" s="41"/>
      <c r="P453" s="41"/>
      <c r="Q453" s="41"/>
      <c r="R453" s="41"/>
      <c r="S453" s="41"/>
      <c r="T453" s="41"/>
      <c r="U453" s="41"/>
      <c r="V453" s="41"/>
      <c r="W453" s="52"/>
    </row>
    <row r="454" customFormat="false" ht="12.75" hidden="false" customHeight="true" outlineLevel="0" collapsed="false">
      <c r="C454" s="70"/>
      <c r="N454" s="2"/>
      <c r="O454" s="41"/>
      <c r="P454" s="41"/>
      <c r="Q454" s="41"/>
      <c r="R454" s="41"/>
      <c r="S454" s="41"/>
      <c r="T454" s="41"/>
      <c r="U454" s="41"/>
      <c r="V454" s="41"/>
      <c r="W454" s="52"/>
    </row>
    <row r="455" customFormat="false" ht="12.75" hidden="false" customHeight="true" outlineLevel="0" collapsed="false">
      <c r="C455" s="70"/>
      <c r="N455" s="2"/>
      <c r="O455" s="41"/>
      <c r="P455" s="41"/>
      <c r="Q455" s="41"/>
      <c r="R455" s="41"/>
      <c r="S455" s="41"/>
      <c r="T455" s="41"/>
      <c r="U455" s="41"/>
      <c r="V455" s="41"/>
      <c r="W455" s="52"/>
    </row>
    <row r="456" customFormat="false" ht="12.75" hidden="false" customHeight="true" outlineLevel="0" collapsed="false">
      <c r="C456" s="70"/>
      <c r="N456" s="2"/>
      <c r="O456" s="41"/>
      <c r="P456" s="41"/>
      <c r="Q456" s="41"/>
      <c r="R456" s="41"/>
      <c r="S456" s="41"/>
      <c r="T456" s="41"/>
      <c r="U456" s="41"/>
      <c r="V456" s="41"/>
      <c r="W456" s="52"/>
    </row>
    <row r="457" customFormat="false" ht="12.75" hidden="false" customHeight="true" outlineLevel="0" collapsed="false">
      <c r="C457" s="70"/>
      <c r="N457" s="2"/>
      <c r="O457" s="41"/>
      <c r="P457" s="41"/>
      <c r="Q457" s="41"/>
      <c r="R457" s="41"/>
      <c r="S457" s="41"/>
      <c r="T457" s="41"/>
      <c r="U457" s="41"/>
      <c r="V457" s="41"/>
      <c r="W457" s="52"/>
    </row>
    <row r="458" customFormat="false" ht="12.75" hidden="false" customHeight="true" outlineLevel="0" collapsed="false">
      <c r="C458" s="70"/>
      <c r="N458" s="2"/>
      <c r="O458" s="41"/>
      <c r="P458" s="41"/>
      <c r="Q458" s="41"/>
      <c r="R458" s="41"/>
      <c r="S458" s="41"/>
      <c r="T458" s="41"/>
      <c r="U458" s="41"/>
      <c r="V458" s="41"/>
      <c r="W458" s="52"/>
    </row>
    <row r="459" customFormat="false" ht="12.75" hidden="false" customHeight="true" outlineLevel="0" collapsed="false">
      <c r="C459" s="70"/>
      <c r="N459" s="2"/>
      <c r="O459" s="41"/>
      <c r="P459" s="41"/>
      <c r="Q459" s="41"/>
      <c r="R459" s="41"/>
      <c r="S459" s="41"/>
      <c r="T459" s="41"/>
      <c r="U459" s="41"/>
      <c r="V459" s="41"/>
      <c r="W459" s="52"/>
    </row>
    <row r="460" customFormat="false" ht="12.75" hidden="false" customHeight="true" outlineLevel="0" collapsed="false">
      <c r="C460" s="70"/>
      <c r="N460" s="2"/>
      <c r="O460" s="41"/>
      <c r="P460" s="41"/>
      <c r="Q460" s="41"/>
      <c r="R460" s="41"/>
      <c r="S460" s="41"/>
      <c r="T460" s="41"/>
      <c r="U460" s="41"/>
      <c r="V460" s="41"/>
      <c r="W460" s="52"/>
    </row>
    <row r="461" customFormat="false" ht="12.75" hidden="false" customHeight="true" outlineLevel="0" collapsed="false">
      <c r="C461" s="70"/>
      <c r="N461" s="2"/>
      <c r="O461" s="41"/>
      <c r="P461" s="41"/>
      <c r="Q461" s="41"/>
      <c r="R461" s="41"/>
      <c r="S461" s="41"/>
      <c r="T461" s="41"/>
      <c r="U461" s="41"/>
      <c r="V461" s="41"/>
      <c r="W461" s="52"/>
    </row>
    <row r="462" customFormat="false" ht="12.75" hidden="false" customHeight="true" outlineLevel="0" collapsed="false">
      <c r="C462" s="70"/>
      <c r="N462" s="2"/>
      <c r="O462" s="41"/>
      <c r="P462" s="41"/>
      <c r="Q462" s="41"/>
      <c r="R462" s="41"/>
      <c r="S462" s="41"/>
      <c r="T462" s="41"/>
      <c r="U462" s="41"/>
      <c r="V462" s="41"/>
      <c r="W462" s="52"/>
    </row>
    <row r="463" customFormat="false" ht="12.75" hidden="false" customHeight="true" outlineLevel="0" collapsed="false">
      <c r="C463" s="70"/>
      <c r="N463" s="2"/>
      <c r="O463" s="41"/>
      <c r="P463" s="41"/>
      <c r="Q463" s="41"/>
      <c r="R463" s="41"/>
      <c r="S463" s="41"/>
      <c r="T463" s="41"/>
      <c r="U463" s="41"/>
      <c r="V463" s="41"/>
      <c r="W463" s="52"/>
    </row>
    <row r="464" customFormat="false" ht="12.75" hidden="false" customHeight="true" outlineLevel="0" collapsed="false">
      <c r="C464" s="70"/>
      <c r="N464" s="2"/>
      <c r="O464" s="41"/>
      <c r="P464" s="41"/>
      <c r="Q464" s="41"/>
      <c r="R464" s="41"/>
      <c r="S464" s="41"/>
      <c r="T464" s="41"/>
      <c r="U464" s="41"/>
      <c r="V464" s="41"/>
      <c r="W464" s="52"/>
    </row>
    <row r="465" customFormat="false" ht="12.75" hidden="false" customHeight="true" outlineLevel="0" collapsed="false">
      <c r="C465" s="70"/>
      <c r="N465" s="2"/>
      <c r="O465" s="41"/>
      <c r="P465" s="41"/>
      <c r="Q465" s="41"/>
      <c r="R465" s="41"/>
      <c r="S465" s="41"/>
      <c r="T465" s="41"/>
      <c r="U465" s="41"/>
      <c r="V465" s="41"/>
      <c r="W465" s="52"/>
    </row>
    <row r="466" customFormat="false" ht="12.75" hidden="false" customHeight="true" outlineLevel="0" collapsed="false">
      <c r="C466" s="70"/>
      <c r="N466" s="2"/>
      <c r="O466" s="41"/>
      <c r="P466" s="41"/>
      <c r="Q466" s="41"/>
      <c r="R466" s="41"/>
      <c r="S466" s="41"/>
      <c r="T466" s="41"/>
      <c r="U466" s="41"/>
      <c r="V466" s="41"/>
      <c r="W466" s="52"/>
    </row>
    <row r="467" customFormat="false" ht="12.75" hidden="false" customHeight="true" outlineLevel="0" collapsed="false">
      <c r="C467" s="70"/>
      <c r="N467" s="2"/>
      <c r="O467" s="41"/>
      <c r="P467" s="41"/>
      <c r="Q467" s="41"/>
      <c r="R467" s="41"/>
      <c r="S467" s="41"/>
      <c r="T467" s="41"/>
      <c r="U467" s="41"/>
      <c r="V467" s="41"/>
      <c r="W467" s="52"/>
    </row>
    <row r="468" customFormat="false" ht="12.75" hidden="false" customHeight="true" outlineLevel="0" collapsed="false">
      <c r="C468" s="70"/>
      <c r="N468" s="2"/>
      <c r="O468" s="41"/>
      <c r="P468" s="41"/>
      <c r="Q468" s="41"/>
      <c r="R468" s="41"/>
      <c r="S468" s="41"/>
      <c r="T468" s="41"/>
      <c r="U468" s="41"/>
      <c r="V468" s="41"/>
      <c r="W468" s="52"/>
    </row>
    <row r="469" customFormat="false" ht="12.75" hidden="false" customHeight="true" outlineLevel="0" collapsed="false">
      <c r="C469" s="70"/>
      <c r="N469" s="2"/>
      <c r="O469" s="41"/>
      <c r="P469" s="41"/>
      <c r="Q469" s="41"/>
      <c r="R469" s="41"/>
      <c r="S469" s="41"/>
      <c r="T469" s="41"/>
      <c r="U469" s="41"/>
      <c r="V469" s="41"/>
      <c r="W469" s="52"/>
    </row>
    <row r="470" customFormat="false" ht="12.75" hidden="false" customHeight="true" outlineLevel="0" collapsed="false">
      <c r="C470" s="70"/>
      <c r="N470" s="2"/>
      <c r="O470" s="41"/>
      <c r="P470" s="41"/>
      <c r="Q470" s="41"/>
      <c r="R470" s="41"/>
      <c r="S470" s="41"/>
      <c r="T470" s="41"/>
      <c r="U470" s="41"/>
      <c r="V470" s="41"/>
      <c r="W470" s="52"/>
    </row>
    <row r="471" customFormat="false" ht="12.75" hidden="false" customHeight="true" outlineLevel="0" collapsed="false">
      <c r="C471" s="70"/>
      <c r="N471" s="2"/>
      <c r="O471" s="41"/>
      <c r="P471" s="41"/>
      <c r="Q471" s="41"/>
      <c r="R471" s="41"/>
      <c r="S471" s="41"/>
      <c r="T471" s="41"/>
      <c r="U471" s="41"/>
      <c r="V471" s="41"/>
      <c r="W471" s="52"/>
    </row>
    <row r="472" customFormat="false" ht="12.75" hidden="false" customHeight="true" outlineLevel="0" collapsed="false">
      <c r="C472" s="70"/>
      <c r="N472" s="2"/>
      <c r="O472" s="41"/>
      <c r="P472" s="41"/>
      <c r="Q472" s="41"/>
      <c r="R472" s="41"/>
      <c r="S472" s="41"/>
      <c r="T472" s="41"/>
      <c r="U472" s="41"/>
      <c r="V472" s="41"/>
      <c r="W472" s="52"/>
    </row>
    <row r="473" customFormat="false" ht="12.75" hidden="false" customHeight="true" outlineLevel="0" collapsed="false">
      <c r="C473" s="70"/>
      <c r="N473" s="2"/>
      <c r="O473" s="41"/>
      <c r="P473" s="41"/>
      <c r="Q473" s="41"/>
      <c r="R473" s="41"/>
      <c r="S473" s="41"/>
      <c r="T473" s="41"/>
      <c r="U473" s="41"/>
      <c r="V473" s="41"/>
      <c r="W473" s="52"/>
    </row>
    <row r="474" customFormat="false" ht="12.75" hidden="false" customHeight="true" outlineLevel="0" collapsed="false">
      <c r="C474" s="70"/>
      <c r="N474" s="2"/>
      <c r="O474" s="41"/>
      <c r="P474" s="41"/>
      <c r="Q474" s="41"/>
      <c r="R474" s="41"/>
      <c r="S474" s="41"/>
      <c r="T474" s="41"/>
      <c r="U474" s="41"/>
      <c r="V474" s="41"/>
      <c r="W474" s="52"/>
    </row>
    <row r="475" customFormat="false" ht="12.75" hidden="false" customHeight="true" outlineLevel="0" collapsed="false">
      <c r="C475" s="70"/>
      <c r="N475" s="2"/>
      <c r="O475" s="41"/>
      <c r="P475" s="41"/>
      <c r="Q475" s="41"/>
      <c r="R475" s="41"/>
      <c r="S475" s="41"/>
      <c r="T475" s="41"/>
      <c r="U475" s="41"/>
      <c r="V475" s="41"/>
      <c r="W475" s="52"/>
    </row>
    <row r="476" customFormat="false" ht="12.75" hidden="false" customHeight="true" outlineLevel="0" collapsed="false">
      <c r="C476" s="70"/>
      <c r="N476" s="2"/>
      <c r="O476" s="41"/>
      <c r="P476" s="41"/>
      <c r="Q476" s="41"/>
      <c r="R476" s="41"/>
      <c r="S476" s="41"/>
      <c r="T476" s="41"/>
      <c r="U476" s="41"/>
      <c r="V476" s="41"/>
      <c r="W476" s="52"/>
    </row>
    <row r="477" customFormat="false" ht="12.75" hidden="false" customHeight="true" outlineLevel="0" collapsed="false">
      <c r="C477" s="70"/>
      <c r="N477" s="2"/>
      <c r="O477" s="41"/>
      <c r="P477" s="41"/>
      <c r="Q477" s="41"/>
      <c r="R477" s="41"/>
      <c r="S477" s="41"/>
      <c r="T477" s="41"/>
      <c r="U477" s="41"/>
      <c r="V477" s="41"/>
      <c r="W477" s="52"/>
    </row>
    <row r="478" customFormat="false" ht="12.75" hidden="false" customHeight="true" outlineLevel="0" collapsed="false">
      <c r="C478" s="70"/>
      <c r="N478" s="2"/>
      <c r="O478" s="41"/>
      <c r="P478" s="41"/>
      <c r="Q478" s="41"/>
      <c r="R478" s="41"/>
      <c r="S478" s="41"/>
      <c r="T478" s="41"/>
      <c r="U478" s="41"/>
      <c r="V478" s="41"/>
      <c r="W478" s="52"/>
    </row>
    <row r="479" customFormat="false" ht="12.75" hidden="false" customHeight="true" outlineLevel="0" collapsed="false">
      <c r="C479" s="70"/>
      <c r="N479" s="2"/>
      <c r="O479" s="41"/>
      <c r="P479" s="41"/>
      <c r="Q479" s="41"/>
      <c r="R479" s="41"/>
      <c r="S479" s="41"/>
      <c r="T479" s="41"/>
      <c r="U479" s="41"/>
      <c r="V479" s="41"/>
      <c r="W479" s="52"/>
    </row>
    <row r="480" customFormat="false" ht="12.75" hidden="false" customHeight="true" outlineLevel="0" collapsed="false">
      <c r="C480" s="70"/>
      <c r="N480" s="2"/>
      <c r="O480" s="41"/>
      <c r="P480" s="41"/>
      <c r="Q480" s="41"/>
      <c r="R480" s="41"/>
      <c r="S480" s="41"/>
      <c r="T480" s="41"/>
      <c r="U480" s="41"/>
      <c r="V480" s="41"/>
      <c r="W480" s="52"/>
    </row>
    <row r="481" customFormat="false" ht="12.75" hidden="false" customHeight="true" outlineLevel="0" collapsed="false">
      <c r="C481" s="70"/>
      <c r="N481" s="2"/>
      <c r="O481" s="41"/>
      <c r="P481" s="41"/>
      <c r="Q481" s="41"/>
      <c r="R481" s="41"/>
      <c r="S481" s="41"/>
      <c r="T481" s="41"/>
      <c r="U481" s="41"/>
      <c r="V481" s="41"/>
      <c r="W481" s="52"/>
    </row>
    <row r="482" customFormat="false" ht="12.75" hidden="false" customHeight="true" outlineLevel="0" collapsed="false">
      <c r="C482" s="70"/>
      <c r="N482" s="2"/>
      <c r="O482" s="41"/>
      <c r="P482" s="41"/>
      <c r="Q482" s="41"/>
      <c r="R482" s="41"/>
      <c r="S482" s="41"/>
      <c r="T482" s="41"/>
      <c r="U482" s="41"/>
      <c r="V482" s="41"/>
      <c r="W482" s="52"/>
    </row>
    <row r="483" customFormat="false" ht="12.75" hidden="false" customHeight="true" outlineLevel="0" collapsed="false">
      <c r="C483" s="70"/>
      <c r="N483" s="2"/>
      <c r="O483" s="41"/>
      <c r="P483" s="41"/>
      <c r="Q483" s="41"/>
      <c r="R483" s="41"/>
      <c r="S483" s="41"/>
      <c r="T483" s="41"/>
      <c r="U483" s="41"/>
      <c r="V483" s="41"/>
      <c r="W483" s="52"/>
    </row>
    <row r="484" customFormat="false" ht="12.75" hidden="false" customHeight="true" outlineLevel="0" collapsed="false">
      <c r="C484" s="70"/>
      <c r="N484" s="2"/>
      <c r="O484" s="41"/>
      <c r="P484" s="41"/>
      <c r="Q484" s="41"/>
      <c r="R484" s="41"/>
      <c r="S484" s="41"/>
      <c r="T484" s="41"/>
      <c r="U484" s="41"/>
      <c r="V484" s="41"/>
      <c r="W484" s="52"/>
    </row>
    <row r="485" customFormat="false" ht="12.75" hidden="false" customHeight="true" outlineLevel="0" collapsed="false">
      <c r="C485" s="70"/>
      <c r="N485" s="2"/>
      <c r="O485" s="41"/>
      <c r="P485" s="41"/>
      <c r="Q485" s="41"/>
      <c r="R485" s="41"/>
      <c r="S485" s="41"/>
      <c r="T485" s="41"/>
      <c r="U485" s="41"/>
      <c r="V485" s="41"/>
      <c r="W485" s="52"/>
    </row>
    <row r="486" customFormat="false" ht="12.75" hidden="false" customHeight="true" outlineLevel="0" collapsed="false">
      <c r="C486" s="70"/>
      <c r="N486" s="2"/>
      <c r="O486" s="41"/>
      <c r="P486" s="41"/>
      <c r="Q486" s="41"/>
      <c r="R486" s="41"/>
      <c r="S486" s="41"/>
      <c r="T486" s="41"/>
      <c r="U486" s="41"/>
      <c r="V486" s="41"/>
      <c r="W486" s="52"/>
    </row>
    <row r="487" customFormat="false" ht="12.75" hidden="false" customHeight="true" outlineLevel="0" collapsed="false">
      <c r="C487" s="70"/>
      <c r="N487" s="2"/>
      <c r="O487" s="41"/>
      <c r="P487" s="41"/>
      <c r="Q487" s="41"/>
      <c r="R487" s="41"/>
      <c r="S487" s="41"/>
      <c r="T487" s="41"/>
      <c r="U487" s="41"/>
      <c r="V487" s="41"/>
      <c r="W487" s="52"/>
    </row>
    <row r="488" customFormat="false" ht="12.75" hidden="false" customHeight="true" outlineLevel="0" collapsed="false">
      <c r="C488" s="70"/>
      <c r="N488" s="2"/>
      <c r="O488" s="41"/>
      <c r="P488" s="41"/>
      <c r="Q488" s="41"/>
      <c r="R488" s="41"/>
      <c r="S488" s="41"/>
      <c r="T488" s="41"/>
      <c r="U488" s="41"/>
      <c r="V488" s="41"/>
      <c r="W488" s="52"/>
    </row>
    <row r="489" customFormat="false" ht="12.75" hidden="false" customHeight="true" outlineLevel="0" collapsed="false">
      <c r="C489" s="70"/>
      <c r="N489" s="2"/>
      <c r="O489" s="41"/>
      <c r="P489" s="41"/>
      <c r="Q489" s="41"/>
      <c r="R489" s="41"/>
      <c r="S489" s="41"/>
      <c r="T489" s="41"/>
      <c r="U489" s="41"/>
      <c r="V489" s="41"/>
      <c r="W489" s="52"/>
    </row>
    <row r="490" customFormat="false" ht="12.75" hidden="false" customHeight="true" outlineLevel="0" collapsed="false">
      <c r="C490" s="70"/>
      <c r="N490" s="2"/>
      <c r="O490" s="41"/>
      <c r="P490" s="41"/>
      <c r="Q490" s="41"/>
      <c r="R490" s="41"/>
      <c r="S490" s="41"/>
      <c r="T490" s="41"/>
      <c r="U490" s="41"/>
      <c r="V490" s="41"/>
      <c r="W490" s="52"/>
    </row>
    <row r="491" customFormat="false" ht="12.75" hidden="false" customHeight="true" outlineLevel="0" collapsed="false">
      <c r="C491" s="70"/>
      <c r="N491" s="2"/>
      <c r="O491" s="41"/>
      <c r="P491" s="41"/>
      <c r="Q491" s="41"/>
      <c r="R491" s="41"/>
      <c r="S491" s="41"/>
      <c r="T491" s="41"/>
      <c r="U491" s="41"/>
      <c r="V491" s="41"/>
      <c r="W491" s="52"/>
    </row>
    <row r="492" customFormat="false" ht="12.75" hidden="false" customHeight="true" outlineLevel="0" collapsed="false">
      <c r="C492" s="70"/>
      <c r="N492" s="2"/>
      <c r="O492" s="41"/>
      <c r="P492" s="41"/>
      <c r="Q492" s="41"/>
      <c r="R492" s="41"/>
      <c r="S492" s="41"/>
      <c r="T492" s="41"/>
      <c r="U492" s="41"/>
      <c r="V492" s="41"/>
      <c r="W492" s="52"/>
    </row>
    <row r="493" customFormat="false" ht="12.75" hidden="false" customHeight="true" outlineLevel="0" collapsed="false">
      <c r="C493" s="70"/>
      <c r="N493" s="2"/>
      <c r="O493" s="41"/>
      <c r="P493" s="41"/>
      <c r="Q493" s="41"/>
      <c r="R493" s="41"/>
      <c r="S493" s="41"/>
      <c r="T493" s="41"/>
      <c r="U493" s="41"/>
      <c r="V493" s="41"/>
      <c r="W493" s="52"/>
    </row>
    <row r="494" customFormat="false" ht="12.75" hidden="false" customHeight="true" outlineLevel="0" collapsed="false">
      <c r="C494" s="70"/>
      <c r="N494" s="2"/>
      <c r="O494" s="41"/>
      <c r="P494" s="41"/>
      <c r="Q494" s="41"/>
      <c r="R494" s="41"/>
      <c r="S494" s="41"/>
      <c r="T494" s="41"/>
      <c r="U494" s="41"/>
      <c r="V494" s="41"/>
      <c r="W494" s="52"/>
    </row>
    <row r="495" customFormat="false" ht="12.75" hidden="false" customHeight="true" outlineLevel="0" collapsed="false">
      <c r="C495" s="70"/>
      <c r="N495" s="2"/>
      <c r="O495" s="41"/>
      <c r="P495" s="41"/>
      <c r="Q495" s="41"/>
      <c r="R495" s="41"/>
      <c r="S495" s="41"/>
      <c r="T495" s="41"/>
      <c r="U495" s="41"/>
      <c r="V495" s="41"/>
      <c r="W495" s="52"/>
    </row>
    <row r="496" customFormat="false" ht="12.75" hidden="false" customHeight="true" outlineLevel="0" collapsed="false">
      <c r="C496" s="70"/>
      <c r="N496" s="2"/>
      <c r="O496" s="41"/>
      <c r="P496" s="41"/>
      <c r="Q496" s="41"/>
      <c r="R496" s="41"/>
      <c r="S496" s="41"/>
      <c r="T496" s="41"/>
      <c r="U496" s="41"/>
      <c r="V496" s="41"/>
      <c r="W496" s="52"/>
    </row>
    <row r="497" customFormat="false" ht="12.75" hidden="false" customHeight="true" outlineLevel="0" collapsed="false">
      <c r="C497" s="70"/>
      <c r="N497" s="2"/>
      <c r="O497" s="41"/>
      <c r="P497" s="41"/>
      <c r="Q497" s="41"/>
      <c r="R497" s="41"/>
      <c r="S497" s="41"/>
      <c r="T497" s="41"/>
      <c r="U497" s="41"/>
      <c r="V497" s="41"/>
      <c r="W497" s="52"/>
    </row>
    <row r="498" customFormat="false" ht="12.75" hidden="false" customHeight="true" outlineLevel="0" collapsed="false">
      <c r="C498" s="70"/>
      <c r="N498" s="2"/>
      <c r="O498" s="41"/>
      <c r="P498" s="41"/>
      <c r="Q498" s="41"/>
      <c r="R498" s="41"/>
      <c r="S498" s="41"/>
      <c r="T498" s="41"/>
      <c r="U498" s="41"/>
      <c r="V498" s="41"/>
      <c r="W498" s="52"/>
    </row>
    <row r="499" customFormat="false" ht="12.75" hidden="false" customHeight="true" outlineLevel="0" collapsed="false">
      <c r="C499" s="70"/>
      <c r="N499" s="2"/>
      <c r="O499" s="41"/>
      <c r="P499" s="41"/>
      <c r="Q499" s="41"/>
      <c r="R499" s="41"/>
      <c r="S499" s="41"/>
      <c r="T499" s="41"/>
      <c r="U499" s="41"/>
      <c r="V499" s="41"/>
      <c r="W499" s="52"/>
    </row>
    <row r="500" customFormat="false" ht="12.75" hidden="false" customHeight="true" outlineLevel="0" collapsed="false">
      <c r="C500" s="70"/>
      <c r="N500" s="2"/>
      <c r="O500" s="41"/>
      <c r="P500" s="41"/>
      <c r="Q500" s="41"/>
      <c r="R500" s="41"/>
      <c r="S500" s="41"/>
      <c r="T500" s="41"/>
      <c r="U500" s="41"/>
      <c r="V500" s="41"/>
      <c r="W500" s="52"/>
    </row>
    <row r="501" customFormat="false" ht="12.75" hidden="false" customHeight="true" outlineLevel="0" collapsed="false">
      <c r="C501" s="70"/>
      <c r="N501" s="2"/>
      <c r="O501" s="41"/>
      <c r="P501" s="41"/>
      <c r="Q501" s="41"/>
      <c r="R501" s="41"/>
      <c r="S501" s="41"/>
      <c r="T501" s="41"/>
      <c r="U501" s="41"/>
      <c r="V501" s="41"/>
      <c r="W501" s="52"/>
    </row>
    <row r="502" customFormat="false" ht="12.75" hidden="false" customHeight="true" outlineLevel="0" collapsed="false">
      <c r="C502" s="70"/>
      <c r="N502" s="2"/>
      <c r="O502" s="41"/>
      <c r="P502" s="41"/>
      <c r="Q502" s="41"/>
      <c r="R502" s="41"/>
      <c r="S502" s="41"/>
      <c r="T502" s="41"/>
      <c r="U502" s="41"/>
      <c r="V502" s="41"/>
      <c r="W502" s="52"/>
    </row>
    <row r="503" customFormat="false" ht="12.75" hidden="false" customHeight="true" outlineLevel="0" collapsed="false">
      <c r="C503" s="70"/>
      <c r="N503" s="2"/>
      <c r="O503" s="41"/>
      <c r="P503" s="41"/>
      <c r="Q503" s="41"/>
      <c r="R503" s="41"/>
      <c r="S503" s="41"/>
      <c r="T503" s="41"/>
      <c r="U503" s="41"/>
      <c r="V503" s="41"/>
      <c r="W503" s="52"/>
    </row>
    <row r="504" customFormat="false" ht="12.75" hidden="false" customHeight="true" outlineLevel="0" collapsed="false">
      <c r="C504" s="70"/>
      <c r="N504" s="2"/>
      <c r="O504" s="41"/>
      <c r="P504" s="41"/>
      <c r="Q504" s="41"/>
      <c r="R504" s="41"/>
      <c r="S504" s="41"/>
      <c r="T504" s="41"/>
      <c r="U504" s="41"/>
      <c r="V504" s="41"/>
      <c r="W504" s="52"/>
    </row>
    <row r="505" customFormat="false" ht="12.75" hidden="false" customHeight="true" outlineLevel="0" collapsed="false">
      <c r="C505" s="70"/>
      <c r="N505" s="2"/>
      <c r="O505" s="41"/>
      <c r="P505" s="41"/>
      <c r="Q505" s="41"/>
      <c r="R505" s="41"/>
      <c r="S505" s="41"/>
      <c r="T505" s="41"/>
      <c r="U505" s="41"/>
      <c r="V505" s="41"/>
      <c r="W505" s="52"/>
    </row>
    <row r="506" customFormat="false" ht="12.75" hidden="false" customHeight="true" outlineLevel="0" collapsed="false">
      <c r="C506" s="70"/>
      <c r="N506" s="2"/>
      <c r="O506" s="41"/>
      <c r="P506" s="41"/>
      <c r="Q506" s="41"/>
      <c r="R506" s="41"/>
      <c r="S506" s="41"/>
      <c r="T506" s="41"/>
      <c r="U506" s="41"/>
      <c r="V506" s="41"/>
      <c r="W506" s="52"/>
    </row>
    <row r="507" customFormat="false" ht="12.75" hidden="false" customHeight="true" outlineLevel="0" collapsed="false">
      <c r="C507" s="70"/>
      <c r="N507" s="2"/>
      <c r="O507" s="41"/>
      <c r="P507" s="41"/>
      <c r="Q507" s="41"/>
      <c r="R507" s="41"/>
      <c r="S507" s="41"/>
      <c r="T507" s="41"/>
      <c r="U507" s="41"/>
      <c r="V507" s="41"/>
      <c r="W507" s="52"/>
    </row>
    <row r="508" customFormat="false" ht="12.75" hidden="false" customHeight="true" outlineLevel="0" collapsed="false">
      <c r="C508" s="70"/>
      <c r="N508" s="2"/>
      <c r="O508" s="41"/>
      <c r="P508" s="41"/>
      <c r="Q508" s="41"/>
      <c r="R508" s="41"/>
      <c r="S508" s="41"/>
      <c r="T508" s="41"/>
      <c r="U508" s="41"/>
      <c r="V508" s="41"/>
      <c r="W508" s="52"/>
    </row>
    <row r="509" customFormat="false" ht="12.75" hidden="false" customHeight="true" outlineLevel="0" collapsed="false">
      <c r="C509" s="70"/>
      <c r="N509" s="2"/>
      <c r="O509" s="41"/>
      <c r="P509" s="41"/>
      <c r="Q509" s="41"/>
      <c r="R509" s="41"/>
      <c r="S509" s="41"/>
      <c r="T509" s="41"/>
      <c r="U509" s="41"/>
      <c r="V509" s="41"/>
      <c r="W509" s="52"/>
    </row>
    <row r="510" customFormat="false" ht="12.75" hidden="false" customHeight="true" outlineLevel="0" collapsed="false">
      <c r="C510" s="70"/>
      <c r="N510" s="2"/>
      <c r="O510" s="41"/>
      <c r="P510" s="41"/>
      <c r="Q510" s="41"/>
      <c r="R510" s="41"/>
      <c r="S510" s="41"/>
      <c r="T510" s="41"/>
      <c r="U510" s="41"/>
      <c r="V510" s="41"/>
      <c r="W510" s="52"/>
    </row>
    <row r="511" customFormat="false" ht="12.75" hidden="false" customHeight="true" outlineLevel="0" collapsed="false">
      <c r="C511" s="70"/>
      <c r="N511" s="2"/>
      <c r="O511" s="41"/>
      <c r="P511" s="41"/>
      <c r="Q511" s="41"/>
      <c r="R511" s="41"/>
      <c r="S511" s="41"/>
      <c r="T511" s="41"/>
      <c r="U511" s="41"/>
      <c r="V511" s="41"/>
      <c r="W511" s="52"/>
    </row>
    <row r="512" customFormat="false" ht="12.75" hidden="false" customHeight="true" outlineLevel="0" collapsed="false">
      <c r="C512" s="70"/>
      <c r="N512" s="2"/>
      <c r="O512" s="41"/>
      <c r="P512" s="41"/>
      <c r="Q512" s="41"/>
      <c r="R512" s="41"/>
      <c r="S512" s="41"/>
      <c r="T512" s="41"/>
      <c r="U512" s="41"/>
      <c r="V512" s="41"/>
      <c r="W512" s="52"/>
    </row>
    <row r="513" customFormat="false" ht="12.75" hidden="false" customHeight="true" outlineLevel="0" collapsed="false">
      <c r="C513" s="70"/>
      <c r="N513" s="2"/>
      <c r="O513" s="41"/>
      <c r="P513" s="41"/>
      <c r="Q513" s="41"/>
      <c r="R513" s="41"/>
      <c r="S513" s="41"/>
      <c r="T513" s="41"/>
      <c r="U513" s="41"/>
      <c r="V513" s="41"/>
      <c r="W513" s="52"/>
    </row>
    <row r="514" customFormat="false" ht="12.75" hidden="false" customHeight="true" outlineLevel="0" collapsed="false">
      <c r="C514" s="70"/>
      <c r="N514" s="2"/>
      <c r="O514" s="41"/>
      <c r="P514" s="41"/>
      <c r="Q514" s="41"/>
      <c r="R514" s="41"/>
      <c r="S514" s="41"/>
      <c r="T514" s="41"/>
      <c r="U514" s="41"/>
      <c r="V514" s="41"/>
      <c r="W514" s="52"/>
    </row>
    <row r="515" customFormat="false" ht="12.75" hidden="false" customHeight="true" outlineLevel="0" collapsed="false">
      <c r="C515" s="70"/>
      <c r="N515" s="2"/>
      <c r="O515" s="41"/>
      <c r="P515" s="41"/>
      <c r="Q515" s="41"/>
      <c r="R515" s="41"/>
      <c r="S515" s="41"/>
      <c r="T515" s="41"/>
      <c r="U515" s="41"/>
      <c r="V515" s="41"/>
      <c r="W515" s="52"/>
    </row>
    <row r="516" customFormat="false" ht="12.75" hidden="false" customHeight="true" outlineLevel="0" collapsed="false">
      <c r="C516" s="70"/>
      <c r="N516" s="2"/>
      <c r="O516" s="41"/>
      <c r="P516" s="41"/>
      <c r="Q516" s="41"/>
      <c r="R516" s="41"/>
      <c r="S516" s="41"/>
      <c r="T516" s="41"/>
      <c r="U516" s="41"/>
      <c r="V516" s="41"/>
      <c r="W516" s="52"/>
    </row>
    <row r="517" customFormat="false" ht="12.75" hidden="false" customHeight="true" outlineLevel="0" collapsed="false">
      <c r="C517" s="70"/>
      <c r="N517" s="2"/>
      <c r="O517" s="41"/>
      <c r="P517" s="41"/>
      <c r="Q517" s="41"/>
      <c r="R517" s="41"/>
      <c r="S517" s="41"/>
      <c r="T517" s="41"/>
      <c r="U517" s="41"/>
      <c r="V517" s="41"/>
      <c r="W517" s="52"/>
    </row>
    <row r="518" customFormat="false" ht="12.75" hidden="false" customHeight="true" outlineLevel="0" collapsed="false">
      <c r="C518" s="70"/>
      <c r="N518" s="2"/>
      <c r="O518" s="41"/>
      <c r="P518" s="41"/>
      <c r="Q518" s="41"/>
      <c r="R518" s="41"/>
      <c r="S518" s="41"/>
      <c r="T518" s="41"/>
      <c r="U518" s="41"/>
      <c r="V518" s="41"/>
      <c r="W518" s="52"/>
    </row>
    <row r="519" customFormat="false" ht="12.75" hidden="false" customHeight="true" outlineLevel="0" collapsed="false">
      <c r="C519" s="70"/>
      <c r="N519" s="2"/>
      <c r="O519" s="41"/>
      <c r="P519" s="41"/>
      <c r="Q519" s="41"/>
      <c r="R519" s="41"/>
      <c r="S519" s="41"/>
      <c r="T519" s="41"/>
      <c r="U519" s="41"/>
      <c r="V519" s="41"/>
      <c r="W519" s="52"/>
    </row>
    <row r="520" customFormat="false" ht="12.75" hidden="false" customHeight="true" outlineLevel="0" collapsed="false">
      <c r="C520" s="70"/>
      <c r="N520" s="2"/>
      <c r="O520" s="41"/>
      <c r="P520" s="41"/>
      <c r="Q520" s="41"/>
      <c r="R520" s="41"/>
      <c r="S520" s="41"/>
      <c r="T520" s="41"/>
      <c r="U520" s="41"/>
      <c r="V520" s="41"/>
      <c r="W520" s="52"/>
    </row>
    <row r="521" customFormat="false" ht="12.75" hidden="false" customHeight="true" outlineLevel="0" collapsed="false">
      <c r="C521" s="70"/>
      <c r="N521" s="2"/>
      <c r="O521" s="41"/>
      <c r="P521" s="41"/>
      <c r="Q521" s="41"/>
      <c r="R521" s="41"/>
      <c r="S521" s="41"/>
      <c r="T521" s="41"/>
      <c r="U521" s="41"/>
      <c r="V521" s="41"/>
      <c r="W521" s="52"/>
    </row>
    <row r="522" customFormat="false" ht="12.75" hidden="false" customHeight="true" outlineLevel="0" collapsed="false">
      <c r="C522" s="70"/>
      <c r="N522" s="2"/>
      <c r="O522" s="41"/>
      <c r="P522" s="41"/>
      <c r="Q522" s="41"/>
      <c r="R522" s="41"/>
      <c r="S522" s="41"/>
      <c r="T522" s="41"/>
      <c r="U522" s="41"/>
      <c r="V522" s="41"/>
      <c r="W522" s="52"/>
    </row>
    <row r="523" customFormat="false" ht="12.75" hidden="false" customHeight="true" outlineLevel="0" collapsed="false">
      <c r="C523" s="70"/>
      <c r="N523" s="2"/>
      <c r="O523" s="41"/>
      <c r="P523" s="41"/>
      <c r="Q523" s="41"/>
      <c r="R523" s="41"/>
      <c r="S523" s="41"/>
      <c r="T523" s="41"/>
      <c r="U523" s="41"/>
      <c r="V523" s="41"/>
      <c r="W523" s="52"/>
    </row>
    <row r="524" customFormat="false" ht="12.75" hidden="false" customHeight="true" outlineLevel="0" collapsed="false">
      <c r="C524" s="70"/>
      <c r="N524" s="2"/>
      <c r="O524" s="41"/>
      <c r="P524" s="41"/>
      <c r="Q524" s="41"/>
      <c r="R524" s="41"/>
      <c r="S524" s="41"/>
      <c r="T524" s="41"/>
      <c r="U524" s="41"/>
      <c r="V524" s="41"/>
      <c r="W524" s="52"/>
    </row>
    <row r="525" customFormat="false" ht="12.75" hidden="false" customHeight="true" outlineLevel="0" collapsed="false">
      <c r="C525" s="70"/>
      <c r="N525" s="2"/>
      <c r="O525" s="41"/>
      <c r="P525" s="41"/>
      <c r="Q525" s="41"/>
      <c r="R525" s="41"/>
      <c r="S525" s="41"/>
      <c r="T525" s="41"/>
      <c r="U525" s="41"/>
      <c r="V525" s="41"/>
      <c r="W525" s="52"/>
    </row>
    <row r="526" customFormat="false" ht="12.75" hidden="false" customHeight="true" outlineLevel="0" collapsed="false">
      <c r="C526" s="70"/>
      <c r="N526" s="2"/>
      <c r="O526" s="41"/>
      <c r="P526" s="41"/>
      <c r="Q526" s="41"/>
      <c r="R526" s="41"/>
      <c r="S526" s="41"/>
      <c r="T526" s="41"/>
      <c r="U526" s="41"/>
      <c r="V526" s="41"/>
      <c r="W526" s="52"/>
    </row>
    <row r="527" customFormat="false" ht="12.75" hidden="false" customHeight="true" outlineLevel="0" collapsed="false">
      <c r="C527" s="70"/>
      <c r="N527" s="2"/>
      <c r="O527" s="41"/>
      <c r="P527" s="41"/>
      <c r="Q527" s="41"/>
      <c r="R527" s="41"/>
      <c r="S527" s="41"/>
      <c r="T527" s="41"/>
      <c r="U527" s="41"/>
      <c r="V527" s="41"/>
      <c r="W527" s="52"/>
    </row>
    <row r="528" customFormat="false" ht="12.75" hidden="false" customHeight="true" outlineLevel="0" collapsed="false">
      <c r="C528" s="70"/>
      <c r="N528" s="2"/>
      <c r="O528" s="41"/>
      <c r="P528" s="41"/>
      <c r="Q528" s="41"/>
      <c r="R528" s="41"/>
      <c r="S528" s="41"/>
      <c r="T528" s="41"/>
      <c r="U528" s="41"/>
      <c r="V528" s="41"/>
      <c r="W528" s="52"/>
    </row>
    <row r="529" customFormat="false" ht="12.75" hidden="false" customHeight="true" outlineLevel="0" collapsed="false">
      <c r="C529" s="70"/>
      <c r="N529" s="2"/>
      <c r="O529" s="41"/>
      <c r="P529" s="41"/>
      <c r="Q529" s="41"/>
      <c r="R529" s="41"/>
      <c r="S529" s="41"/>
      <c r="T529" s="41"/>
      <c r="U529" s="41"/>
      <c r="V529" s="41"/>
      <c r="W529" s="52"/>
    </row>
    <row r="530" customFormat="false" ht="12.75" hidden="false" customHeight="true" outlineLevel="0" collapsed="false">
      <c r="C530" s="70"/>
      <c r="N530" s="2"/>
      <c r="O530" s="41"/>
      <c r="P530" s="41"/>
      <c r="Q530" s="41"/>
      <c r="R530" s="41"/>
      <c r="S530" s="41"/>
      <c r="T530" s="41"/>
      <c r="U530" s="41"/>
      <c r="V530" s="41"/>
      <c r="W530" s="52"/>
    </row>
    <row r="531" customFormat="false" ht="12.75" hidden="false" customHeight="true" outlineLevel="0" collapsed="false">
      <c r="C531" s="70"/>
      <c r="N531" s="2"/>
      <c r="O531" s="41"/>
      <c r="P531" s="41"/>
      <c r="Q531" s="41"/>
      <c r="R531" s="41"/>
      <c r="S531" s="41"/>
      <c r="T531" s="41"/>
      <c r="U531" s="41"/>
      <c r="V531" s="41"/>
      <c r="W531" s="52"/>
    </row>
    <row r="532" customFormat="false" ht="12.75" hidden="false" customHeight="true" outlineLevel="0" collapsed="false">
      <c r="C532" s="70"/>
      <c r="N532" s="2"/>
      <c r="O532" s="41"/>
      <c r="P532" s="41"/>
      <c r="Q532" s="41"/>
      <c r="R532" s="41"/>
      <c r="S532" s="41"/>
      <c r="T532" s="41"/>
      <c r="U532" s="41"/>
      <c r="V532" s="41"/>
      <c r="W532" s="52"/>
    </row>
    <row r="533" customFormat="false" ht="12.75" hidden="false" customHeight="true" outlineLevel="0" collapsed="false">
      <c r="C533" s="70"/>
      <c r="N533" s="2"/>
      <c r="O533" s="41"/>
      <c r="P533" s="41"/>
      <c r="Q533" s="41"/>
      <c r="R533" s="41"/>
      <c r="S533" s="41"/>
      <c r="T533" s="41"/>
      <c r="U533" s="41"/>
      <c r="V533" s="41"/>
      <c r="W533" s="52"/>
    </row>
    <row r="534" customFormat="false" ht="12.75" hidden="false" customHeight="true" outlineLevel="0" collapsed="false">
      <c r="C534" s="70"/>
      <c r="N534" s="2"/>
      <c r="O534" s="41"/>
      <c r="P534" s="41"/>
      <c r="Q534" s="41"/>
      <c r="R534" s="41"/>
      <c r="S534" s="41"/>
      <c r="T534" s="41"/>
      <c r="U534" s="41"/>
      <c r="V534" s="41"/>
      <c r="W534" s="52"/>
    </row>
    <row r="535" customFormat="false" ht="12.75" hidden="false" customHeight="true" outlineLevel="0" collapsed="false">
      <c r="C535" s="70"/>
      <c r="N535" s="2"/>
      <c r="O535" s="41"/>
      <c r="P535" s="41"/>
      <c r="Q535" s="41"/>
      <c r="R535" s="41"/>
      <c r="S535" s="41"/>
      <c r="T535" s="41"/>
      <c r="U535" s="41"/>
      <c r="V535" s="41"/>
      <c r="W535" s="52"/>
    </row>
    <row r="536" customFormat="false" ht="12.75" hidden="false" customHeight="true" outlineLevel="0" collapsed="false">
      <c r="C536" s="70"/>
      <c r="N536" s="2"/>
      <c r="O536" s="41"/>
      <c r="P536" s="41"/>
      <c r="Q536" s="41"/>
      <c r="R536" s="41"/>
      <c r="S536" s="41"/>
      <c r="T536" s="41"/>
      <c r="U536" s="41"/>
      <c r="V536" s="41"/>
      <c r="W536" s="52"/>
    </row>
    <row r="537" customFormat="false" ht="12.75" hidden="false" customHeight="true" outlineLevel="0" collapsed="false">
      <c r="C537" s="70"/>
      <c r="N537" s="2"/>
      <c r="O537" s="41"/>
      <c r="P537" s="41"/>
      <c r="Q537" s="41"/>
      <c r="R537" s="41"/>
      <c r="S537" s="41"/>
      <c r="T537" s="41"/>
      <c r="U537" s="41"/>
      <c r="V537" s="41"/>
      <c r="W537" s="52"/>
    </row>
    <row r="538" customFormat="false" ht="12.75" hidden="false" customHeight="true" outlineLevel="0" collapsed="false">
      <c r="C538" s="70"/>
      <c r="N538" s="2"/>
      <c r="O538" s="41"/>
      <c r="P538" s="41"/>
      <c r="Q538" s="41"/>
      <c r="R538" s="41"/>
      <c r="S538" s="41"/>
      <c r="T538" s="41"/>
      <c r="U538" s="41"/>
      <c r="V538" s="41"/>
      <c r="W538" s="52"/>
    </row>
    <row r="539" customFormat="false" ht="12.75" hidden="false" customHeight="true" outlineLevel="0" collapsed="false">
      <c r="C539" s="70"/>
      <c r="N539" s="2"/>
      <c r="O539" s="41"/>
      <c r="P539" s="41"/>
      <c r="Q539" s="41"/>
      <c r="R539" s="41"/>
      <c r="S539" s="41"/>
      <c r="T539" s="41"/>
      <c r="U539" s="41"/>
      <c r="V539" s="41"/>
      <c r="W539" s="52"/>
    </row>
    <row r="540" customFormat="false" ht="12.75" hidden="false" customHeight="true" outlineLevel="0" collapsed="false">
      <c r="C540" s="70"/>
      <c r="N540" s="2"/>
      <c r="O540" s="41"/>
      <c r="P540" s="41"/>
      <c r="Q540" s="41"/>
      <c r="R540" s="41"/>
      <c r="S540" s="41"/>
      <c r="T540" s="41"/>
      <c r="U540" s="41"/>
      <c r="V540" s="41"/>
      <c r="W540" s="52"/>
    </row>
    <row r="541" customFormat="false" ht="12.75" hidden="false" customHeight="true" outlineLevel="0" collapsed="false">
      <c r="C541" s="70"/>
      <c r="N541" s="2"/>
      <c r="O541" s="41"/>
      <c r="P541" s="41"/>
      <c r="Q541" s="41"/>
      <c r="R541" s="41"/>
      <c r="S541" s="41"/>
      <c r="T541" s="41"/>
      <c r="U541" s="41"/>
      <c r="V541" s="41"/>
      <c r="W541" s="52"/>
    </row>
    <row r="542" customFormat="false" ht="12.75" hidden="false" customHeight="true" outlineLevel="0" collapsed="false">
      <c r="C542" s="70"/>
      <c r="N542" s="2"/>
      <c r="O542" s="41"/>
      <c r="P542" s="41"/>
      <c r="Q542" s="41"/>
      <c r="R542" s="41"/>
      <c r="S542" s="41"/>
      <c r="T542" s="41"/>
      <c r="U542" s="41"/>
      <c r="V542" s="41"/>
      <c r="W542" s="52"/>
    </row>
    <row r="543" customFormat="false" ht="12.75" hidden="false" customHeight="true" outlineLevel="0" collapsed="false">
      <c r="C543" s="70"/>
      <c r="N543" s="2"/>
      <c r="O543" s="41"/>
      <c r="P543" s="41"/>
      <c r="Q543" s="41"/>
      <c r="R543" s="41"/>
      <c r="S543" s="41"/>
      <c r="T543" s="41"/>
      <c r="U543" s="41"/>
      <c r="V543" s="41"/>
      <c r="W543" s="52"/>
    </row>
    <row r="544" customFormat="false" ht="12.75" hidden="false" customHeight="true" outlineLevel="0" collapsed="false">
      <c r="C544" s="70"/>
      <c r="N544" s="2"/>
      <c r="O544" s="41"/>
      <c r="P544" s="41"/>
      <c r="Q544" s="41"/>
      <c r="R544" s="41"/>
      <c r="S544" s="41"/>
      <c r="T544" s="41"/>
      <c r="U544" s="41"/>
      <c r="V544" s="41"/>
      <c r="W544" s="52"/>
    </row>
    <row r="545" customFormat="false" ht="12.75" hidden="false" customHeight="true" outlineLevel="0" collapsed="false">
      <c r="C545" s="70"/>
      <c r="N545" s="2"/>
      <c r="O545" s="41"/>
      <c r="P545" s="41"/>
      <c r="Q545" s="41"/>
      <c r="R545" s="41"/>
      <c r="S545" s="41"/>
      <c r="T545" s="41"/>
      <c r="U545" s="41"/>
      <c r="V545" s="41"/>
      <c r="W545" s="52"/>
    </row>
    <row r="546" customFormat="false" ht="12.75" hidden="false" customHeight="true" outlineLevel="0" collapsed="false">
      <c r="C546" s="70"/>
      <c r="N546" s="2"/>
      <c r="O546" s="41"/>
      <c r="P546" s="41"/>
      <c r="Q546" s="41"/>
      <c r="R546" s="41"/>
      <c r="S546" s="41"/>
      <c r="T546" s="41"/>
      <c r="U546" s="41"/>
      <c r="V546" s="41"/>
      <c r="W546" s="52"/>
    </row>
    <row r="547" customFormat="false" ht="12.75" hidden="false" customHeight="true" outlineLevel="0" collapsed="false">
      <c r="C547" s="70"/>
      <c r="N547" s="2"/>
      <c r="O547" s="41"/>
      <c r="P547" s="41"/>
      <c r="Q547" s="41"/>
      <c r="R547" s="41"/>
      <c r="S547" s="41"/>
      <c r="T547" s="41"/>
      <c r="U547" s="41"/>
      <c r="V547" s="41"/>
      <c r="W547" s="52"/>
    </row>
    <row r="548" customFormat="false" ht="12.75" hidden="false" customHeight="true" outlineLevel="0" collapsed="false">
      <c r="C548" s="70"/>
      <c r="N548" s="2"/>
      <c r="O548" s="41"/>
      <c r="P548" s="41"/>
      <c r="Q548" s="41"/>
      <c r="R548" s="41"/>
      <c r="S548" s="41"/>
      <c r="T548" s="41"/>
      <c r="U548" s="41"/>
      <c r="V548" s="41"/>
      <c r="W548" s="52"/>
    </row>
    <row r="549" customFormat="false" ht="12.75" hidden="false" customHeight="true" outlineLevel="0" collapsed="false">
      <c r="C549" s="70"/>
      <c r="N549" s="2"/>
      <c r="O549" s="41"/>
      <c r="P549" s="41"/>
      <c r="Q549" s="41"/>
      <c r="R549" s="41"/>
      <c r="S549" s="41"/>
      <c r="T549" s="41"/>
      <c r="U549" s="41"/>
      <c r="V549" s="41"/>
      <c r="W549" s="52"/>
    </row>
    <row r="550" customFormat="false" ht="12.75" hidden="false" customHeight="true" outlineLevel="0" collapsed="false">
      <c r="C550" s="70"/>
      <c r="N550" s="2"/>
      <c r="O550" s="41"/>
      <c r="P550" s="41"/>
      <c r="Q550" s="41"/>
      <c r="R550" s="41"/>
      <c r="S550" s="41"/>
      <c r="T550" s="41"/>
      <c r="U550" s="41"/>
      <c r="V550" s="41"/>
      <c r="W550" s="52"/>
    </row>
    <row r="551" customFormat="false" ht="12.75" hidden="false" customHeight="true" outlineLevel="0" collapsed="false">
      <c r="C551" s="70"/>
      <c r="N551" s="2"/>
      <c r="O551" s="41"/>
      <c r="P551" s="41"/>
      <c r="Q551" s="41"/>
      <c r="R551" s="41"/>
      <c r="S551" s="41"/>
      <c r="T551" s="41"/>
      <c r="U551" s="41"/>
      <c r="V551" s="41"/>
      <c r="W551" s="52"/>
    </row>
    <row r="552" customFormat="false" ht="12.75" hidden="false" customHeight="true" outlineLevel="0" collapsed="false">
      <c r="C552" s="70"/>
      <c r="N552" s="2"/>
      <c r="O552" s="41"/>
      <c r="P552" s="41"/>
      <c r="Q552" s="41"/>
      <c r="R552" s="41"/>
      <c r="S552" s="41"/>
      <c r="T552" s="41"/>
      <c r="U552" s="41"/>
      <c r="V552" s="41"/>
      <c r="W552" s="52"/>
    </row>
    <row r="553" customFormat="false" ht="12.75" hidden="false" customHeight="true" outlineLevel="0" collapsed="false">
      <c r="C553" s="70"/>
      <c r="N553" s="2"/>
      <c r="O553" s="41"/>
      <c r="P553" s="41"/>
      <c r="Q553" s="41"/>
      <c r="R553" s="41"/>
      <c r="S553" s="41"/>
      <c r="T553" s="41"/>
      <c r="U553" s="41"/>
      <c r="V553" s="41"/>
      <c r="W553" s="52"/>
    </row>
    <row r="554" customFormat="false" ht="12.75" hidden="false" customHeight="true" outlineLevel="0" collapsed="false">
      <c r="C554" s="70"/>
      <c r="N554" s="2"/>
      <c r="O554" s="41"/>
      <c r="P554" s="41"/>
      <c r="Q554" s="41"/>
      <c r="R554" s="41"/>
      <c r="S554" s="41"/>
      <c r="T554" s="41"/>
      <c r="U554" s="41"/>
      <c r="V554" s="41"/>
      <c r="W554" s="52"/>
    </row>
    <row r="555" customFormat="false" ht="12.75" hidden="false" customHeight="true" outlineLevel="0" collapsed="false">
      <c r="C555" s="70"/>
      <c r="N555" s="2"/>
      <c r="O555" s="41"/>
      <c r="P555" s="41"/>
      <c r="Q555" s="41"/>
      <c r="R555" s="41"/>
      <c r="S555" s="41"/>
      <c r="T555" s="41"/>
      <c r="U555" s="41"/>
      <c r="V555" s="41"/>
      <c r="W555" s="52"/>
    </row>
    <row r="556" customFormat="false" ht="12.75" hidden="false" customHeight="true" outlineLevel="0" collapsed="false">
      <c r="C556" s="70"/>
      <c r="N556" s="2"/>
      <c r="O556" s="41"/>
      <c r="P556" s="41"/>
      <c r="Q556" s="41"/>
      <c r="R556" s="41"/>
      <c r="S556" s="41"/>
      <c r="T556" s="41"/>
      <c r="U556" s="41"/>
      <c r="V556" s="41"/>
      <c r="W556" s="52"/>
    </row>
    <row r="557" customFormat="false" ht="12.75" hidden="false" customHeight="true" outlineLevel="0" collapsed="false">
      <c r="C557" s="70"/>
      <c r="N557" s="2"/>
      <c r="O557" s="41"/>
      <c r="P557" s="41"/>
      <c r="Q557" s="41"/>
      <c r="R557" s="41"/>
      <c r="S557" s="41"/>
      <c r="T557" s="41"/>
      <c r="U557" s="41"/>
      <c r="V557" s="41"/>
      <c r="W557" s="52"/>
    </row>
    <row r="558" customFormat="false" ht="12.75" hidden="false" customHeight="true" outlineLevel="0" collapsed="false">
      <c r="C558" s="70"/>
      <c r="N558" s="2"/>
      <c r="O558" s="41"/>
      <c r="P558" s="41"/>
      <c r="Q558" s="41"/>
      <c r="R558" s="41"/>
      <c r="S558" s="41"/>
      <c r="T558" s="41"/>
      <c r="U558" s="41"/>
      <c r="V558" s="41"/>
      <c r="W558" s="52"/>
    </row>
    <row r="559" customFormat="false" ht="12.75" hidden="false" customHeight="true" outlineLevel="0" collapsed="false">
      <c r="C559" s="70"/>
      <c r="N559" s="2"/>
      <c r="O559" s="41"/>
      <c r="P559" s="41"/>
      <c r="Q559" s="41"/>
      <c r="R559" s="41"/>
      <c r="S559" s="41"/>
      <c r="T559" s="41"/>
      <c r="U559" s="41"/>
      <c r="V559" s="41"/>
      <c r="W559" s="52"/>
    </row>
    <row r="560" customFormat="false" ht="12.75" hidden="false" customHeight="true" outlineLevel="0" collapsed="false">
      <c r="C560" s="70"/>
      <c r="N560" s="2"/>
      <c r="O560" s="41"/>
      <c r="P560" s="41"/>
      <c r="Q560" s="41"/>
      <c r="R560" s="41"/>
      <c r="S560" s="41"/>
      <c r="T560" s="41"/>
      <c r="U560" s="41"/>
      <c r="V560" s="41"/>
      <c r="W560" s="52"/>
    </row>
    <row r="561" customFormat="false" ht="12.75" hidden="false" customHeight="true" outlineLevel="0" collapsed="false">
      <c r="C561" s="70"/>
      <c r="N561" s="2"/>
      <c r="O561" s="41"/>
      <c r="P561" s="41"/>
      <c r="Q561" s="41"/>
      <c r="R561" s="41"/>
      <c r="S561" s="41"/>
      <c r="T561" s="41"/>
      <c r="U561" s="41"/>
      <c r="V561" s="41"/>
      <c r="W561" s="52"/>
    </row>
    <row r="562" customFormat="false" ht="12.75" hidden="false" customHeight="true" outlineLevel="0" collapsed="false">
      <c r="C562" s="70"/>
      <c r="N562" s="2"/>
      <c r="O562" s="41"/>
      <c r="P562" s="41"/>
      <c r="Q562" s="41"/>
      <c r="R562" s="41"/>
      <c r="S562" s="41"/>
      <c r="T562" s="41"/>
      <c r="U562" s="41"/>
      <c r="V562" s="41"/>
      <c r="W562" s="52"/>
    </row>
    <row r="563" customFormat="false" ht="12.75" hidden="false" customHeight="true" outlineLevel="0" collapsed="false">
      <c r="C563" s="70"/>
      <c r="N563" s="2"/>
      <c r="O563" s="41"/>
      <c r="P563" s="41"/>
      <c r="Q563" s="41"/>
      <c r="R563" s="41"/>
      <c r="S563" s="41"/>
      <c r="T563" s="41"/>
      <c r="U563" s="41"/>
      <c r="V563" s="41"/>
      <c r="W563" s="52"/>
    </row>
    <row r="564" customFormat="false" ht="12.75" hidden="false" customHeight="true" outlineLevel="0" collapsed="false">
      <c r="C564" s="70"/>
      <c r="N564" s="2"/>
      <c r="O564" s="41"/>
      <c r="P564" s="41"/>
      <c r="Q564" s="41"/>
      <c r="R564" s="41"/>
      <c r="S564" s="41"/>
      <c r="T564" s="41"/>
      <c r="U564" s="41"/>
      <c r="V564" s="41"/>
      <c r="W564" s="52"/>
    </row>
    <row r="565" customFormat="false" ht="12.75" hidden="false" customHeight="true" outlineLevel="0" collapsed="false">
      <c r="C565" s="70"/>
      <c r="N565" s="2"/>
      <c r="O565" s="41"/>
      <c r="P565" s="41"/>
      <c r="Q565" s="41"/>
      <c r="R565" s="41"/>
      <c r="S565" s="41"/>
      <c r="T565" s="41"/>
      <c r="U565" s="41"/>
      <c r="V565" s="41"/>
      <c r="W565" s="52"/>
    </row>
    <row r="566" customFormat="false" ht="12.75" hidden="false" customHeight="true" outlineLevel="0" collapsed="false">
      <c r="C566" s="70"/>
      <c r="N566" s="2"/>
      <c r="O566" s="41"/>
      <c r="P566" s="41"/>
      <c r="Q566" s="41"/>
      <c r="R566" s="41"/>
      <c r="S566" s="41"/>
      <c r="T566" s="41"/>
      <c r="U566" s="41"/>
      <c r="V566" s="41"/>
      <c r="W566" s="52"/>
    </row>
    <row r="567" customFormat="false" ht="12.75" hidden="false" customHeight="true" outlineLevel="0" collapsed="false">
      <c r="C567" s="70"/>
      <c r="N567" s="2"/>
      <c r="O567" s="41"/>
      <c r="P567" s="41"/>
      <c r="Q567" s="41"/>
      <c r="R567" s="41"/>
      <c r="S567" s="41"/>
      <c r="T567" s="41"/>
      <c r="U567" s="41"/>
      <c r="V567" s="41"/>
      <c r="W567" s="52"/>
    </row>
    <row r="568" customFormat="false" ht="12.75" hidden="false" customHeight="true" outlineLevel="0" collapsed="false">
      <c r="C568" s="70"/>
      <c r="N568" s="2"/>
      <c r="O568" s="41"/>
      <c r="P568" s="41"/>
      <c r="Q568" s="41"/>
      <c r="R568" s="41"/>
      <c r="S568" s="41"/>
      <c r="T568" s="41"/>
      <c r="U568" s="41"/>
      <c r="V568" s="41"/>
      <c r="W568" s="52"/>
    </row>
    <row r="569" customFormat="false" ht="12.75" hidden="false" customHeight="true" outlineLevel="0" collapsed="false">
      <c r="C569" s="70"/>
      <c r="N569" s="2"/>
      <c r="O569" s="41"/>
      <c r="P569" s="41"/>
      <c r="Q569" s="41"/>
      <c r="R569" s="41"/>
      <c r="S569" s="41"/>
      <c r="T569" s="41"/>
      <c r="U569" s="41"/>
      <c r="V569" s="41"/>
      <c r="W569" s="52"/>
    </row>
    <row r="570" customFormat="false" ht="12.75" hidden="false" customHeight="true" outlineLevel="0" collapsed="false">
      <c r="C570" s="70"/>
      <c r="N570" s="2"/>
      <c r="O570" s="41"/>
      <c r="P570" s="41"/>
      <c r="Q570" s="41"/>
      <c r="R570" s="41"/>
      <c r="S570" s="41"/>
      <c r="T570" s="41"/>
      <c r="U570" s="41"/>
      <c r="V570" s="41"/>
      <c r="W570" s="52"/>
    </row>
    <row r="571" customFormat="false" ht="12.75" hidden="false" customHeight="true" outlineLevel="0" collapsed="false">
      <c r="C571" s="70"/>
      <c r="N571" s="2"/>
      <c r="O571" s="41"/>
      <c r="P571" s="41"/>
      <c r="Q571" s="41"/>
      <c r="R571" s="41"/>
      <c r="S571" s="41"/>
      <c r="T571" s="41"/>
      <c r="U571" s="41"/>
      <c r="V571" s="41"/>
      <c r="W571" s="52"/>
    </row>
    <row r="572" customFormat="false" ht="12.75" hidden="false" customHeight="true" outlineLevel="0" collapsed="false">
      <c r="C572" s="70"/>
      <c r="N572" s="2"/>
      <c r="O572" s="41"/>
      <c r="P572" s="41"/>
      <c r="Q572" s="41"/>
      <c r="R572" s="41"/>
      <c r="S572" s="41"/>
      <c r="T572" s="41"/>
      <c r="U572" s="41"/>
      <c r="V572" s="41"/>
      <c r="W572" s="52"/>
    </row>
    <row r="573" customFormat="false" ht="12.75" hidden="false" customHeight="true" outlineLevel="0" collapsed="false">
      <c r="C573" s="70"/>
      <c r="N573" s="2"/>
      <c r="O573" s="41"/>
      <c r="P573" s="41"/>
      <c r="Q573" s="41"/>
      <c r="R573" s="41"/>
      <c r="S573" s="41"/>
      <c r="T573" s="41"/>
      <c r="U573" s="41"/>
      <c r="V573" s="41"/>
      <c r="W573" s="52"/>
    </row>
    <row r="574" customFormat="false" ht="12.75" hidden="false" customHeight="true" outlineLevel="0" collapsed="false">
      <c r="C574" s="70"/>
      <c r="N574" s="2"/>
      <c r="O574" s="41"/>
      <c r="P574" s="41"/>
      <c r="Q574" s="41"/>
      <c r="R574" s="41"/>
      <c r="S574" s="41"/>
      <c r="T574" s="41"/>
      <c r="U574" s="41"/>
      <c r="V574" s="41"/>
      <c r="W574" s="52"/>
    </row>
    <row r="575" customFormat="false" ht="12.75" hidden="false" customHeight="true" outlineLevel="0" collapsed="false">
      <c r="C575" s="70"/>
      <c r="N575" s="2"/>
      <c r="O575" s="41"/>
      <c r="P575" s="41"/>
      <c r="Q575" s="41"/>
      <c r="R575" s="41"/>
      <c r="S575" s="41"/>
      <c r="T575" s="41"/>
      <c r="U575" s="41"/>
      <c r="V575" s="41"/>
      <c r="W575" s="52"/>
    </row>
    <row r="576" customFormat="false" ht="12.75" hidden="false" customHeight="true" outlineLevel="0" collapsed="false">
      <c r="C576" s="70"/>
      <c r="N576" s="2"/>
      <c r="O576" s="41"/>
      <c r="P576" s="41"/>
      <c r="Q576" s="41"/>
      <c r="R576" s="41"/>
      <c r="S576" s="41"/>
      <c r="T576" s="41"/>
      <c r="U576" s="41"/>
      <c r="V576" s="41"/>
      <c r="W576" s="52"/>
    </row>
    <row r="577" customFormat="false" ht="12.75" hidden="false" customHeight="true" outlineLevel="0" collapsed="false">
      <c r="C577" s="70"/>
      <c r="N577" s="2"/>
      <c r="O577" s="41"/>
      <c r="P577" s="41"/>
      <c r="Q577" s="41"/>
      <c r="R577" s="41"/>
      <c r="S577" s="41"/>
      <c r="T577" s="41"/>
      <c r="U577" s="41"/>
      <c r="V577" s="41"/>
      <c r="W577" s="52"/>
    </row>
    <row r="578" customFormat="false" ht="12.75" hidden="false" customHeight="true" outlineLevel="0" collapsed="false">
      <c r="C578" s="70"/>
      <c r="N578" s="2"/>
      <c r="O578" s="41"/>
      <c r="P578" s="41"/>
      <c r="Q578" s="41"/>
      <c r="R578" s="41"/>
      <c r="S578" s="41"/>
      <c r="T578" s="41"/>
      <c r="U578" s="41"/>
      <c r="V578" s="41"/>
      <c r="W578" s="52"/>
    </row>
    <row r="579" customFormat="false" ht="12.75" hidden="false" customHeight="true" outlineLevel="0" collapsed="false">
      <c r="C579" s="70"/>
      <c r="N579" s="2"/>
      <c r="O579" s="41"/>
      <c r="P579" s="41"/>
      <c r="Q579" s="41"/>
      <c r="R579" s="41"/>
      <c r="S579" s="41"/>
      <c r="T579" s="41"/>
      <c r="U579" s="41"/>
      <c r="V579" s="41"/>
      <c r="W579" s="52"/>
    </row>
    <row r="580" customFormat="false" ht="12.75" hidden="false" customHeight="true" outlineLevel="0" collapsed="false">
      <c r="C580" s="70"/>
      <c r="N580" s="2"/>
      <c r="O580" s="41"/>
      <c r="P580" s="41"/>
      <c r="Q580" s="41"/>
      <c r="R580" s="41"/>
      <c r="S580" s="41"/>
      <c r="T580" s="41"/>
      <c r="U580" s="41"/>
      <c r="V580" s="41"/>
      <c r="W580" s="52"/>
    </row>
    <row r="581" customFormat="false" ht="12.75" hidden="false" customHeight="true" outlineLevel="0" collapsed="false">
      <c r="C581" s="70"/>
      <c r="N581" s="2"/>
      <c r="O581" s="41"/>
      <c r="P581" s="41"/>
      <c r="Q581" s="41"/>
      <c r="R581" s="41"/>
      <c r="S581" s="41"/>
      <c r="T581" s="41"/>
      <c r="U581" s="41"/>
      <c r="V581" s="41"/>
      <c r="W581" s="52"/>
    </row>
    <row r="582" customFormat="false" ht="12.75" hidden="false" customHeight="true" outlineLevel="0" collapsed="false">
      <c r="C582" s="70"/>
      <c r="N582" s="2"/>
      <c r="O582" s="41"/>
      <c r="P582" s="41"/>
      <c r="Q582" s="41"/>
      <c r="R582" s="41"/>
      <c r="S582" s="41"/>
      <c r="T582" s="41"/>
      <c r="U582" s="41"/>
      <c r="V582" s="41"/>
      <c r="W582" s="52"/>
    </row>
    <row r="583" customFormat="false" ht="12.75" hidden="false" customHeight="true" outlineLevel="0" collapsed="false">
      <c r="C583" s="70"/>
      <c r="N583" s="2"/>
      <c r="O583" s="41"/>
      <c r="P583" s="41"/>
      <c r="Q583" s="41"/>
      <c r="R583" s="41"/>
      <c r="S583" s="41"/>
      <c r="T583" s="41"/>
      <c r="U583" s="41"/>
      <c r="V583" s="41"/>
      <c r="W583" s="52"/>
    </row>
    <row r="584" customFormat="false" ht="12.75" hidden="false" customHeight="true" outlineLevel="0" collapsed="false">
      <c r="C584" s="70"/>
      <c r="N584" s="2"/>
      <c r="O584" s="41"/>
      <c r="P584" s="41"/>
      <c r="Q584" s="41"/>
      <c r="R584" s="41"/>
      <c r="S584" s="41"/>
      <c r="T584" s="41"/>
      <c r="U584" s="41"/>
      <c r="V584" s="41"/>
      <c r="W584" s="52"/>
    </row>
    <row r="585" customFormat="false" ht="12.75" hidden="false" customHeight="true" outlineLevel="0" collapsed="false">
      <c r="C585" s="70"/>
      <c r="N585" s="2"/>
      <c r="O585" s="41"/>
      <c r="P585" s="41"/>
      <c r="Q585" s="41"/>
      <c r="R585" s="41"/>
      <c r="S585" s="41"/>
      <c r="T585" s="41"/>
      <c r="U585" s="41"/>
      <c r="V585" s="41"/>
      <c r="W585" s="52"/>
    </row>
    <row r="586" customFormat="false" ht="12.75" hidden="false" customHeight="true" outlineLevel="0" collapsed="false">
      <c r="C586" s="70"/>
      <c r="N586" s="2"/>
      <c r="O586" s="41"/>
      <c r="P586" s="41"/>
      <c r="Q586" s="41"/>
      <c r="R586" s="41"/>
      <c r="S586" s="41"/>
      <c r="T586" s="41"/>
      <c r="U586" s="41"/>
      <c r="V586" s="41"/>
      <c r="W586" s="52"/>
    </row>
    <row r="587" customFormat="false" ht="12.75" hidden="false" customHeight="true" outlineLevel="0" collapsed="false">
      <c r="C587" s="70"/>
      <c r="N587" s="2"/>
      <c r="O587" s="41"/>
      <c r="P587" s="41"/>
      <c r="Q587" s="41"/>
      <c r="R587" s="41"/>
      <c r="S587" s="41"/>
      <c r="T587" s="41"/>
      <c r="U587" s="41"/>
      <c r="V587" s="41"/>
      <c r="W587" s="52"/>
    </row>
    <row r="588" customFormat="false" ht="12.75" hidden="false" customHeight="true" outlineLevel="0" collapsed="false">
      <c r="C588" s="70"/>
      <c r="N588" s="2"/>
      <c r="O588" s="41"/>
      <c r="P588" s="41"/>
      <c r="Q588" s="41"/>
      <c r="R588" s="41"/>
      <c r="S588" s="41"/>
      <c r="T588" s="41"/>
      <c r="U588" s="41"/>
      <c r="V588" s="41"/>
      <c r="W588" s="52"/>
    </row>
    <row r="589" customFormat="false" ht="12.75" hidden="false" customHeight="true" outlineLevel="0" collapsed="false">
      <c r="C589" s="70"/>
      <c r="N589" s="2"/>
      <c r="O589" s="41"/>
      <c r="P589" s="41"/>
      <c r="Q589" s="41"/>
      <c r="R589" s="41"/>
      <c r="S589" s="41"/>
      <c r="T589" s="41"/>
      <c r="U589" s="41"/>
      <c r="V589" s="41"/>
      <c r="W589" s="52"/>
    </row>
    <row r="590" customFormat="false" ht="12.75" hidden="false" customHeight="true" outlineLevel="0" collapsed="false">
      <c r="C590" s="70"/>
      <c r="N590" s="2"/>
      <c r="O590" s="41"/>
      <c r="P590" s="41"/>
      <c r="Q590" s="41"/>
      <c r="R590" s="41"/>
      <c r="S590" s="41"/>
      <c r="T590" s="41"/>
      <c r="U590" s="41"/>
      <c r="V590" s="41"/>
      <c r="W590" s="52"/>
    </row>
    <row r="591" customFormat="false" ht="12.75" hidden="false" customHeight="true" outlineLevel="0" collapsed="false">
      <c r="C591" s="70"/>
      <c r="N591" s="2"/>
      <c r="O591" s="41"/>
      <c r="P591" s="41"/>
      <c r="Q591" s="41"/>
      <c r="R591" s="41"/>
      <c r="S591" s="41"/>
      <c r="T591" s="41"/>
      <c r="U591" s="41"/>
      <c r="V591" s="41"/>
      <c r="W591" s="52"/>
    </row>
    <row r="592" customFormat="false" ht="12.75" hidden="false" customHeight="true" outlineLevel="0" collapsed="false">
      <c r="C592" s="70"/>
      <c r="N592" s="2"/>
      <c r="O592" s="41"/>
      <c r="P592" s="41"/>
      <c r="Q592" s="41"/>
      <c r="R592" s="41"/>
      <c r="S592" s="41"/>
      <c r="T592" s="41"/>
      <c r="U592" s="41"/>
      <c r="V592" s="41"/>
      <c r="W592" s="52"/>
    </row>
    <row r="593" customFormat="false" ht="12.75" hidden="false" customHeight="true" outlineLevel="0" collapsed="false">
      <c r="C593" s="70"/>
      <c r="N593" s="2"/>
      <c r="O593" s="41"/>
      <c r="P593" s="41"/>
      <c r="Q593" s="41"/>
      <c r="R593" s="41"/>
      <c r="S593" s="41"/>
      <c r="T593" s="41"/>
      <c r="U593" s="41"/>
      <c r="V593" s="41"/>
      <c r="W593" s="52"/>
    </row>
    <row r="594" customFormat="false" ht="12.75" hidden="false" customHeight="true" outlineLevel="0" collapsed="false">
      <c r="C594" s="70"/>
      <c r="N594" s="2"/>
      <c r="O594" s="41"/>
      <c r="P594" s="41"/>
      <c r="Q594" s="41"/>
      <c r="R594" s="41"/>
      <c r="S594" s="41"/>
      <c r="T594" s="41"/>
      <c r="U594" s="41"/>
      <c r="V594" s="41"/>
      <c r="W594" s="52"/>
    </row>
    <row r="595" customFormat="false" ht="12.75" hidden="false" customHeight="true" outlineLevel="0" collapsed="false">
      <c r="C595" s="70"/>
      <c r="N595" s="2"/>
      <c r="O595" s="41"/>
      <c r="P595" s="41"/>
      <c r="Q595" s="41"/>
      <c r="R595" s="41"/>
      <c r="S595" s="41"/>
      <c r="T595" s="41"/>
      <c r="U595" s="41"/>
      <c r="V595" s="41"/>
      <c r="W595" s="52"/>
    </row>
    <row r="596" customFormat="false" ht="12.75" hidden="false" customHeight="true" outlineLevel="0" collapsed="false">
      <c r="C596" s="70"/>
      <c r="N596" s="2"/>
      <c r="O596" s="41"/>
      <c r="P596" s="41"/>
      <c r="Q596" s="41"/>
      <c r="R596" s="41"/>
      <c r="S596" s="41"/>
      <c r="T596" s="41"/>
      <c r="U596" s="41"/>
      <c r="V596" s="41"/>
      <c r="W596" s="52"/>
    </row>
    <row r="597" customFormat="false" ht="12.75" hidden="false" customHeight="true" outlineLevel="0" collapsed="false">
      <c r="C597" s="70"/>
      <c r="N597" s="2"/>
      <c r="O597" s="41"/>
      <c r="P597" s="41"/>
      <c r="Q597" s="41"/>
      <c r="R597" s="41"/>
      <c r="S597" s="41"/>
      <c r="T597" s="41"/>
      <c r="U597" s="41"/>
      <c r="V597" s="41"/>
      <c r="W597" s="52"/>
    </row>
    <row r="598" customFormat="false" ht="12.75" hidden="false" customHeight="true" outlineLevel="0" collapsed="false">
      <c r="C598" s="70"/>
      <c r="N598" s="2"/>
      <c r="O598" s="41"/>
      <c r="P598" s="41"/>
      <c r="Q598" s="41"/>
      <c r="R598" s="41"/>
      <c r="S598" s="41"/>
      <c r="T598" s="41"/>
      <c r="U598" s="41"/>
      <c r="V598" s="41"/>
      <c r="W598" s="52"/>
    </row>
    <row r="599" customFormat="false" ht="12.75" hidden="false" customHeight="true" outlineLevel="0" collapsed="false">
      <c r="C599" s="70"/>
      <c r="N599" s="2"/>
      <c r="O599" s="41"/>
      <c r="P599" s="41"/>
      <c r="Q599" s="41"/>
      <c r="R599" s="41"/>
      <c r="S599" s="41"/>
      <c r="T599" s="41"/>
      <c r="U599" s="41"/>
      <c r="V599" s="41"/>
      <c r="W599" s="52"/>
    </row>
    <row r="600" customFormat="false" ht="12.75" hidden="false" customHeight="true" outlineLevel="0" collapsed="false">
      <c r="C600" s="70"/>
      <c r="N600" s="2"/>
      <c r="O600" s="41"/>
      <c r="P600" s="41"/>
      <c r="Q600" s="41"/>
      <c r="R600" s="41"/>
      <c r="S600" s="41"/>
      <c r="T600" s="41"/>
      <c r="U600" s="41"/>
      <c r="V600" s="41"/>
      <c r="W600" s="52"/>
    </row>
    <row r="601" customFormat="false" ht="12.75" hidden="false" customHeight="true" outlineLevel="0" collapsed="false">
      <c r="C601" s="70"/>
      <c r="N601" s="2"/>
      <c r="O601" s="41"/>
      <c r="P601" s="41"/>
      <c r="Q601" s="41"/>
      <c r="R601" s="41"/>
      <c r="S601" s="41"/>
      <c r="T601" s="41"/>
      <c r="U601" s="41"/>
      <c r="V601" s="41"/>
      <c r="W601" s="52"/>
    </row>
    <row r="602" customFormat="false" ht="12.75" hidden="false" customHeight="true" outlineLevel="0" collapsed="false">
      <c r="C602" s="70"/>
      <c r="N602" s="2"/>
      <c r="O602" s="41"/>
      <c r="P602" s="41"/>
      <c r="Q602" s="41"/>
      <c r="R602" s="41"/>
      <c r="S602" s="41"/>
      <c r="T602" s="41"/>
      <c r="U602" s="41"/>
      <c r="V602" s="41"/>
      <c r="W602" s="52"/>
    </row>
    <row r="603" customFormat="false" ht="12.75" hidden="false" customHeight="true" outlineLevel="0" collapsed="false">
      <c r="C603" s="70"/>
      <c r="N603" s="2"/>
      <c r="O603" s="41"/>
      <c r="P603" s="41"/>
      <c r="Q603" s="41"/>
      <c r="R603" s="41"/>
      <c r="S603" s="41"/>
      <c r="T603" s="41"/>
      <c r="U603" s="41"/>
      <c r="V603" s="41"/>
      <c r="W603" s="52"/>
    </row>
    <row r="604" customFormat="false" ht="12.75" hidden="false" customHeight="true" outlineLevel="0" collapsed="false">
      <c r="C604" s="70"/>
      <c r="N604" s="2"/>
      <c r="O604" s="41"/>
      <c r="P604" s="41"/>
      <c r="Q604" s="41"/>
      <c r="R604" s="41"/>
      <c r="S604" s="41"/>
      <c r="T604" s="41"/>
      <c r="U604" s="41"/>
      <c r="V604" s="41"/>
      <c r="W604" s="52"/>
    </row>
    <row r="605" customFormat="false" ht="12.75" hidden="false" customHeight="true" outlineLevel="0" collapsed="false">
      <c r="C605" s="70"/>
      <c r="N605" s="2"/>
      <c r="O605" s="41"/>
      <c r="P605" s="41"/>
      <c r="Q605" s="41"/>
      <c r="R605" s="41"/>
      <c r="S605" s="41"/>
      <c r="T605" s="41"/>
      <c r="U605" s="41"/>
      <c r="V605" s="41"/>
      <c r="W605" s="52"/>
    </row>
    <row r="606" customFormat="false" ht="12.75" hidden="false" customHeight="true" outlineLevel="0" collapsed="false">
      <c r="C606" s="70"/>
      <c r="N606" s="2"/>
      <c r="O606" s="41"/>
      <c r="P606" s="41"/>
      <c r="Q606" s="41"/>
      <c r="R606" s="41"/>
      <c r="S606" s="41"/>
      <c r="T606" s="41"/>
      <c r="U606" s="41"/>
      <c r="V606" s="41"/>
      <c r="W606" s="52"/>
    </row>
    <row r="607" customFormat="false" ht="12.75" hidden="false" customHeight="true" outlineLevel="0" collapsed="false">
      <c r="C607" s="70"/>
      <c r="N607" s="2"/>
      <c r="O607" s="41"/>
      <c r="P607" s="41"/>
      <c r="Q607" s="41"/>
      <c r="R607" s="41"/>
      <c r="S607" s="41"/>
      <c r="T607" s="41"/>
      <c r="U607" s="41"/>
      <c r="V607" s="41"/>
      <c r="W607" s="52"/>
    </row>
    <row r="608" customFormat="false" ht="12.75" hidden="false" customHeight="true" outlineLevel="0" collapsed="false">
      <c r="C608" s="70"/>
      <c r="N608" s="2"/>
      <c r="O608" s="41"/>
      <c r="P608" s="41"/>
      <c r="Q608" s="41"/>
      <c r="R608" s="41"/>
      <c r="S608" s="41"/>
      <c r="T608" s="41"/>
      <c r="U608" s="41"/>
      <c r="V608" s="41"/>
      <c r="W608" s="52"/>
    </row>
    <row r="609" customFormat="false" ht="12.75" hidden="false" customHeight="true" outlineLevel="0" collapsed="false">
      <c r="C609" s="70"/>
      <c r="N609" s="2"/>
      <c r="O609" s="41"/>
      <c r="P609" s="41"/>
      <c r="Q609" s="41"/>
      <c r="R609" s="41"/>
      <c r="S609" s="41"/>
      <c r="T609" s="41"/>
      <c r="U609" s="41"/>
      <c r="V609" s="41"/>
      <c r="W609" s="52"/>
    </row>
    <row r="610" customFormat="false" ht="12.75" hidden="false" customHeight="true" outlineLevel="0" collapsed="false">
      <c r="C610" s="70"/>
      <c r="N610" s="2"/>
      <c r="O610" s="41"/>
      <c r="P610" s="41"/>
      <c r="Q610" s="41"/>
      <c r="R610" s="41"/>
      <c r="S610" s="41"/>
      <c r="T610" s="41"/>
      <c r="U610" s="41"/>
      <c r="V610" s="41"/>
      <c r="W610" s="52"/>
    </row>
    <row r="611" customFormat="false" ht="12.75" hidden="false" customHeight="true" outlineLevel="0" collapsed="false">
      <c r="C611" s="70"/>
      <c r="N611" s="2"/>
      <c r="O611" s="41"/>
      <c r="P611" s="41"/>
      <c r="Q611" s="41"/>
      <c r="R611" s="41"/>
      <c r="S611" s="41"/>
      <c r="T611" s="41"/>
      <c r="U611" s="41"/>
      <c r="V611" s="41"/>
      <c r="W611" s="52"/>
    </row>
    <row r="612" customFormat="false" ht="12.75" hidden="false" customHeight="true" outlineLevel="0" collapsed="false">
      <c r="C612" s="70"/>
      <c r="N612" s="2"/>
      <c r="O612" s="41"/>
      <c r="P612" s="41"/>
      <c r="Q612" s="41"/>
      <c r="R612" s="41"/>
      <c r="S612" s="41"/>
      <c r="T612" s="41"/>
      <c r="U612" s="41"/>
      <c r="V612" s="41"/>
      <c r="W612" s="52"/>
    </row>
    <row r="613" customFormat="false" ht="12.75" hidden="false" customHeight="true" outlineLevel="0" collapsed="false">
      <c r="C613" s="70"/>
      <c r="N613" s="2"/>
      <c r="O613" s="41"/>
      <c r="P613" s="41"/>
      <c r="Q613" s="41"/>
      <c r="R613" s="41"/>
      <c r="S613" s="41"/>
      <c r="T613" s="41"/>
      <c r="U613" s="41"/>
      <c r="V613" s="41"/>
      <c r="W613" s="52"/>
    </row>
    <row r="614" customFormat="false" ht="12.75" hidden="false" customHeight="true" outlineLevel="0" collapsed="false">
      <c r="C614" s="70"/>
      <c r="N614" s="2"/>
      <c r="O614" s="41"/>
      <c r="P614" s="41"/>
      <c r="Q614" s="41"/>
      <c r="R614" s="41"/>
      <c r="S614" s="41"/>
      <c r="T614" s="41"/>
      <c r="U614" s="41"/>
      <c r="V614" s="41"/>
      <c r="W614" s="52"/>
    </row>
    <row r="615" customFormat="false" ht="12.75" hidden="false" customHeight="true" outlineLevel="0" collapsed="false">
      <c r="C615" s="70"/>
      <c r="N615" s="2"/>
      <c r="O615" s="41"/>
      <c r="P615" s="41"/>
      <c r="Q615" s="41"/>
      <c r="R615" s="41"/>
      <c r="S615" s="41"/>
      <c r="T615" s="41"/>
      <c r="U615" s="41"/>
      <c r="V615" s="41"/>
      <c r="W615" s="52"/>
    </row>
    <row r="616" customFormat="false" ht="12.75" hidden="false" customHeight="true" outlineLevel="0" collapsed="false">
      <c r="C616" s="70"/>
      <c r="N616" s="2"/>
      <c r="O616" s="41"/>
      <c r="P616" s="41"/>
      <c r="Q616" s="41"/>
      <c r="R616" s="41"/>
      <c r="S616" s="41"/>
      <c r="T616" s="41"/>
      <c r="U616" s="41"/>
      <c r="V616" s="41"/>
      <c r="W616" s="52"/>
    </row>
    <row r="617" customFormat="false" ht="12.75" hidden="false" customHeight="true" outlineLevel="0" collapsed="false">
      <c r="C617" s="70"/>
      <c r="N617" s="2"/>
      <c r="O617" s="41"/>
      <c r="P617" s="41"/>
      <c r="Q617" s="41"/>
      <c r="R617" s="41"/>
      <c r="S617" s="41"/>
      <c r="T617" s="41"/>
      <c r="U617" s="41"/>
      <c r="V617" s="41"/>
      <c r="W617" s="52"/>
    </row>
    <row r="618" customFormat="false" ht="12.75" hidden="false" customHeight="true" outlineLevel="0" collapsed="false">
      <c r="C618" s="70"/>
      <c r="N618" s="2"/>
      <c r="O618" s="41"/>
      <c r="P618" s="41"/>
      <c r="Q618" s="41"/>
      <c r="R618" s="41"/>
      <c r="S618" s="41"/>
      <c r="T618" s="41"/>
      <c r="U618" s="41"/>
      <c r="V618" s="41"/>
      <c r="W618" s="52"/>
    </row>
    <row r="619" customFormat="false" ht="12.75" hidden="false" customHeight="true" outlineLevel="0" collapsed="false">
      <c r="C619" s="70"/>
      <c r="N619" s="2"/>
      <c r="O619" s="41"/>
      <c r="P619" s="41"/>
      <c r="Q619" s="41"/>
      <c r="R619" s="41"/>
      <c r="S619" s="41"/>
      <c r="T619" s="41"/>
      <c r="U619" s="41"/>
      <c r="V619" s="41"/>
      <c r="W619" s="52"/>
    </row>
    <row r="620" customFormat="false" ht="12.75" hidden="false" customHeight="true" outlineLevel="0" collapsed="false">
      <c r="C620" s="70"/>
      <c r="N620" s="2"/>
      <c r="O620" s="41"/>
      <c r="P620" s="41"/>
      <c r="Q620" s="41"/>
      <c r="R620" s="41"/>
      <c r="S620" s="41"/>
      <c r="T620" s="41"/>
      <c r="U620" s="41"/>
      <c r="V620" s="41"/>
      <c r="W620" s="52"/>
    </row>
    <row r="621" customFormat="false" ht="12.75" hidden="false" customHeight="true" outlineLevel="0" collapsed="false">
      <c r="C621" s="70"/>
      <c r="N621" s="2"/>
      <c r="O621" s="41"/>
      <c r="P621" s="41"/>
      <c r="Q621" s="41"/>
      <c r="R621" s="41"/>
      <c r="S621" s="41"/>
      <c r="T621" s="41"/>
      <c r="U621" s="41"/>
      <c r="V621" s="41"/>
      <c r="W621" s="52"/>
    </row>
    <row r="622" customFormat="false" ht="12.75" hidden="false" customHeight="true" outlineLevel="0" collapsed="false">
      <c r="C622" s="70"/>
      <c r="N622" s="2"/>
      <c r="O622" s="41"/>
      <c r="P622" s="41"/>
      <c r="Q622" s="41"/>
      <c r="R622" s="41"/>
      <c r="S622" s="41"/>
      <c r="T622" s="41"/>
      <c r="U622" s="41"/>
      <c r="V622" s="41"/>
      <c r="W622" s="52"/>
    </row>
    <row r="623" customFormat="false" ht="12.75" hidden="false" customHeight="true" outlineLevel="0" collapsed="false">
      <c r="C623" s="70"/>
      <c r="N623" s="2"/>
      <c r="O623" s="41"/>
      <c r="P623" s="41"/>
      <c r="Q623" s="41"/>
      <c r="R623" s="41"/>
      <c r="S623" s="41"/>
      <c r="T623" s="41"/>
      <c r="U623" s="41"/>
      <c r="V623" s="41"/>
      <c r="W623" s="52"/>
    </row>
    <row r="624" customFormat="false" ht="12.75" hidden="false" customHeight="true" outlineLevel="0" collapsed="false">
      <c r="C624" s="70"/>
      <c r="N624" s="2"/>
      <c r="O624" s="41"/>
      <c r="P624" s="41"/>
      <c r="Q624" s="41"/>
      <c r="R624" s="41"/>
      <c r="S624" s="41"/>
      <c r="T624" s="41"/>
      <c r="U624" s="41"/>
      <c r="V624" s="41"/>
      <c r="W624" s="52"/>
    </row>
    <row r="625" customFormat="false" ht="12.75" hidden="false" customHeight="true" outlineLevel="0" collapsed="false">
      <c r="C625" s="70"/>
      <c r="N625" s="2"/>
      <c r="O625" s="41"/>
      <c r="P625" s="41"/>
      <c r="Q625" s="41"/>
      <c r="R625" s="41"/>
      <c r="S625" s="41"/>
      <c r="T625" s="41"/>
      <c r="U625" s="41"/>
      <c r="V625" s="41"/>
      <c r="W625" s="52"/>
    </row>
    <row r="626" customFormat="false" ht="12.75" hidden="false" customHeight="true" outlineLevel="0" collapsed="false">
      <c r="C626" s="70"/>
      <c r="N626" s="2"/>
      <c r="O626" s="41"/>
      <c r="P626" s="41"/>
      <c r="Q626" s="41"/>
      <c r="R626" s="41"/>
      <c r="S626" s="41"/>
      <c r="T626" s="41"/>
      <c r="U626" s="41"/>
      <c r="V626" s="41"/>
      <c r="W626" s="52"/>
    </row>
    <row r="627" customFormat="false" ht="12.75" hidden="false" customHeight="true" outlineLevel="0" collapsed="false">
      <c r="C627" s="70"/>
      <c r="N627" s="2"/>
      <c r="O627" s="41"/>
      <c r="P627" s="41"/>
      <c r="Q627" s="41"/>
      <c r="R627" s="41"/>
      <c r="S627" s="41"/>
      <c r="T627" s="41"/>
      <c r="U627" s="41"/>
      <c r="V627" s="41"/>
      <c r="W627" s="52"/>
    </row>
    <row r="628" customFormat="false" ht="12.75" hidden="false" customHeight="true" outlineLevel="0" collapsed="false">
      <c r="C628" s="70"/>
      <c r="N628" s="2"/>
      <c r="O628" s="41"/>
      <c r="P628" s="41"/>
      <c r="Q628" s="41"/>
      <c r="R628" s="41"/>
      <c r="S628" s="41"/>
      <c r="T628" s="41"/>
      <c r="U628" s="41"/>
      <c r="V628" s="41"/>
      <c r="W628" s="52"/>
    </row>
    <row r="629" customFormat="false" ht="12.75" hidden="false" customHeight="true" outlineLevel="0" collapsed="false">
      <c r="C629" s="70"/>
      <c r="N629" s="2"/>
      <c r="O629" s="41"/>
      <c r="P629" s="41"/>
      <c r="Q629" s="41"/>
      <c r="R629" s="41"/>
      <c r="S629" s="41"/>
      <c r="T629" s="41"/>
      <c r="U629" s="41"/>
      <c r="V629" s="41"/>
      <c r="W629" s="52"/>
    </row>
    <row r="630" customFormat="false" ht="12.75" hidden="false" customHeight="true" outlineLevel="0" collapsed="false">
      <c r="C630" s="70"/>
      <c r="N630" s="2"/>
      <c r="O630" s="41"/>
      <c r="P630" s="41"/>
      <c r="Q630" s="41"/>
      <c r="R630" s="41"/>
      <c r="S630" s="41"/>
      <c r="T630" s="41"/>
      <c r="U630" s="41"/>
      <c r="V630" s="41"/>
      <c r="W630" s="52"/>
    </row>
    <row r="631" customFormat="false" ht="12.75" hidden="false" customHeight="true" outlineLevel="0" collapsed="false">
      <c r="C631" s="70"/>
      <c r="N631" s="2"/>
      <c r="O631" s="41"/>
      <c r="P631" s="41"/>
      <c r="Q631" s="41"/>
      <c r="R631" s="41"/>
      <c r="S631" s="41"/>
      <c r="T631" s="41"/>
      <c r="U631" s="41"/>
      <c r="V631" s="41"/>
      <c r="W631" s="52"/>
    </row>
    <row r="632" customFormat="false" ht="12.75" hidden="false" customHeight="true" outlineLevel="0" collapsed="false">
      <c r="C632" s="70"/>
      <c r="N632" s="2"/>
      <c r="O632" s="41"/>
      <c r="P632" s="41"/>
      <c r="Q632" s="41"/>
      <c r="R632" s="41"/>
      <c r="S632" s="41"/>
      <c r="T632" s="41"/>
      <c r="U632" s="41"/>
      <c r="V632" s="41"/>
      <c r="W632" s="52"/>
    </row>
    <row r="633" customFormat="false" ht="12.75" hidden="false" customHeight="true" outlineLevel="0" collapsed="false">
      <c r="C633" s="70"/>
      <c r="N633" s="2"/>
      <c r="O633" s="41"/>
      <c r="P633" s="41"/>
      <c r="Q633" s="41"/>
      <c r="R633" s="41"/>
      <c r="S633" s="41"/>
      <c r="T633" s="41"/>
      <c r="U633" s="41"/>
      <c r="V633" s="41"/>
      <c r="W633" s="52"/>
    </row>
    <row r="634" customFormat="false" ht="12.75" hidden="false" customHeight="true" outlineLevel="0" collapsed="false">
      <c r="C634" s="70"/>
      <c r="N634" s="2"/>
      <c r="O634" s="41"/>
      <c r="P634" s="41"/>
      <c r="Q634" s="41"/>
      <c r="R634" s="41"/>
      <c r="S634" s="41"/>
      <c r="T634" s="41"/>
      <c r="U634" s="41"/>
      <c r="V634" s="41"/>
      <c r="W634" s="52"/>
    </row>
    <row r="635" customFormat="false" ht="12.75" hidden="false" customHeight="true" outlineLevel="0" collapsed="false">
      <c r="C635" s="70"/>
      <c r="N635" s="2"/>
      <c r="O635" s="41"/>
      <c r="P635" s="41"/>
      <c r="Q635" s="41"/>
      <c r="R635" s="41"/>
      <c r="S635" s="41"/>
      <c r="T635" s="41"/>
      <c r="U635" s="41"/>
      <c r="V635" s="41"/>
      <c r="W635" s="52"/>
    </row>
    <row r="636" customFormat="false" ht="12.75" hidden="false" customHeight="true" outlineLevel="0" collapsed="false">
      <c r="C636" s="70"/>
      <c r="N636" s="2"/>
      <c r="O636" s="41"/>
      <c r="P636" s="41"/>
      <c r="Q636" s="41"/>
      <c r="R636" s="41"/>
      <c r="S636" s="41"/>
      <c r="T636" s="41"/>
      <c r="U636" s="41"/>
      <c r="V636" s="41"/>
      <c r="W636" s="52"/>
    </row>
    <row r="637" customFormat="false" ht="12.75" hidden="false" customHeight="true" outlineLevel="0" collapsed="false">
      <c r="C637" s="70"/>
      <c r="N637" s="2"/>
      <c r="O637" s="41"/>
      <c r="P637" s="41"/>
      <c r="Q637" s="41"/>
      <c r="R637" s="41"/>
      <c r="S637" s="41"/>
      <c r="T637" s="41"/>
      <c r="U637" s="41"/>
      <c r="V637" s="41"/>
      <c r="W637" s="52"/>
    </row>
    <row r="638" customFormat="false" ht="12.75" hidden="false" customHeight="true" outlineLevel="0" collapsed="false">
      <c r="C638" s="70"/>
      <c r="N638" s="2"/>
      <c r="O638" s="41"/>
      <c r="P638" s="41"/>
      <c r="Q638" s="41"/>
      <c r="R638" s="41"/>
      <c r="S638" s="41"/>
      <c r="T638" s="41"/>
      <c r="U638" s="41"/>
      <c r="V638" s="41"/>
      <c r="W638" s="52"/>
    </row>
    <row r="639" customFormat="false" ht="12.75" hidden="false" customHeight="true" outlineLevel="0" collapsed="false">
      <c r="C639" s="70"/>
      <c r="N639" s="2"/>
      <c r="O639" s="41"/>
      <c r="P639" s="41"/>
      <c r="Q639" s="41"/>
      <c r="R639" s="41"/>
      <c r="S639" s="41"/>
      <c r="T639" s="41"/>
      <c r="U639" s="41"/>
      <c r="V639" s="41"/>
      <c r="W639" s="52"/>
    </row>
    <row r="640" customFormat="false" ht="12.75" hidden="false" customHeight="true" outlineLevel="0" collapsed="false">
      <c r="C640" s="70"/>
      <c r="N640" s="2"/>
      <c r="O640" s="41"/>
      <c r="P640" s="41"/>
      <c r="Q640" s="41"/>
      <c r="R640" s="41"/>
      <c r="S640" s="41"/>
      <c r="T640" s="41"/>
      <c r="U640" s="41"/>
      <c r="V640" s="41"/>
      <c r="W640" s="52"/>
    </row>
    <row r="641" customFormat="false" ht="12.75" hidden="false" customHeight="true" outlineLevel="0" collapsed="false">
      <c r="C641" s="70"/>
      <c r="N641" s="2"/>
      <c r="O641" s="41"/>
      <c r="P641" s="41"/>
      <c r="Q641" s="41"/>
      <c r="R641" s="41"/>
      <c r="S641" s="41"/>
      <c r="T641" s="41"/>
      <c r="U641" s="41"/>
      <c r="V641" s="41"/>
      <c r="W641" s="52"/>
    </row>
    <row r="642" customFormat="false" ht="12.75" hidden="false" customHeight="true" outlineLevel="0" collapsed="false">
      <c r="C642" s="70"/>
      <c r="N642" s="2"/>
      <c r="O642" s="41"/>
      <c r="P642" s="41"/>
      <c r="Q642" s="41"/>
      <c r="R642" s="41"/>
      <c r="S642" s="41"/>
      <c r="T642" s="41"/>
      <c r="U642" s="41"/>
      <c r="V642" s="41"/>
      <c r="W642" s="52"/>
    </row>
    <row r="643" customFormat="false" ht="12.75" hidden="false" customHeight="true" outlineLevel="0" collapsed="false">
      <c r="C643" s="70"/>
      <c r="N643" s="2"/>
      <c r="O643" s="41"/>
      <c r="P643" s="41"/>
      <c r="Q643" s="41"/>
      <c r="R643" s="41"/>
      <c r="S643" s="41"/>
      <c r="T643" s="41"/>
      <c r="U643" s="41"/>
      <c r="V643" s="41"/>
      <c r="W643" s="52"/>
    </row>
    <row r="644" customFormat="false" ht="12.75" hidden="false" customHeight="true" outlineLevel="0" collapsed="false">
      <c r="C644" s="70"/>
      <c r="N644" s="2"/>
      <c r="O644" s="41"/>
      <c r="P644" s="41"/>
      <c r="Q644" s="41"/>
      <c r="R644" s="41"/>
      <c r="S644" s="41"/>
      <c r="T644" s="41"/>
      <c r="U644" s="41"/>
      <c r="V644" s="41"/>
      <c r="W644" s="52"/>
    </row>
    <row r="645" customFormat="false" ht="12.75" hidden="false" customHeight="true" outlineLevel="0" collapsed="false">
      <c r="C645" s="70"/>
      <c r="N645" s="2"/>
      <c r="O645" s="41"/>
      <c r="P645" s="41"/>
      <c r="Q645" s="41"/>
      <c r="R645" s="41"/>
      <c r="S645" s="41"/>
      <c r="T645" s="41"/>
      <c r="U645" s="41"/>
      <c r="V645" s="41"/>
      <c r="W645" s="52"/>
    </row>
    <row r="646" customFormat="false" ht="12.75" hidden="false" customHeight="true" outlineLevel="0" collapsed="false">
      <c r="C646" s="70"/>
      <c r="N646" s="2"/>
      <c r="O646" s="41"/>
      <c r="P646" s="41"/>
      <c r="Q646" s="41"/>
      <c r="R646" s="41"/>
      <c r="S646" s="41"/>
      <c r="T646" s="41"/>
      <c r="U646" s="41"/>
      <c r="V646" s="41"/>
      <c r="W646" s="52"/>
    </row>
    <row r="647" customFormat="false" ht="12.75" hidden="false" customHeight="true" outlineLevel="0" collapsed="false">
      <c r="C647" s="70"/>
      <c r="N647" s="2"/>
      <c r="O647" s="41"/>
      <c r="P647" s="41"/>
      <c r="Q647" s="41"/>
      <c r="R647" s="41"/>
      <c r="S647" s="41"/>
      <c r="T647" s="41"/>
      <c r="U647" s="41"/>
      <c r="V647" s="41"/>
      <c r="W647" s="52"/>
    </row>
    <row r="648" customFormat="false" ht="12.75" hidden="false" customHeight="true" outlineLevel="0" collapsed="false">
      <c r="C648" s="70"/>
      <c r="N648" s="2"/>
      <c r="O648" s="41"/>
      <c r="P648" s="41"/>
      <c r="Q648" s="41"/>
      <c r="R648" s="41"/>
      <c r="S648" s="41"/>
      <c r="T648" s="41"/>
      <c r="U648" s="41"/>
      <c r="V648" s="41"/>
      <c r="W648" s="52"/>
    </row>
    <row r="649" customFormat="false" ht="12.75" hidden="false" customHeight="true" outlineLevel="0" collapsed="false">
      <c r="C649" s="70"/>
      <c r="N649" s="2"/>
      <c r="O649" s="41"/>
      <c r="P649" s="41"/>
      <c r="Q649" s="41"/>
      <c r="R649" s="41"/>
      <c r="S649" s="41"/>
      <c r="T649" s="41"/>
      <c r="U649" s="41"/>
      <c r="V649" s="41"/>
      <c r="W649" s="52"/>
    </row>
    <row r="650" customFormat="false" ht="12.75" hidden="false" customHeight="true" outlineLevel="0" collapsed="false">
      <c r="C650" s="70"/>
      <c r="N650" s="2"/>
      <c r="O650" s="41"/>
      <c r="P650" s="41"/>
      <c r="Q650" s="41"/>
      <c r="R650" s="41"/>
      <c r="S650" s="41"/>
      <c r="T650" s="41"/>
      <c r="U650" s="41"/>
      <c r="V650" s="41"/>
      <c r="W650" s="52"/>
    </row>
    <row r="651" customFormat="false" ht="12.75" hidden="false" customHeight="true" outlineLevel="0" collapsed="false">
      <c r="C651" s="70"/>
      <c r="N651" s="2"/>
      <c r="O651" s="41"/>
      <c r="P651" s="41"/>
      <c r="Q651" s="41"/>
      <c r="R651" s="41"/>
      <c r="S651" s="41"/>
      <c r="T651" s="41"/>
      <c r="U651" s="41"/>
      <c r="V651" s="41"/>
      <c r="W651" s="52"/>
    </row>
    <row r="652" customFormat="false" ht="12.75" hidden="false" customHeight="true" outlineLevel="0" collapsed="false">
      <c r="C652" s="70"/>
      <c r="N652" s="2"/>
      <c r="O652" s="41"/>
      <c r="P652" s="41"/>
      <c r="Q652" s="41"/>
      <c r="R652" s="41"/>
      <c r="S652" s="41"/>
      <c r="T652" s="41"/>
      <c r="U652" s="41"/>
      <c r="V652" s="41"/>
      <c r="W652" s="52"/>
    </row>
    <row r="653" customFormat="false" ht="12.75" hidden="false" customHeight="true" outlineLevel="0" collapsed="false">
      <c r="C653" s="70"/>
      <c r="N653" s="2"/>
      <c r="O653" s="41"/>
      <c r="P653" s="41"/>
      <c r="Q653" s="41"/>
      <c r="R653" s="41"/>
      <c r="S653" s="41"/>
      <c r="T653" s="41"/>
      <c r="U653" s="41"/>
      <c r="V653" s="41"/>
      <c r="W653" s="52"/>
    </row>
    <row r="654" customFormat="false" ht="12.75" hidden="false" customHeight="true" outlineLevel="0" collapsed="false">
      <c r="C654" s="70"/>
      <c r="N654" s="2"/>
      <c r="O654" s="41"/>
      <c r="P654" s="41"/>
      <c r="Q654" s="41"/>
      <c r="R654" s="41"/>
      <c r="S654" s="41"/>
      <c r="T654" s="41"/>
      <c r="U654" s="41"/>
      <c r="V654" s="41"/>
      <c r="W654" s="52"/>
    </row>
    <row r="655" customFormat="false" ht="12.75" hidden="false" customHeight="true" outlineLevel="0" collapsed="false">
      <c r="C655" s="70"/>
      <c r="N655" s="2"/>
      <c r="O655" s="41"/>
      <c r="P655" s="41"/>
      <c r="Q655" s="41"/>
      <c r="R655" s="41"/>
      <c r="S655" s="41"/>
      <c r="T655" s="41"/>
      <c r="U655" s="41"/>
      <c r="V655" s="41"/>
      <c r="W655" s="52"/>
    </row>
    <row r="656" customFormat="false" ht="12.75" hidden="false" customHeight="true" outlineLevel="0" collapsed="false">
      <c r="C656" s="70"/>
      <c r="N656" s="2"/>
      <c r="O656" s="41"/>
      <c r="P656" s="41"/>
      <c r="Q656" s="41"/>
      <c r="R656" s="41"/>
      <c r="S656" s="41"/>
      <c r="T656" s="41"/>
      <c r="U656" s="41"/>
      <c r="V656" s="41"/>
      <c r="W656" s="52"/>
    </row>
    <row r="657" customFormat="false" ht="12.75" hidden="false" customHeight="true" outlineLevel="0" collapsed="false">
      <c r="C657" s="70"/>
      <c r="N657" s="2"/>
      <c r="O657" s="41"/>
      <c r="P657" s="41"/>
      <c r="Q657" s="41"/>
      <c r="R657" s="41"/>
      <c r="S657" s="41"/>
      <c r="T657" s="41"/>
      <c r="U657" s="41"/>
      <c r="V657" s="41"/>
      <c r="W657" s="52"/>
    </row>
    <row r="658" customFormat="false" ht="12.75" hidden="false" customHeight="true" outlineLevel="0" collapsed="false">
      <c r="C658" s="70"/>
      <c r="N658" s="2"/>
      <c r="O658" s="41"/>
      <c r="P658" s="41"/>
      <c r="Q658" s="41"/>
      <c r="R658" s="41"/>
      <c r="S658" s="41"/>
      <c r="T658" s="41"/>
      <c r="U658" s="41"/>
      <c r="V658" s="41"/>
      <c r="W658" s="52"/>
    </row>
    <row r="659" customFormat="false" ht="12.75" hidden="false" customHeight="true" outlineLevel="0" collapsed="false">
      <c r="C659" s="70"/>
      <c r="N659" s="2"/>
      <c r="O659" s="41"/>
      <c r="P659" s="41"/>
      <c r="Q659" s="41"/>
      <c r="R659" s="41"/>
      <c r="S659" s="41"/>
      <c r="T659" s="41"/>
      <c r="U659" s="41"/>
      <c r="V659" s="41"/>
      <c r="W659" s="52"/>
    </row>
    <row r="660" customFormat="false" ht="12.75" hidden="false" customHeight="true" outlineLevel="0" collapsed="false">
      <c r="C660" s="70"/>
      <c r="N660" s="2"/>
      <c r="O660" s="41"/>
      <c r="P660" s="41"/>
      <c r="Q660" s="41"/>
      <c r="R660" s="41"/>
      <c r="S660" s="41"/>
      <c r="T660" s="41"/>
      <c r="U660" s="41"/>
      <c r="V660" s="41"/>
      <c r="W660" s="52"/>
    </row>
    <row r="661" customFormat="false" ht="12.75" hidden="false" customHeight="true" outlineLevel="0" collapsed="false">
      <c r="C661" s="70"/>
      <c r="N661" s="2"/>
      <c r="O661" s="41"/>
      <c r="P661" s="41"/>
      <c r="Q661" s="41"/>
      <c r="R661" s="41"/>
      <c r="S661" s="41"/>
      <c r="T661" s="41"/>
      <c r="U661" s="41"/>
      <c r="V661" s="41"/>
      <c r="W661" s="52"/>
    </row>
    <row r="662" customFormat="false" ht="12.75" hidden="false" customHeight="true" outlineLevel="0" collapsed="false">
      <c r="C662" s="70"/>
      <c r="N662" s="2"/>
      <c r="O662" s="41"/>
      <c r="P662" s="41"/>
      <c r="Q662" s="41"/>
      <c r="R662" s="41"/>
      <c r="S662" s="41"/>
      <c r="T662" s="41"/>
      <c r="U662" s="41"/>
      <c r="V662" s="41"/>
      <c r="W662" s="52"/>
    </row>
    <row r="663" customFormat="false" ht="12.75" hidden="false" customHeight="true" outlineLevel="0" collapsed="false">
      <c r="C663" s="70"/>
      <c r="N663" s="2"/>
      <c r="O663" s="41"/>
      <c r="P663" s="41"/>
      <c r="Q663" s="41"/>
      <c r="R663" s="41"/>
      <c r="S663" s="41"/>
      <c r="T663" s="41"/>
      <c r="U663" s="41"/>
      <c r="V663" s="41"/>
      <c r="W663" s="52"/>
    </row>
    <row r="664" customFormat="false" ht="12.75" hidden="false" customHeight="true" outlineLevel="0" collapsed="false">
      <c r="C664" s="70"/>
      <c r="N664" s="2"/>
      <c r="O664" s="41"/>
      <c r="P664" s="41"/>
      <c r="Q664" s="41"/>
      <c r="R664" s="41"/>
      <c r="S664" s="41"/>
      <c r="T664" s="41"/>
      <c r="U664" s="41"/>
      <c r="V664" s="41"/>
      <c r="W664" s="52"/>
    </row>
    <row r="665" customFormat="false" ht="12.75" hidden="false" customHeight="true" outlineLevel="0" collapsed="false">
      <c r="C665" s="70"/>
      <c r="N665" s="2"/>
      <c r="O665" s="41"/>
      <c r="P665" s="41"/>
      <c r="Q665" s="41"/>
      <c r="R665" s="41"/>
      <c r="S665" s="41"/>
      <c r="T665" s="41"/>
      <c r="U665" s="41"/>
      <c r="V665" s="41"/>
      <c r="W665" s="52"/>
    </row>
    <row r="666" customFormat="false" ht="12.75" hidden="false" customHeight="true" outlineLevel="0" collapsed="false">
      <c r="C666" s="70"/>
      <c r="N666" s="2"/>
      <c r="O666" s="41"/>
      <c r="P666" s="41"/>
      <c r="Q666" s="41"/>
      <c r="R666" s="41"/>
      <c r="S666" s="41"/>
      <c r="T666" s="41"/>
      <c r="U666" s="41"/>
      <c r="V666" s="41"/>
      <c r="W666" s="52"/>
    </row>
    <row r="667" customFormat="false" ht="12.75" hidden="false" customHeight="true" outlineLevel="0" collapsed="false">
      <c r="C667" s="70"/>
      <c r="N667" s="2"/>
      <c r="O667" s="41"/>
      <c r="P667" s="41"/>
      <c r="Q667" s="41"/>
      <c r="R667" s="41"/>
      <c r="S667" s="41"/>
      <c r="T667" s="41"/>
      <c r="U667" s="41"/>
      <c r="V667" s="41"/>
      <c r="W667" s="52"/>
    </row>
    <row r="668" customFormat="false" ht="12.75" hidden="false" customHeight="true" outlineLevel="0" collapsed="false">
      <c r="C668" s="70"/>
      <c r="N668" s="2"/>
      <c r="O668" s="41"/>
      <c r="P668" s="41"/>
      <c r="Q668" s="41"/>
      <c r="R668" s="41"/>
      <c r="S668" s="41"/>
      <c r="T668" s="41"/>
      <c r="U668" s="41"/>
      <c r="V668" s="41"/>
      <c r="W668" s="52"/>
    </row>
    <row r="669" customFormat="false" ht="12.75" hidden="false" customHeight="true" outlineLevel="0" collapsed="false">
      <c r="C669" s="70"/>
      <c r="N669" s="2"/>
      <c r="O669" s="41"/>
      <c r="P669" s="41"/>
      <c r="Q669" s="41"/>
      <c r="R669" s="41"/>
      <c r="S669" s="41"/>
      <c r="T669" s="41"/>
      <c r="U669" s="41"/>
      <c r="V669" s="41"/>
      <c r="W669" s="52"/>
    </row>
    <row r="670" customFormat="false" ht="12.75" hidden="false" customHeight="true" outlineLevel="0" collapsed="false">
      <c r="C670" s="70"/>
      <c r="N670" s="2"/>
      <c r="O670" s="41"/>
      <c r="P670" s="41"/>
      <c r="Q670" s="41"/>
      <c r="R670" s="41"/>
      <c r="S670" s="41"/>
      <c r="T670" s="41"/>
      <c r="U670" s="41"/>
      <c r="V670" s="41"/>
      <c r="W670" s="52"/>
    </row>
    <row r="671" customFormat="false" ht="12.75" hidden="false" customHeight="true" outlineLevel="0" collapsed="false">
      <c r="C671" s="70"/>
      <c r="N671" s="2"/>
      <c r="O671" s="41"/>
      <c r="P671" s="41"/>
      <c r="Q671" s="41"/>
      <c r="R671" s="41"/>
      <c r="S671" s="41"/>
      <c r="T671" s="41"/>
      <c r="U671" s="41"/>
      <c r="V671" s="41"/>
      <c r="W671" s="52"/>
    </row>
    <row r="672" customFormat="false" ht="12.75" hidden="false" customHeight="true" outlineLevel="0" collapsed="false">
      <c r="C672" s="70"/>
      <c r="N672" s="2"/>
      <c r="O672" s="41"/>
      <c r="P672" s="41"/>
      <c r="Q672" s="41"/>
      <c r="R672" s="41"/>
      <c r="S672" s="41"/>
      <c r="T672" s="41"/>
      <c r="U672" s="41"/>
      <c r="V672" s="41"/>
      <c r="W672" s="52"/>
    </row>
    <row r="673" customFormat="false" ht="12.75" hidden="false" customHeight="true" outlineLevel="0" collapsed="false">
      <c r="C673" s="70"/>
      <c r="N673" s="2"/>
      <c r="O673" s="41"/>
      <c r="P673" s="41"/>
      <c r="Q673" s="41"/>
      <c r="R673" s="41"/>
      <c r="S673" s="41"/>
      <c r="T673" s="41"/>
      <c r="U673" s="41"/>
      <c r="V673" s="41"/>
      <c r="W673" s="52"/>
    </row>
    <row r="674" customFormat="false" ht="12.75" hidden="false" customHeight="true" outlineLevel="0" collapsed="false">
      <c r="C674" s="70"/>
      <c r="N674" s="2"/>
      <c r="O674" s="41"/>
      <c r="P674" s="41"/>
      <c r="Q674" s="41"/>
      <c r="R674" s="41"/>
      <c r="S674" s="41"/>
      <c r="T674" s="41"/>
      <c r="U674" s="41"/>
      <c r="V674" s="41"/>
      <c r="W674" s="52"/>
    </row>
    <row r="675" customFormat="false" ht="12.75" hidden="false" customHeight="true" outlineLevel="0" collapsed="false">
      <c r="C675" s="70"/>
      <c r="N675" s="2"/>
      <c r="O675" s="41"/>
      <c r="P675" s="41"/>
      <c r="Q675" s="41"/>
      <c r="R675" s="41"/>
      <c r="S675" s="41"/>
      <c r="T675" s="41"/>
      <c r="U675" s="41"/>
      <c r="V675" s="41"/>
      <c r="W675" s="52"/>
    </row>
    <row r="676" customFormat="false" ht="12.75" hidden="false" customHeight="true" outlineLevel="0" collapsed="false">
      <c r="C676" s="70"/>
      <c r="N676" s="2"/>
      <c r="O676" s="41"/>
      <c r="P676" s="41"/>
      <c r="Q676" s="41"/>
      <c r="R676" s="41"/>
      <c r="S676" s="41"/>
      <c r="T676" s="41"/>
      <c r="U676" s="41"/>
      <c r="V676" s="41"/>
      <c r="W676" s="52"/>
    </row>
    <row r="677" customFormat="false" ht="12.75" hidden="false" customHeight="true" outlineLevel="0" collapsed="false">
      <c r="C677" s="70"/>
      <c r="N677" s="2"/>
      <c r="O677" s="41"/>
      <c r="P677" s="41"/>
      <c r="Q677" s="41"/>
      <c r="R677" s="41"/>
      <c r="S677" s="41"/>
      <c r="T677" s="41"/>
      <c r="U677" s="41"/>
      <c r="V677" s="41"/>
      <c r="W677" s="52"/>
    </row>
    <row r="678" customFormat="false" ht="12.75" hidden="false" customHeight="true" outlineLevel="0" collapsed="false">
      <c r="C678" s="70"/>
      <c r="N678" s="2"/>
      <c r="O678" s="41"/>
      <c r="P678" s="41"/>
      <c r="Q678" s="41"/>
      <c r="R678" s="41"/>
      <c r="S678" s="41"/>
      <c r="T678" s="41"/>
      <c r="U678" s="41"/>
      <c r="V678" s="41"/>
      <c r="W678" s="52"/>
    </row>
    <row r="679" customFormat="false" ht="12.75" hidden="false" customHeight="true" outlineLevel="0" collapsed="false">
      <c r="C679" s="70"/>
      <c r="N679" s="2"/>
      <c r="O679" s="41"/>
      <c r="P679" s="41"/>
      <c r="Q679" s="41"/>
      <c r="R679" s="41"/>
      <c r="S679" s="41"/>
      <c r="T679" s="41"/>
      <c r="U679" s="41"/>
      <c r="V679" s="41"/>
      <c r="W679" s="52"/>
    </row>
    <row r="680" customFormat="false" ht="12.75" hidden="false" customHeight="true" outlineLevel="0" collapsed="false">
      <c r="C680" s="70"/>
      <c r="N680" s="2"/>
      <c r="O680" s="41"/>
      <c r="P680" s="41"/>
      <c r="Q680" s="41"/>
      <c r="R680" s="41"/>
      <c r="S680" s="41"/>
      <c r="T680" s="41"/>
      <c r="U680" s="41"/>
      <c r="V680" s="41"/>
      <c r="W680" s="52"/>
    </row>
    <row r="681" customFormat="false" ht="12.75" hidden="false" customHeight="true" outlineLevel="0" collapsed="false">
      <c r="C681" s="70"/>
      <c r="N681" s="2"/>
      <c r="O681" s="41"/>
      <c r="P681" s="41"/>
      <c r="Q681" s="41"/>
      <c r="R681" s="41"/>
      <c r="S681" s="41"/>
      <c r="T681" s="41"/>
      <c r="U681" s="41"/>
      <c r="V681" s="41"/>
      <c r="W681" s="52"/>
    </row>
    <row r="682" customFormat="false" ht="12.75" hidden="false" customHeight="true" outlineLevel="0" collapsed="false">
      <c r="C682" s="70"/>
      <c r="N682" s="2"/>
      <c r="O682" s="41"/>
      <c r="P682" s="41"/>
      <c r="Q682" s="41"/>
      <c r="R682" s="41"/>
      <c r="S682" s="41"/>
      <c r="T682" s="41"/>
      <c r="U682" s="41"/>
      <c r="V682" s="41"/>
      <c r="W682" s="52"/>
    </row>
    <row r="683" customFormat="false" ht="12.75" hidden="false" customHeight="true" outlineLevel="0" collapsed="false">
      <c r="C683" s="70"/>
      <c r="N683" s="2"/>
      <c r="O683" s="41"/>
      <c r="P683" s="41"/>
      <c r="Q683" s="41"/>
      <c r="R683" s="41"/>
      <c r="S683" s="41"/>
      <c r="T683" s="41"/>
      <c r="U683" s="41"/>
      <c r="V683" s="41"/>
      <c r="W683" s="52"/>
    </row>
    <row r="684" customFormat="false" ht="12.75" hidden="false" customHeight="true" outlineLevel="0" collapsed="false">
      <c r="C684" s="70"/>
      <c r="N684" s="2"/>
      <c r="O684" s="41"/>
      <c r="P684" s="41"/>
      <c r="Q684" s="41"/>
      <c r="R684" s="41"/>
      <c r="S684" s="41"/>
      <c r="T684" s="41"/>
      <c r="U684" s="41"/>
      <c r="V684" s="41"/>
      <c r="W684" s="52"/>
    </row>
    <row r="685" customFormat="false" ht="12.75" hidden="false" customHeight="true" outlineLevel="0" collapsed="false">
      <c r="C685" s="70"/>
      <c r="N685" s="2"/>
      <c r="O685" s="41"/>
      <c r="P685" s="41"/>
      <c r="Q685" s="41"/>
      <c r="R685" s="41"/>
      <c r="S685" s="41"/>
      <c r="T685" s="41"/>
      <c r="U685" s="41"/>
      <c r="V685" s="41"/>
      <c r="W685" s="52"/>
    </row>
    <row r="686" customFormat="false" ht="12.75" hidden="false" customHeight="true" outlineLevel="0" collapsed="false">
      <c r="C686" s="70"/>
      <c r="N686" s="2"/>
      <c r="O686" s="41"/>
      <c r="P686" s="41"/>
      <c r="Q686" s="41"/>
      <c r="R686" s="41"/>
      <c r="S686" s="41"/>
      <c r="T686" s="41"/>
      <c r="U686" s="41"/>
      <c r="V686" s="41"/>
      <c r="W686" s="52"/>
    </row>
    <row r="687" customFormat="false" ht="12.75" hidden="false" customHeight="true" outlineLevel="0" collapsed="false">
      <c r="C687" s="70"/>
      <c r="N687" s="2"/>
      <c r="O687" s="41"/>
      <c r="P687" s="41"/>
      <c r="Q687" s="41"/>
      <c r="R687" s="41"/>
      <c r="S687" s="41"/>
      <c r="T687" s="41"/>
      <c r="U687" s="41"/>
      <c r="V687" s="41"/>
      <c r="W687" s="52"/>
    </row>
    <row r="688" customFormat="false" ht="12.75" hidden="false" customHeight="true" outlineLevel="0" collapsed="false">
      <c r="C688" s="70"/>
      <c r="N688" s="2"/>
      <c r="O688" s="41"/>
      <c r="P688" s="41"/>
      <c r="Q688" s="41"/>
      <c r="R688" s="41"/>
      <c r="S688" s="41"/>
      <c r="T688" s="41"/>
      <c r="U688" s="41"/>
      <c r="V688" s="41"/>
      <c r="W688" s="52"/>
    </row>
    <row r="689" customFormat="false" ht="12.75" hidden="false" customHeight="true" outlineLevel="0" collapsed="false">
      <c r="C689" s="70"/>
      <c r="N689" s="2"/>
      <c r="O689" s="41"/>
      <c r="P689" s="41"/>
      <c r="Q689" s="41"/>
      <c r="R689" s="41"/>
      <c r="S689" s="41"/>
      <c r="T689" s="41"/>
      <c r="U689" s="41"/>
      <c r="V689" s="41"/>
      <c r="W689" s="52"/>
    </row>
    <row r="690" customFormat="false" ht="12.75" hidden="false" customHeight="true" outlineLevel="0" collapsed="false">
      <c r="C690" s="70"/>
      <c r="N690" s="2"/>
      <c r="O690" s="41"/>
      <c r="P690" s="41"/>
      <c r="Q690" s="41"/>
      <c r="R690" s="41"/>
      <c r="S690" s="41"/>
      <c r="T690" s="41"/>
      <c r="U690" s="41"/>
      <c r="V690" s="41"/>
      <c r="W690" s="52"/>
    </row>
    <row r="691" customFormat="false" ht="12.75" hidden="false" customHeight="true" outlineLevel="0" collapsed="false">
      <c r="C691" s="70"/>
      <c r="N691" s="2"/>
      <c r="O691" s="41"/>
      <c r="P691" s="41"/>
      <c r="Q691" s="41"/>
      <c r="R691" s="41"/>
      <c r="S691" s="41"/>
      <c r="T691" s="41"/>
      <c r="U691" s="41"/>
      <c r="V691" s="41"/>
      <c r="W691" s="52"/>
    </row>
    <row r="692" customFormat="false" ht="12.75" hidden="false" customHeight="true" outlineLevel="0" collapsed="false">
      <c r="C692" s="70"/>
      <c r="N692" s="2"/>
      <c r="O692" s="41"/>
      <c r="P692" s="41"/>
      <c r="Q692" s="41"/>
      <c r="R692" s="41"/>
      <c r="S692" s="41"/>
      <c r="T692" s="41"/>
      <c r="U692" s="41"/>
      <c r="V692" s="41"/>
      <c r="W692" s="52"/>
    </row>
    <row r="693" customFormat="false" ht="12.75" hidden="false" customHeight="true" outlineLevel="0" collapsed="false">
      <c r="C693" s="70"/>
      <c r="N693" s="2"/>
      <c r="O693" s="41"/>
      <c r="P693" s="41"/>
      <c r="Q693" s="41"/>
      <c r="R693" s="41"/>
      <c r="S693" s="41"/>
      <c r="T693" s="41"/>
      <c r="U693" s="41"/>
      <c r="V693" s="41"/>
      <c r="W693" s="52"/>
    </row>
    <row r="694" customFormat="false" ht="12.75" hidden="false" customHeight="true" outlineLevel="0" collapsed="false">
      <c r="C694" s="70"/>
      <c r="N694" s="2"/>
      <c r="O694" s="41"/>
      <c r="P694" s="41"/>
      <c r="Q694" s="41"/>
      <c r="R694" s="41"/>
      <c r="S694" s="41"/>
      <c r="T694" s="41"/>
      <c r="U694" s="41"/>
      <c r="V694" s="41"/>
      <c r="W694" s="52"/>
    </row>
    <row r="695" customFormat="false" ht="12.75" hidden="false" customHeight="true" outlineLevel="0" collapsed="false">
      <c r="C695" s="70"/>
      <c r="N695" s="2"/>
      <c r="O695" s="41"/>
      <c r="P695" s="41"/>
      <c r="Q695" s="41"/>
      <c r="R695" s="41"/>
      <c r="S695" s="41"/>
      <c r="T695" s="41"/>
      <c r="U695" s="41"/>
      <c r="V695" s="41"/>
      <c r="W695" s="52"/>
    </row>
    <row r="696" customFormat="false" ht="12.75" hidden="false" customHeight="true" outlineLevel="0" collapsed="false">
      <c r="C696" s="70"/>
      <c r="N696" s="2"/>
      <c r="O696" s="41"/>
      <c r="P696" s="41"/>
      <c r="Q696" s="41"/>
      <c r="R696" s="41"/>
      <c r="S696" s="41"/>
      <c r="T696" s="41"/>
      <c r="U696" s="41"/>
      <c r="V696" s="41"/>
      <c r="W696" s="52"/>
    </row>
    <row r="697" customFormat="false" ht="12.75" hidden="false" customHeight="true" outlineLevel="0" collapsed="false">
      <c r="C697" s="70"/>
      <c r="N697" s="2"/>
      <c r="O697" s="41"/>
      <c r="P697" s="41"/>
      <c r="Q697" s="41"/>
      <c r="R697" s="41"/>
      <c r="S697" s="41"/>
      <c r="T697" s="41"/>
      <c r="U697" s="41"/>
      <c r="V697" s="41"/>
      <c r="W697" s="52"/>
    </row>
    <row r="698" customFormat="false" ht="12.75" hidden="false" customHeight="true" outlineLevel="0" collapsed="false">
      <c r="C698" s="70"/>
      <c r="N698" s="2"/>
      <c r="O698" s="41"/>
      <c r="P698" s="41"/>
      <c r="Q698" s="41"/>
      <c r="R698" s="41"/>
      <c r="S698" s="41"/>
      <c r="T698" s="41"/>
      <c r="U698" s="41"/>
      <c r="V698" s="41"/>
      <c r="W698" s="52"/>
    </row>
    <row r="699" customFormat="false" ht="12.75" hidden="false" customHeight="true" outlineLevel="0" collapsed="false">
      <c r="C699" s="70"/>
      <c r="N699" s="2"/>
      <c r="O699" s="41"/>
      <c r="P699" s="41"/>
      <c r="Q699" s="41"/>
      <c r="R699" s="41"/>
      <c r="S699" s="41"/>
      <c r="T699" s="41"/>
      <c r="U699" s="41"/>
      <c r="V699" s="41"/>
      <c r="W699" s="52"/>
    </row>
    <row r="700" customFormat="false" ht="12.75" hidden="false" customHeight="true" outlineLevel="0" collapsed="false">
      <c r="C700" s="70"/>
      <c r="N700" s="2"/>
      <c r="O700" s="41"/>
      <c r="P700" s="41"/>
      <c r="Q700" s="41"/>
      <c r="R700" s="41"/>
      <c r="S700" s="41"/>
      <c r="T700" s="41"/>
      <c r="U700" s="41"/>
      <c r="V700" s="41"/>
      <c r="W700" s="52"/>
    </row>
    <row r="701" customFormat="false" ht="12.75" hidden="false" customHeight="true" outlineLevel="0" collapsed="false">
      <c r="C701" s="70"/>
      <c r="N701" s="2"/>
      <c r="O701" s="41"/>
      <c r="P701" s="41"/>
      <c r="Q701" s="41"/>
      <c r="R701" s="41"/>
      <c r="S701" s="41"/>
      <c r="T701" s="41"/>
      <c r="U701" s="41"/>
      <c r="V701" s="41"/>
      <c r="W701" s="52"/>
    </row>
    <row r="702" customFormat="false" ht="12.75" hidden="false" customHeight="true" outlineLevel="0" collapsed="false">
      <c r="C702" s="70"/>
      <c r="N702" s="2"/>
      <c r="O702" s="41"/>
      <c r="P702" s="41"/>
      <c r="Q702" s="41"/>
      <c r="R702" s="41"/>
      <c r="S702" s="41"/>
      <c r="T702" s="41"/>
      <c r="U702" s="41"/>
      <c r="V702" s="41"/>
      <c r="W702" s="52"/>
    </row>
    <row r="703" customFormat="false" ht="12.75" hidden="false" customHeight="true" outlineLevel="0" collapsed="false">
      <c r="C703" s="70"/>
      <c r="N703" s="2"/>
      <c r="O703" s="41"/>
      <c r="P703" s="41"/>
      <c r="Q703" s="41"/>
      <c r="R703" s="41"/>
      <c r="S703" s="41"/>
      <c r="T703" s="41"/>
      <c r="U703" s="41"/>
      <c r="V703" s="41"/>
      <c r="W703" s="52"/>
    </row>
    <row r="704" customFormat="false" ht="12.75" hidden="false" customHeight="true" outlineLevel="0" collapsed="false">
      <c r="C704" s="70"/>
      <c r="N704" s="2"/>
      <c r="O704" s="41"/>
      <c r="P704" s="41"/>
      <c r="Q704" s="41"/>
      <c r="R704" s="41"/>
      <c r="S704" s="41"/>
      <c r="T704" s="41"/>
      <c r="U704" s="41"/>
      <c r="V704" s="41"/>
      <c r="W704" s="52"/>
    </row>
    <row r="705" customFormat="false" ht="12.75" hidden="false" customHeight="true" outlineLevel="0" collapsed="false">
      <c r="C705" s="70"/>
      <c r="N705" s="2"/>
      <c r="O705" s="41"/>
      <c r="P705" s="41"/>
      <c r="Q705" s="41"/>
      <c r="R705" s="41"/>
      <c r="S705" s="41"/>
      <c r="T705" s="41"/>
      <c r="U705" s="41"/>
      <c r="V705" s="41"/>
      <c r="W705" s="52"/>
    </row>
    <row r="706" customFormat="false" ht="12.75" hidden="false" customHeight="true" outlineLevel="0" collapsed="false">
      <c r="C706" s="70"/>
      <c r="N706" s="2"/>
      <c r="O706" s="41"/>
      <c r="P706" s="41"/>
      <c r="Q706" s="41"/>
      <c r="R706" s="41"/>
      <c r="S706" s="41"/>
      <c r="T706" s="41"/>
      <c r="U706" s="41"/>
      <c r="V706" s="41"/>
      <c r="W706" s="52"/>
    </row>
    <row r="707" customFormat="false" ht="12.75" hidden="false" customHeight="true" outlineLevel="0" collapsed="false">
      <c r="C707" s="70"/>
      <c r="N707" s="2"/>
      <c r="O707" s="41"/>
      <c r="P707" s="41"/>
      <c r="Q707" s="41"/>
      <c r="R707" s="41"/>
      <c r="S707" s="41"/>
      <c r="T707" s="41"/>
      <c r="U707" s="41"/>
      <c r="V707" s="41"/>
      <c r="W707" s="52"/>
    </row>
    <row r="708" customFormat="false" ht="12.75" hidden="false" customHeight="true" outlineLevel="0" collapsed="false">
      <c r="C708" s="70"/>
      <c r="N708" s="2"/>
      <c r="O708" s="41"/>
      <c r="P708" s="41"/>
      <c r="Q708" s="41"/>
      <c r="R708" s="41"/>
      <c r="S708" s="41"/>
      <c r="T708" s="41"/>
      <c r="U708" s="41"/>
      <c r="V708" s="41"/>
      <c r="W708" s="52"/>
    </row>
    <row r="709" customFormat="false" ht="12.75" hidden="false" customHeight="true" outlineLevel="0" collapsed="false">
      <c r="C709" s="70"/>
      <c r="N709" s="2"/>
      <c r="O709" s="41"/>
      <c r="P709" s="41"/>
      <c r="Q709" s="41"/>
      <c r="R709" s="41"/>
      <c r="S709" s="41"/>
      <c r="T709" s="41"/>
      <c r="U709" s="41"/>
      <c r="V709" s="41"/>
      <c r="W709" s="52"/>
    </row>
    <row r="710" customFormat="false" ht="12.75" hidden="false" customHeight="true" outlineLevel="0" collapsed="false">
      <c r="C710" s="70"/>
      <c r="N710" s="2"/>
      <c r="O710" s="41"/>
      <c r="P710" s="41"/>
      <c r="Q710" s="41"/>
      <c r="R710" s="41"/>
      <c r="S710" s="41"/>
      <c r="T710" s="41"/>
      <c r="U710" s="41"/>
      <c r="V710" s="41"/>
      <c r="W710" s="52"/>
    </row>
    <row r="711" customFormat="false" ht="12.75" hidden="false" customHeight="true" outlineLevel="0" collapsed="false">
      <c r="C711" s="70"/>
      <c r="N711" s="2"/>
      <c r="O711" s="41"/>
      <c r="P711" s="41"/>
      <c r="Q711" s="41"/>
      <c r="R711" s="41"/>
      <c r="S711" s="41"/>
      <c r="T711" s="41"/>
      <c r="U711" s="41"/>
      <c r="V711" s="41"/>
      <c r="W711" s="52"/>
    </row>
    <row r="712" customFormat="false" ht="12.75" hidden="false" customHeight="true" outlineLevel="0" collapsed="false">
      <c r="C712" s="70"/>
      <c r="N712" s="2"/>
      <c r="O712" s="41"/>
      <c r="P712" s="41"/>
      <c r="Q712" s="41"/>
      <c r="R712" s="41"/>
      <c r="S712" s="41"/>
      <c r="T712" s="41"/>
      <c r="U712" s="41"/>
      <c r="V712" s="41"/>
      <c r="W712" s="52"/>
    </row>
    <row r="713" customFormat="false" ht="12.75" hidden="false" customHeight="true" outlineLevel="0" collapsed="false">
      <c r="C713" s="70"/>
      <c r="N713" s="2"/>
      <c r="O713" s="41"/>
      <c r="P713" s="41"/>
      <c r="Q713" s="41"/>
      <c r="R713" s="41"/>
      <c r="S713" s="41"/>
      <c r="T713" s="41"/>
      <c r="U713" s="41"/>
      <c r="V713" s="41"/>
      <c r="W713" s="52"/>
    </row>
    <row r="714" customFormat="false" ht="12.75" hidden="false" customHeight="true" outlineLevel="0" collapsed="false">
      <c r="C714" s="70"/>
      <c r="N714" s="2"/>
      <c r="O714" s="41"/>
      <c r="P714" s="41"/>
      <c r="Q714" s="41"/>
      <c r="R714" s="41"/>
      <c r="S714" s="41"/>
      <c r="T714" s="41"/>
      <c r="U714" s="41"/>
      <c r="V714" s="41"/>
      <c r="W714" s="52"/>
    </row>
    <row r="715" customFormat="false" ht="12.75" hidden="false" customHeight="true" outlineLevel="0" collapsed="false">
      <c r="C715" s="70"/>
      <c r="N715" s="2"/>
      <c r="O715" s="41"/>
      <c r="P715" s="41"/>
      <c r="Q715" s="41"/>
      <c r="R715" s="41"/>
      <c r="S715" s="41"/>
      <c r="T715" s="41"/>
      <c r="U715" s="41"/>
      <c r="V715" s="41"/>
      <c r="W715" s="52"/>
    </row>
    <row r="716" customFormat="false" ht="12.75" hidden="false" customHeight="true" outlineLevel="0" collapsed="false">
      <c r="C716" s="70"/>
      <c r="N716" s="2"/>
      <c r="O716" s="41"/>
      <c r="P716" s="41"/>
      <c r="Q716" s="41"/>
      <c r="R716" s="41"/>
      <c r="S716" s="41"/>
      <c r="T716" s="41"/>
      <c r="U716" s="41"/>
      <c r="V716" s="41"/>
      <c r="W716" s="52"/>
    </row>
    <row r="717" customFormat="false" ht="12.75" hidden="false" customHeight="true" outlineLevel="0" collapsed="false">
      <c r="C717" s="70"/>
      <c r="N717" s="2"/>
      <c r="O717" s="41"/>
      <c r="P717" s="41"/>
      <c r="Q717" s="41"/>
      <c r="R717" s="41"/>
      <c r="S717" s="41"/>
      <c r="T717" s="41"/>
      <c r="U717" s="41"/>
      <c r="V717" s="41"/>
      <c r="W717" s="52"/>
    </row>
    <row r="718" customFormat="false" ht="12.75" hidden="false" customHeight="true" outlineLevel="0" collapsed="false">
      <c r="C718" s="70"/>
      <c r="N718" s="2"/>
      <c r="O718" s="41"/>
      <c r="P718" s="41"/>
      <c r="Q718" s="41"/>
      <c r="R718" s="41"/>
      <c r="S718" s="41"/>
      <c r="T718" s="41"/>
      <c r="U718" s="41"/>
      <c r="V718" s="41"/>
      <c r="W718" s="52"/>
    </row>
    <row r="719" customFormat="false" ht="12.75" hidden="false" customHeight="true" outlineLevel="0" collapsed="false">
      <c r="C719" s="70"/>
      <c r="N719" s="2"/>
      <c r="O719" s="41"/>
      <c r="P719" s="41"/>
      <c r="Q719" s="41"/>
      <c r="R719" s="41"/>
      <c r="S719" s="41"/>
      <c r="T719" s="41"/>
      <c r="U719" s="41"/>
      <c r="V719" s="41"/>
      <c r="W719" s="52"/>
    </row>
    <row r="720" customFormat="false" ht="12.75" hidden="false" customHeight="true" outlineLevel="0" collapsed="false">
      <c r="C720" s="70"/>
      <c r="N720" s="2"/>
      <c r="O720" s="41"/>
      <c r="P720" s="41"/>
      <c r="Q720" s="41"/>
      <c r="R720" s="41"/>
      <c r="S720" s="41"/>
      <c r="T720" s="41"/>
      <c r="U720" s="41"/>
      <c r="V720" s="41"/>
      <c r="W720" s="52"/>
    </row>
    <row r="721" customFormat="false" ht="12.75" hidden="false" customHeight="true" outlineLevel="0" collapsed="false">
      <c r="C721" s="70"/>
      <c r="N721" s="2"/>
      <c r="O721" s="41"/>
      <c r="P721" s="41"/>
      <c r="Q721" s="41"/>
      <c r="R721" s="41"/>
      <c r="S721" s="41"/>
      <c r="T721" s="41"/>
      <c r="U721" s="41"/>
      <c r="V721" s="41"/>
      <c r="W721" s="52"/>
    </row>
    <row r="722" customFormat="false" ht="12.75" hidden="false" customHeight="true" outlineLevel="0" collapsed="false">
      <c r="C722" s="70"/>
      <c r="N722" s="2"/>
      <c r="O722" s="41"/>
      <c r="P722" s="41"/>
      <c r="Q722" s="41"/>
      <c r="R722" s="41"/>
      <c r="S722" s="41"/>
      <c r="T722" s="41"/>
      <c r="U722" s="41"/>
      <c r="V722" s="41"/>
      <c r="W722" s="52"/>
    </row>
    <row r="723" customFormat="false" ht="12.75" hidden="false" customHeight="true" outlineLevel="0" collapsed="false">
      <c r="C723" s="70"/>
      <c r="N723" s="2"/>
      <c r="O723" s="41"/>
      <c r="P723" s="41"/>
      <c r="Q723" s="41"/>
      <c r="R723" s="41"/>
      <c r="S723" s="41"/>
      <c r="T723" s="41"/>
      <c r="U723" s="41"/>
      <c r="V723" s="41"/>
      <c r="W723" s="52"/>
    </row>
    <row r="724" customFormat="false" ht="12.75" hidden="false" customHeight="true" outlineLevel="0" collapsed="false">
      <c r="C724" s="70"/>
      <c r="N724" s="2"/>
      <c r="O724" s="41"/>
      <c r="P724" s="41"/>
      <c r="Q724" s="41"/>
      <c r="R724" s="41"/>
      <c r="S724" s="41"/>
      <c r="T724" s="41"/>
      <c r="U724" s="41"/>
      <c r="V724" s="41"/>
      <c r="W724" s="52"/>
    </row>
    <row r="725" customFormat="false" ht="12.75" hidden="false" customHeight="true" outlineLevel="0" collapsed="false">
      <c r="C725" s="70"/>
      <c r="N725" s="2"/>
      <c r="O725" s="41"/>
      <c r="P725" s="41"/>
      <c r="Q725" s="41"/>
      <c r="R725" s="41"/>
      <c r="S725" s="41"/>
      <c r="T725" s="41"/>
      <c r="U725" s="41"/>
      <c r="V725" s="41"/>
      <c r="W725" s="52"/>
    </row>
    <row r="726" customFormat="false" ht="12.75" hidden="false" customHeight="true" outlineLevel="0" collapsed="false">
      <c r="C726" s="70"/>
      <c r="N726" s="2"/>
      <c r="O726" s="41"/>
      <c r="P726" s="41"/>
      <c r="Q726" s="41"/>
      <c r="R726" s="41"/>
      <c r="S726" s="41"/>
      <c r="T726" s="41"/>
      <c r="U726" s="41"/>
      <c r="V726" s="41"/>
      <c r="W726" s="52"/>
    </row>
    <row r="727" customFormat="false" ht="12.75" hidden="false" customHeight="true" outlineLevel="0" collapsed="false">
      <c r="C727" s="70"/>
      <c r="N727" s="2"/>
      <c r="O727" s="41"/>
      <c r="P727" s="41"/>
      <c r="Q727" s="41"/>
      <c r="R727" s="41"/>
      <c r="S727" s="41"/>
      <c r="T727" s="41"/>
      <c r="U727" s="41"/>
      <c r="V727" s="41"/>
      <c r="W727" s="52"/>
    </row>
    <row r="728" customFormat="false" ht="12.75" hidden="false" customHeight="true" outlineLevel="0" collapsed="false">
      <c r="C728" s="70"/>
      <c r="N728" s="2"/>
      <c r="O728" s="41"/>
      <c r="P728" s="41"/>
      <c r="Q728" s="41"/>
      <c r="R728" s="41"/>
      <c r="S728" s="41"/>
      <c r="T728" s="41"/>
      <c r="U728" s="41"/>
      <c r="V728" s="41"/>
      <c r="W728" s="52"/>
    </row>
    <row r="729" customFormat="false" ht="12.75" hidden="false" customHeight="true" outlineLevel="0" collapsed="false">
      <c r="C729" s="70"/>
      <c r="N729" s="2"/>
      <c r="O729" s="41"/>
      <c r="P729" s="41"/>
      <c r="Q729" s="41"/>
      <c r="R729" s="41"/>
      <c r="S729" s="41"/>
      <c r="T729" s="41"/>
      <c r="U729" s="41"/>
      <c r="V729" s="41"/>
      <c r="W729" s="52"/>
    </row>
    <row r="730" customFormat="false" ht="12.75" hidden="false" customHeight="true" outlineLevel="0" collapsed="false">
      <c r="C730" s="70"/>
      <c r="N730" s="2"/>
      <c r="O730" s="41"/>
      <c r="P730" s="41"/>
      <c r="Q730" s="41"/>
      <c r="R730" s="41"/>
      <c r="S730" s="41"/>
      <c r="T730" s="41"/>
      <c r="U730" s="41"/>
      <c r="V730" s="41"/>
      <c r="W730" s="52"/>
    </row>
    <row r="731" customFormat="false" ht="12.75" hidden="false" customHeight="true" outlineLevel="0" collapsed="false">
      <c r="C731" s="70"/>
      <c r="N731" s="2"/>
      <c r="O731" s="41"/>
      <c r="P731" s="41"/>
      <c r="Q731" s="41"/>
      <c r="R731" s="41"/>
      <c r="S731" s="41"/>
      <c r="T731" s="41"/>
      <c r="U731" s="41"/>
      <c r="V731" s="41"/>
      <c r="W731" s="52"/>
    </row>
    <row r="732" customFormat="false" ht="12.75" hidden="false" customHeight="true" outlineLevel="0" collapsed="false">
      <c r="C732" s="70"/>
      <c r="N732" s="2"/>
      <c r="O732" s="41"/>
      <c r="P732" s="41"/>
      <c r="Q732" s="41"/>
      <c r="R732" s="41"/>
      <c r="S732" s="41"/>
      <c r="T732" s="41"/>
      <c r="U732" s="41"/>
      <c r="V732" s="41"/>
      <c r="W732" s="52"/>
    </row>
    <row r="733" customFormat="false" ht="12.75" hidden="false" customHeight="true" outlineLevel="0" collapsed="false">
      <c r="C733" s="70"/>
      <c r="N733" s="2"/>
      <c r="O733" s="41"/>
      <c r="P733" s="41"/>
      <c r="Q733" s="41"/>
      <c r="R733" s="41"/>
      <c r="S733" s="41"/>
      <c r="T733" s="41"/>
      <c r="U733" s="41"/>
      <c r="V733" s="41"/>
      <c r="W733" s="52"/>
    </row>
    <row r="734" customFormat="false" ht="12.75" hidden="false" customHeight="true" outlineLevel="0" collapsed="false">
      <c r="C734" s="70"/>
      <c r="N734" s="2"/>
      <c r="O734" s="41"/>
      <c r="P734" s="41"/>
      <c r="Q734" s="41"/>
      <c r="R734" s="41"/>
      <c r="S734" s="41"/>
      <c r="T734" s="41"/>
      <c r="U734" s="41"/>
      <c r="V734" s="41"/>
      <c r="W734" s="52"/>
    </row>
    <row r="735" customFormat="false" ht="12.75" hidden="false" customHeight="true" outlineLevel="0" collapsed="false">
      <c r="C735" s="70"/>
      <c r="N735" s="2"/>
      <c r="O735" s="41"/>
      <c r="P735" s="41"/>
      <c r="Q735" s="41"/>
      <c r="R735" s="41"/>
      <c r="S735" s="41"/>
      <c r="T735" s="41"/>
      <c r="U735" s="41"/>
      <c r="V735" s="41"/>
      <c r="W735" s="52"/>
    </row>
    <row r="736" customFormat="false" ht="12.75" hidden="false" customHeight="true" outlineLevel="0" collapsed="false">
      <c r="C736" s="70"/>
      <c r="N736" s="2"/>
      <c r="O736" s="41"/>
      <c r="P736" s="41"/>
      <c r="Q736" s="41"/>
      <c r="R736" s="41"/>
      <c r="S736" s="41"/>
      <c r="T736" s="41"/>
      <c r="U736" s="41"/>
      <c r="V736" s="41"/>
      <c r="W736" s="52"/>
    </row>
    <row r="737" customFormat="false" ht="12.75" hidden="false" customHeight="true" outlineLevel="0" collapsed="false">
      <c r="C737" s="70"/>
      <c r="N737" s="2"/>
      <c r="O737" s="41"/>
      <c r="P737" s="41"/>
      <c r="Q737" s="41"/>
      <c r="R737" s="41"/>
      <c r="S737" s="41"/>
      <c r="T737" s="41"/>
      <c r="U737" s="41"/>
      <c r="V737" s="41"/>
      <c r="W737" s="52"/>
    </row>
    <row r="738" customFormat="false" ht="12.75" hidden="false" customHeight="true" outlineLevel="0" collapsed="false">
      <c r="C738" s="70"/>
      <c r="N738" s="2"/>
      <c r="O738" s="41"/>
      <c r="P738" s="41"/>
      <c r="Q738" s="41"/>
      <c r="R738" s="41"/>
      <c r="S738" s="41"/>
      <c r="T738" s="41"/>
      <c r="U738" s="41"/>
      <c r="V738" s="41"/>
      <c r="W738" s="52"/>
    </row>
    <row r="739" customFormat="false" ht="12.75" hidden="false" customHeight="true" outlineLevel="0" collapsed="false">
      <c r="C739" s="70"/>
      <c r="N739" s="2"/>
      <c r="O739" s="41"/>
      <c r="P739" s="41"/>
      <c r="Q739" s="41"/>
      <c r="R739" s="41"/>
      <c r="S739" s="41"/>
      <c r="T739" s="41"/>
      <c r="U739" s="41"/>
      <c r="V739" s="41"/>
      <c r="W739" s="52"/>
    </row>
    <row r="740" customFormat="false" ht="12.75" hidden="false" customHeight="true" outlineLevel="0" collapsed="false">
      <c r="C740" s="70"/>
      <c r="N740" s="2"/>
      <c r="O740" s="41"/>
      <c r="P740" s="41"/>
      <c r="Q740" s="41"/>
      <c r="R740" s="41"/>
      <c r="S740" s="41"/>
      <c r="T740" s="41"/>
      <c r="U740" s="41"/>
      <c r="V740" s="41"/>
      <c r="W740" s="52"/>
    </row>
    <row r="741" customFormat="false" ht="12.75" hidden="false" customHeight="true" outlineLevel="0" collapsed="false">
      <c r="C741" s="70"/>
      <c r="N741" s="2"/>
      <c r="O741" s="41"/>
      <c r="P741" s="41"/>
      <c r="Q741" s="41"/>
      <c r="R741" s="41"/>
      <c r="S741" s="41"/>
      <c r="T741" s="41"/>
      <c r="U741" s="41"/>
      <c r="V741" s="41"/>
      <c r="W741" s="52"/>
    </row>
    <row r="742" customFormat="false" ht="12.75" hidden="false" customHeight="true" outlineLevel="0" collapsed="false">
      <c r="C742" s="70"/>
      <c r="N742" s="2"/>
      <c r="O742" s="41"/>
      <c r="P742" s="41"/>
      <c r="Q742" s="41"/>
      <c r="R742" s="41"/>
      <c r="S742" s="41"/>
      <c r="T742" s="41"/>
      <c r="U742" s="41"/>
      <c r="V742" s="41"/>
      <c r="W742" s="52"/>
    </row>
    <row r="743" customFormat="false" ht="12.75" hidden="false" customHeight="true" outlineLevel="0" collapsed="false">
      <c r="C743" s="70"/>
      <c r="N743" s="2"/>
      <c r="O743" s="41"/>
      <c r="P743" s="41"/>
      <c r="Q743" s="41"/>
      <c r="R743" s="41"/>
      <c r="S743" s="41"/>
      <c r="T743" s="41"/>
      <c r="U743" s="41"/>
      <c r="V743" s="41"/>
      <c r="W743" s="52"/>
    </row>
    <row r="744" customFormat="false" ht="12.75" hidden="false" customHeight="true" outlineLevel="0" collapsed="false">
      <c r="C744" s="70"/>
      <c r="N744" s="2"/>
      <c r="O744" s="41"/>
      <c r="P744" s="41"/>
      <c r="Q744" s="41"/>
      <c r="R744" s="41"/>
      <c r="S744" s="41"/>
      <c r="T744" s="41"/>
      <c r="U744" s="41"/>
      <c r="V744" s="41"/>
      <c r="W744" s="52"/>
    </row>
    <row r="745" customFormat="false" ht="12.75" hidden="false" customHeight="true" outlineLevel="0" collapsed="false">
      <c r="C745" s="70"/>
      <c r="N745" s="2"/>
      <c r="O745" s="41"/>
      <c r="P745" s="41"/>
      <c r="Q745" s="41"/>
      <c r="R745" s="41"/>
      <c r="S745" s="41"/>
      <c r="T745" s="41"/>
      <c r="U745" s="41"/>
      <c r="V745" s="41"/>
      <c r="W745" s="52"/>
    </row>
    <row r="746" customFormat="false" ht="12.75" hidden="false" customHeight="true" outlineLevel="0" collapsed="false">
      <c r="C746" s="70"/>
      <c r="N746" s="2"/>
      <c r="O746" s="41"/>
      <c r="P746" s="41"/>
      <c r="Q746" s="41"/>
      <c r="R746" s="41"/>
      <c r="S746" s="41"/>
      <c r="T746" s="41"/>
      <c r="U746" s="41"/>
      <c r="V746" s="41"/>
      <c r="W746" s="52"/>
    </row>
    <row r="747" customFormat="false" ht="12.75" hidden="false" customHeight="true" outlineLevel="0" collapsed="false">
      <c r="C747" s="70"/>
      <c r="N747" s="2"/>
      <c r="O747" s="41"/>
      <c r="P747" s="41"/>
      <c r="Q747" s="41"/>
      <c r="R747" s="41"/>
      <c r="S747" s="41"/>
      <c r="T747" s="41"/>
      <c r="U747" s="41"/>
      <c r="V747" s="41"/>
      <c r="W747" s="52"/>
    </row>
    <row r="748" customFormat="false" ht="12.75" hidden="false" customHeight="true" outlineLevel="0" collapsed="false">
      <c r="C748" s="70"/>
      <c r="N748" s="2"/>
      <c r="O748" s="41"/>
      <c r="P748" s="41"/>
      <c r="Q748" s="41"/>
      <c r="R748" s="41"/>
      <c r="S748" s="41"/>
      <c r="T748" s="41"/>
      <c r="U748" s="41"/>
      <c r="V748" s="41"/>
      <c r="W748" s="52"/>
    </row>
    <row r="749" customFormat="false" ht="12.75" hidden="false" customHeight="true" outlineLevel="0" collapsed="false">
      <c r="C749" s="70"/>
      <c r="N749" s="2"/>
      <c r="O749" s="41"/>
      <c r="P749" s="41"/>
      <c r="Q749" s="41"/>
      <c r="R749" s="41"/>
      <c r="S749" s="41"/>
      <c r="T749" s="41"/>
      <c r="U749" s="41"/>
      <c r="V749" s="41"/>
      <c r="W749" s="52"/>
    </row>
    <row r="750" customFormat="false" ht="12.75" hidden="false" customHeight="true" outlineLevel="0" collapsed="false">
      <c r="C750" s="70"/>
      <c r="N750" s="2"/>
      <c r="O750" s="41"/>
      <c r="P750" s="41"/>
      <c r="Q750" s="41"/>
      <c r="R750" s="41"/>
      <c r="S750" s="41"/>
      <c r="T750" s="41"/>
      <c r="U750" s="41"/>
      <c r="V750" s="41"/>
      <c r="W750" s="52"/>
    </row>
    <row r="751" customFormat="false" ht="12.75" hidden="false" customHeight="true" outlineLevel="0" collapsed="false">
      <c r="C751" s="70"/>
      <c r="N751" s="2"/>
      <c r="O751" s="41"/>
      <c r="P751" s="41"/>
      <c r="Q751" s="41"/>
      <c r="R751" s="41"/>
      <c r="S751" s="41"/>
      <c r="T751" s="41"/>
      <c r="U751" s="41"/>
      <c r="V751" s="41"/>
      <c r="W751" s="52"/>
    </row>
    <row r="752" customFormat="false" ht="12.75" hidden="false" customHeight="true" outlineLevel="0" collapsed="false">
      <c r="C752" s="70"/>
      <c r="N752" s="2"/>
      <c r="O752" s="41"/>
      <c r="P752" s="41"/>
      <c r="Q752" s="41"/>
      <c r="R752" s="41"/>
      <c r="S752" s="41"/>
      <c r="T752" s="41"/>
      <c r="U752" s="41"/>
      <c r="V752" s="41"/>
      <c r="W752" s="52"/>
    </row>
    <row r="753" customFormat="false" ht="12.75" hidden="false" customHeight="true" outlineLevel="0" collapsed="false">
      <c r="C753" s="70"/>
      <c r="N753" s="2"/>
      <c r="O753" s="41"/>
      <c r="P753" s="41"/>
      <c r="Q753" s="41"/>
      <c r="R753" s="41"/>
      <c r="S753" s="41"/>
      <c r="T753" s="41"/>
      <c r="U753" s="41"/>
      <c r="V753" s="41"/>
      <c r="W753" s="52"/>
    </row>
    <row r="754" customFormat="false" ht="12.75" hidden="false" customHeight="true" outlineLevel="0" collapsed="false">
      <c r="C754" s="70"/>
      <c r="N754" s="2"/>
      <c r="O754" s="41"/>
      <c r="P754" s="41"/>
      <c r="Q754" s="41"/>
      <c r="R754" s="41"/>
      <c r="S754" s="41"/>
      <c r="T754" s="41"/>
      <c r="U754" s="41"/>
      <c r="V754" s="41"/>
      <c r="W754" s="52"/>
    </row>
    <row r="755" customFormat="false" ht="12.75" hidden="false" customHeight="true" outlineLevel="0" collapsed="false">
      <c r="C755" s="70"/>
      <c r="N755" s="2"/>
      <c r="O755" s="41"/>
      <c r="P755" s="41"/>
      <c r="Q755" s="41"/>
      <c r="R755" s="41"/>
      <c r="S755" s="41"/>
      <c r="T755" s="41"/>
      <c r="U755" s="41"/>
      <c r="V755" s="41"/>
      <c r="W755" s="52"/>
    </row>
    <row r="756" customFormat="false" ht="12.75" hidden="false" customHeight="true" outlineLevel="0" collapsed="false">
      <c r="C756" s="70"/>
      <c r="N756" s="2"/>
      <c r="O756" s="41"/>
      <c r="P756" s="41"/>
      <c r="Q756" s="41"/>
      <c r="R756" s="41"/>
      <c r="S756" s="41"/>
      <c r="T756" s="41"/>
      <c r="U756" s="41"/>
      <c r="V756" s="41"/>
      <c r="W756" s="52"/>
    </row>
    <row r="757" customFormat="false" ht="12.75" hidden="false" customHeight="true" outlineLevel="0" collapsed="false">
      <c r="C757" s="70"/>
      <c r="N757" s="2"/>
      <c r="O757" s="41"/>
      <c r="P757" s="41"/>
      <c r="Q757" s="41"/>
      <c r="R757" s="41"/>
      <c r="S757" s="41"/>
      <c r="T757" s="41"/>
      <c r="U757" s="41"/>
      <c r="V757" s="41"/>
      <c r="W757" s="52"/>
    </row>
    <row r="758" customFormat="false" ht="12.75" hidden="false" customHeight="true" outlineLevel="0" collapsed="false">
      <c r="C758" s="70"/>
      <c r="N758" s="2"/>
      <c r="O758" s="41"/>
      <c r="P758" s="41"/>
      <c r="Q758" s="41"/>
      <c r="R758" s="41"/>
      <c r="S758" s="41"/>
      <c r="T758" s="41"/>
      <c r="U758" s="41"/>
      <c r="V758" s="41"/>
      <c r="W758" s="52"/>
    </row>
    <row r="759" customFormat="false" ht="12.75" hidden="false" customHeight="true" outlineLevel="0" collapsed="false">
      <c r="C759" s="70"/>
      <c r="N759" s="2"/>
      <c r="O759" s="41"/>
      <c r="P759" s="41"/>
      <c r="Q759" s="41"/>
      <c r="R759" s="41"/>
      <c r="S759" s="41"/>
      <c r="T759" s="41"/>
      <c r="U759" s="41"/>
      <c r="V759" s="41"/>
      <c r="W759" s="52"/>
    </row>
    <row r="760" customFormat="false" ht="12.75" hidden="false" customHeight="true" outlineLevel="0" collapsed="false">
      <c r="C760" s="70"/>
      <c r="N760" s="2"/>
      <c r="O760" s="41"/>
      <c r="P760" s="41"/>
      <c r="Q760" s="41"/>
      <c r="R760" s="41"/>
      <c r="S760" s="41"/>
      <c r="T760" s="41"/>
      <c r="U760" s="41"/>
      <c r="V760" s="41"/>
      <c r="W760" s="52"/>
    </row>
    <row r="761" customFormat="false" ht="12.75" hidden="false" customHeight="true" outlineLevel="0" collapsed="false">
      <c r="C761" s="70"/>
      <c r="N761" s="2"/>
      <c r="O761" s="41"/>
      <c r="P761" s="41"/>
      <c r="Q761" s="41"/>
      <c r="R761" s="41"/>
      <c r="S761" s="41"/>
      <c r="T761" s="41"/>
      <c r="U761" s="41"/>
      <c r="V761" s="41"/>
      <c r="W761" s="52"/>
    </row>
    <row r="762" customFormat="false" ht="12.75" hidden="false" customHeight="true" outlineLevel="0" collapsed="false">
      <c r="C762" s="70"/>
      <c r="N762" s="2"/>
      <c r="O762" s="41"/>
      <c r="P762" s="41"/>
      <c r="Q762" s="41"/>
      <c r="R762" s="41"/>
      <c r="S762" s="41"/>
      <c r="T762" s="41"/>
      <c r="U762" s="41"/>
      <c r="V762" s="41"/>
      <c r="W762" s="52"/>
    </row>
    <row r="763" customFormat="false" ht="12.75" hidden="false" customHeight="true" outlineLevel="0" collapsed="false">
      <c r="C763" s="70"/>
      <c r="N763" s="2"/>
      <c r="O763" s="41"/>
      <c r="P763" s="41"/>
      <c r="Q763" s="41"/>
      <c r="R763" s="41"/>
      <c r="S763" s="41"/>
      <c r="T763" s="41"/>
      <c r="U763" s="41"/>
      <c r="V763" s="41"/>
      <c r="W763" s="52"/>
    </row>
    <row r="764" customFormat="false" ht="12.75" hidden="false" customHeight="true" outlineLevel="0" collapsed="false">
      <c r="C764" s="70"/>
      <c r="N764" s="2"/>
      <c r="O764" s="41"/>
      <c r="P764" s="41"/>
      <c r="Q764" s="41"/>
      <c r="R764" s="41"/>
      <c r="S764" s="41"/>
      <c r="T764" s="41"/>
      <c r="U764" s="41"/>
      <c r="V764" s="41"/>
      <c r="W764" s="52"/>
    </row>
    <row r="765" customFormat="false" ht="12.75" hidden="false" customHeight="true" outlineLevel="0" collapsed="false">
      <c r="C765" s="70"/>
      <c r="N765" s="2"/>
      <c r="O765" s="41"/>
      <c r="P765" s="41"/>
      <c r="Q765" s="41"/>
      <c r="R765" s="41"/>
      <c r="S765" s="41"/>
      <c r="T765" s="41"/>
      <c r="U765" s="41"/>
      <c r="V765" s="41"/>
      <c r="W765" s="52"/>
    </row>
    <row r="766" customFormat="false" ht="12.75" hidden="false" customHeight="true" outlineLevel="0" collapsed="false">
      <c r="C766" s="70"/>
      <c r="N766" s="2"/>
      <c r="O766" s="41"/>
      <c r="P766" s="41"/>
      <c r="Q766" s="41"/>
      <c r="R766" s="41"/>
      <c r="S766" s="41"/>
      <c r="T766" s="41"/>
      <c r="U766" s="41"/>
      <c r="V766" s="41"/>
      <c r="W766" s="52"/>
    </row>
    <row r="767" customFormat="false" ht="12.75" hidden="false" customHeight="true" outlineLevel="0" collapsed="false">
      <c r="C767" s="70"/>
      <c r="N767" s="2"/>
      <c r="O767" s="41"/>
      <c r="P767" s="41"/>
      <c r="Q767" s="41"/>
      <c r="R767" s="41"/>
      <c r="S767" s="41"/>
      <c r="T767" s="41"/>
      <c r="U767" s="41"/>
      <c r="V767" s="41"/>
      <c r="W767" s="52"/>
    </row>
    <row r="768" customFormat="false" ht="12.75" hidden="false" customHeight="true" outlineLevel="0" collapsed="false">
      <c r="C768" s="70"/>
      <c r="N768" s="2"/>
      <c r="O768" s="41"/>
      <c r="P768" s="41"/>
      <c r="Q768" s="41"/>
      <c r="R768" s="41"/>
      <c r="S768" s="41"/>
      <c r="T768" s="41"/>
      <c r="U768" s="41"/>
      <c r="V768" s="41"/>
      <c r="W768" s="52"/>
    </row>
    <row r="769" customFormat="false" ht="12.75" hidden="false" customHeight="true" outlineLevel="0" collapsed="false">
      <c r="C769" s="70"/>
      <c r="N769" s="2"/>
      <c r="O769" s="41"/>
      <c r="P769" s="41"/>
      <c r="Q769" s="41"/>
      <c r="R769" s="41"/>
      <c r="S769" s="41"/>
      <c r="T769" s="41"/>
      <c r="U769" s="41"/>
      <c r="V769" s="41"/>
      <c r="W769" s="52"/>
    </row>
    <row r="770" customFormat="false" ht="12.75" hidden="false" customHeight="true" outlineLevel="0" collapsed="false">
      <c r="C770" s="70"/>
      <c r="N770" s="2"/>
      <c r="O770" s="41"/>
      <c r="P770" s="41"/>
      <c r="Q770" s="41"/>
      <c r="R770" s="41"/>
      <c r="S770" s="41"/>
      <c r="T770" s="41"/>
      <c r="U770" s="41"/>
      <c r="V770" s="41"/>
      <c r="W770" s="52"/>
    </row>
    <row r="771" customFormat="false" ht="12.75" hidden="false" customHeight="true" outlineLevel="0" collapsed="false">
      <c r="C771" s="70"/>
      <c r="N771" s="2"/>
      <c r="O771" s="41"/>
      <c r="P771" s="41"/>
      <c r="Q771" s="41"/>
      <c r="R771" s="41"/>
      <c r="S771" s="41"/>
      <c r="T771" s="41"/>
      <c r="U771" s="41"/>
      <c r="V771" s="41"/>
      <c r="W771" s="52"/>
    </row>
    <row r="772" customFormat="false" ht="12.75" hidden="false" customHeight="true" outlineLevel="0" collapsed="false">
      <c r="C772" s="70"/>
      <c r="N772" s="2"/>
      <c r="O772" s="41"/>
      <c r="P772" s="41"/>
      <c r="Q772" s="41"/>
      <c r="R772" s="41"/>
      <c r="S772" s="41"/>
      <c r="T772" s="41"/>
      <c r="U772" s="41"/>
      <c r="V772" s="41"/>
      <c r="W772" s="52"/>
    </row>
    <row r="773" customFormat="false" ht="12.75" hidden="false" customHeight="true" outlineLevel="0" collapsed="false">
      <c r="C773" s="70"/>
      <c r="N773" s="2"/>
      <c r="O773" s="41"/>
      <c r="P773" s="41"/>
      <c r="Q773" s="41"/>
      <c r="R773" s="41"/>
      <c r="S773" s="41"/>
      <c r="T773" s="41"/>
      <c r="U773" s="41"/>
      <c r="V773" s="41"/>
      <c r="W773" s="52"/>
    </row>
    <row r="774" customFormat="false" ht="12.75" hidden="false" customHeight="true" outlineLevel="0" collapsed="false">
      <c r="C774" s="70"/>
      <c r="N774" s="2"/>
      <c r="O774" s="41"/>
      <c r="P774" s="41"/>
      <c r="Q774" s="41"/>
      <c r="R774" s="41"/>
      <c r="S774" s="41"/>
      <c r="T774" s="41"/>
      <c r="U774" s="41"/>
      <c r="V774" s="41"/>
      <c r="W774" s="52"/>
    </row>
    <row r="775" customFormat="false" ht="12.75" hidden="false" customHeight="true" outlineLevel="0" collapsed="false">
      <c r="C775" s="70"/>
      <c r="N775" s="2"/>
      <c r="O775" s="41"/>
      <c r="P775" s="41"/>
      <c r="Q775" s="41"/>
      <c r="R775" s="41"/>
      <c r="S775" s="41"/>
      <c r="T775" s="41"/>
      <c r="U775" s="41"/>
      <c r="V775" s="41"/>
      <c r="W775" s="52"/>
    </row>
    <row r="776" customFormat="false" ht="12.75" hidden="false" customHeight="true" outlineLevel="0" collapsed="false">
      <c r="C776" s="70"/>
      <c r="N776" s="2"/>
      <c r="O776" s="41"/>
      <c r="P776" s="41"/>
      <c r="Q776" s="41"/>
      <c r="R776" s="41"/>
      <c r="S776" s="41"/>
      <c r="T776" s="41"/>
      <c r="U776" s="41"/>
      <c r="V776" s="41"/>
      <c r="W776" s="52"/>
    </row>
    <row r="777" customFormat="false" ht="12.75" hidden="false" customHeight="true" outlineLevel="0" collapsed="false">
      <c r="C777" s="70"/>
      <c r="N777" s="2"/>
      <c r="O777" s="41"/>
      <c r="P777" s="41"/>
      <c r="Q777" s="41"/>
      <c r="R777" s="41"/>
      <c r="S777" s="41"/>
      <c r="T777" s="41"/>
      <c r="U777" s="41"/>
      <c r="V777" s="41"/>
      <c r="W777" s="52"/>
    </row>
    <row r="778" customFormat="false" ht="12.75" hidden="false" customHeight="true" outlineLevel="0" collapsed="false">
      <c r="C778" s="70"/>
      <c r="N778" s="2"/>
      <c r="O778" s="41"/>
      <c r="P778" s="41"/>
      <c r="Q778" s="41"/>
      <c r="R778" s="41"/>
      <c r="S778" s="41"/>
      <c r="T778" s="41"/>
      <c r="U778" s="41"/>
      <c r="V778" s="41"/>
      <c r="W778" s="52"/>
    </row>
    <row r="779" customFormat="false" ht="12.75" hidden="false" customHeight="true" outlineLevel="0" collapsed="false">
      <c r="C779" s="70"/>
      <c r="N779" s="2"/>
      <c r="O779" s="41"/>
      <c r="P779" s="41"/>
      <c r="Q779" s="41"/>
      <c r="R779" s="41"/>
      <c r="S779" s="41"/>
      <c r="T779" s="41"/>
      <c r="U779" s="41"/>
      <c r="V779" s="41"/>
      <c r="W779" s="52"/>
    </row>
    <row r="780" customFormat="false" ht="12.75" hidden="false" customHeight="true" outlineLevel="0" collapsed="false">
      <c r="C780" s="70"/>
      <c r="N780" s="2"/>
      <c r="O780" s="41"/>
      <c r="P780" s="41"/>
      <c r="Q780" s="41"/>
      <c r="R780" s="41"/>
      <c r="S780" s="41"/>
      <c r="T780" s="41"/>
      <c r="U780" s="41"/>
      <c r="V780" s="41"/>
      <c r="W780" s="52"/>
    </row>
    <row r="781" customFormat="false" ht="12.75" hidden="false" customHeight="true" outlineLevel="0" collapsed="false">
      <c r="C781" s="70"/>
      <c r="N781" s="2"/>
      <c r="O781" s="41"/>
      <c r="P781" s="41"/>
      <c r="Q781" s="41"/>
      <c r="R781" s="41"/>
      <c r="S781" s="41"/>
      <c r="T781" s="41"/>
      <c r="U781" s="41"/>
      <c r="V781" s="41"/>
      <c r="W781" s="52"/>
    </row>
    <row r="782" customFormat="false" ht="12.75" hidden="false" customHeight="true" outlineLevel="0" collapsed="false">
      <c r="C782" s="70"/>
      <c r="N782" s="2"/>
      <c r="O782" s="41"/>
      <c r="P782" s="41"/>
      <c r="Q782" s="41"/>
      <c r="R782" s="41"/>
      <c r="S782" s="41"/>
      <c r="T782" s="41"/>
      <c r="U782" s="41"/>
      <c r="V782" s="41"/>
      <c r="W782" s="52"/>
    </row>
    <row r="783" customFormat="false" ht="12.75" hidden="false" customHeight="true" outlineLevel="0" collapsed="false">
      <c r="C783" s="70"/>
      <c r="N783" s="2"/>
      <c r="O783" s="41"/>
      <c r="P783" s="41"/>
      <c r="Q783" s="41"/>
      <c r="R783" s="41"/>
      <c r="S783" s="41"/>
      <c r="T783" s="41"/>
      <c r="U783" s="41"/>
      <c r="V783" s="41"/>
      <c r="W783" s="52"/>
    </row>
    <row r="784" customFormat="false" ht="12.75" hidden="false" customHeight="true" outlineLevel="0" collapsed="false">
      <c r="C784" s="70"/>
      <c r="N784" s="2"/>
      <c r="O784" s="41"/>
      <c r="P784" s="41"/>
      <c r="Q784" s="41"/>
      <c r="R784" s="41"/>
      <c r="S784" s="41"/>
      <c r="T784" s="41"/>
      <c r="U784" s="41"/>
      <c r="V784" s="41"/>
      <c r="W784" s="52"/>
    </row>
    <row r="785" customFormat="false" ht="12.75" hidden="false" customHeight="true" outlineLevel="0" collapsed="false">
      <c r="C785" s="70"/>
      <c r="N785" s="2"/>
      <c r="O785" s="41"/>
      <c r="P785" s="41"/>
      <c r="Q785" s="41"/>
      <c r="R785" s="41"/>
      <c r="S785" s="41"/>
      <c r="T785" s="41"/>
      <c r="U785" s="41"/>
      <c r="V785" s="41"/>
      <c r="W785" s="52"/>
    </row>
    <row r="786" customFormat="false" ht="12.75" hidden="false" customHeight="true" outlineLevel="0" collapsed="false">
      <c r="C786" s="70"/>
      <c r="N786" s="2"/>
      <c r="O786" s="41"/>
      <c r="P786" s="41"/>
      <c r="Q786" s="41"/>
      <c r="R786" s="41"/>
      <c r="S786" s="41"/>
      <c r="T786" s="41"/>
      <c r="U786" s="41"/>
      <c r="V786" s="41"/>
      <c r="W786" s="52"/>
    </row>
    <row r="787" customFormat="false" ht="12.75" hidden="false" customHeight="true" outlineLevel="0" collapsed="false">
      <c r="C787" s="70"/>
      <c r="N787" s="2"/>
      <c r="O787" s="41"/>
      <c r="P787" s="41"/>
      <c r="Q787" s="41"/>
      <c r="R787" s="41"/>
      <c r="S787" s="41"/>
      <c r="T787" s="41"/>
      <c r="U787" s="41"/>
      <c r="V787" s="41"/>
      <c r="W787" s="52"/>
    </row>
    <row r="788" customFormat="false" ht="12.75" hidden="false" customHeight="true" outlineLevel="0" collapsed="false">
      <c r="C788" s="70"/>
      <c r="N788" s="2"/>
      <c r="O788" s="41"/>
      <c r="P788" s="41"/>
      <c r="Q788" s="41"/>
      <c r="R788" s="41"/>
      <c r="S788" s="41"/>
      <c r="T788" s="41"/>
      <c r="U788" s="41"/>
      <c r="V788" s="41"/>
      <c r="W788" s="52"/>
    </row>
    <row r="789" customFormat="false" ht="12.75" hidden="false" customHeight="true" outlineLevel="0" collapsed="false">
      <c r="C789" s="70"/>
      <c r="N789" s="2"/>
      <c r="O789" s="41"/>
      <c r="P789" s="41"/>
      <c r="Q789" s="41"/>
      <c r="R789" s="41"/>
      <c r="S789" s="41"/>
      <c r="T789" s="41"/>
      <c r="U789" s="41"/>
      <c r="V789" s="41"/>
      <c r="W789" s="52"/>
    </row>
    <row r="790" customFormat="false" ht="12.75" hidden="false" customHeight="true" outlineLevel="0" collapsed="false">
      <c r="C790" s="70"/>
      <c r="N790" s="2"/>
      <c r="O790" s="41"/>
      <c r="P790" s="41"/>
      <c r="Q790" s="41"/>
      <c r="R790" s="41"/>
      <c r="S790" s="41"/>
      <c r="T790" s="41"/>
      <c r="U790" s="41"/>
      <c r="V790" s="41"/>
      <c r="W790" s="52"/>
    </row>
    <row r="791" customFormat="false" ht="12.75" hidden="false" customHeight="true" outlineLevel="0" collapsed="false">
      <c r="C791" s="70"/>
      <c r="N791" s="2"/>
      <c r="O791" s="41"/>
      <c r="P791" s="41"/>
      <c r="Q791" s="41"/>
      <c r="R791" s="41"/>
      <c r="S791" s="41"/>
      <c r="T791" s="41"/>
      <c r="U791" s="41"/>
      <c r="V791" s="41"/>
      <c r="W791" s="52"/>
    </row>
    <row r="792" customFormat="false" ht="12.75" hidden="false" customHeight="true" outlineLevel="0" collapsed="false">
      <c r="C792" s="70"/>
      <c r="N792" s="2"/>
      <c r="O792" s="41"/>
      <c r="P792" s="41"/>
      <c r="Q792" s="41"/>
      <c r="R792" s="41"/>
      <c r="S792" s="41"/>
      <c r="T792" s="41"/>
      <c r="U792" s="41"/>
      <c r="V792" s="41"/>
      <c r="W792" s="52"/>
    </row>
    <row r="793" customFormat="false" ht="12.75" hidden="false" customHeight="true" outlineLevel="0" collapsed="false">
      <c r="C793" s="70"/>
      <c r="N793" s="2"/>
      <c r="O793" s="41"/>
      <c r="P793" s="41"/>
      <c r="Q793" s="41"/>
      <c r="R793" s="41"/>
      <c r="S793" s="41"/>
      <c r="T793" s="41"/>
      <c r="U793" s="41"/>
      <c r="V793" s="41"/>
      <c r="W793" s="52"/>
    </row>
    <row r="794" customFormat="false" ht="12.75" hidden="false" customHeight="true" outlineLevel="0" collapsed="false">
      <c r="C794" s="70"/>
      <c r="N794" s="2"/>
      <c r="O794" s="41"/>
      <c r="P794" s="41"/>
      <c r="Q794" s="41"/>
      <c r="R794" s="41"/>
      <c r="S794" s="41"/>
      <c r="T794" s="41"/>
      <c r="U794" s="41"/>
      <c r="V794" s="41"/>
      <c r="W794" s="52"/>
    </row>
    <row r="795" customFormat="false" ht="12.75" hidden="false" customHeight="true" outlineLevel="0" collapsed="false">
      <c r="C795" s="70"/>
      <c r="N795" s="2"/>
      <c r="O795" s="41"/>
      <c r="P795" s="41"/>
      <c r="Q795" s="41"/>
      <c r="R795" s="41"/>
      <c r="S795" s="41"/>
      <c r="T795" s="41"/>
      <c r="U795" s="41"/>
      <c r="V795" s="41"/>
      <c r="W795" s="52"/>
    </row>
    <row r="796" customFormat="false" ht="12.75" hidden="false" customHeight="true" outlineLevel="0" collapsed="false">
      <c r="C796" s="70"/>
      <c r="N796" s="2"/>
      <c r="O796" s="41"/>
      <c r="P796" s="41"/>
      <c r="Q796" s="41"/>
      <c r="R796" s="41"/>
      <c r="S796" s="41"/>
      <c r="T796" s="41"/>
      <c r="U796" s="41"/>
      <c r="V796" s="41"/>
      <c r="W796" s="52"/>
    </row>
    <row r="797" customFormat="false" ht="12.75" hidden="false" customHeight="true" outlineLevel="0" collapsed="false">
      <c r="C797" s="70"/>
      <c r="N797" s="2"/>
      <c r="O797" s="41"/>
      <c r="P797" s="41"/>
      <c r="Q797" s="41"/>
      <c r="R797" s="41"/>
      <c r="S797" s="41"/>
      <c r="T797" s="41"/>
      <c r="U797" s="41"/>
      <c r="V797" s="41"/>
      <c r="W797" s="52"/>
    </row>
    <row r="798" customFormat="false" ht="12.75" hidden="false" customHeight="true" outlineLevel="0" collapsed="false">
      <c r="C798" s="70"/>
      <c r="N798" s="2"/>
      <c r="O798" s="41"/>
      <c r="P798" s="41"/>
      <c r="Q798" s="41"/>
      <c r="R798" s="41"/>
      <c r="S798" s="41"/>
      <c r="T798" s="41"/>
      <c r="U798" s="41"/>
      <c r="V798" s="41"/>
      <c r="W798" s="52"/>
    </row>
    <row r="799" customFormat="false" ht="12.75" hidden="false" customHeight="true" outlineLevel="0" collapsed="false">
      <c r="C799" s="70"/>
      <c r="N799" s="2"/>
      <c r="O799" s="41"/>
      <c r="P799" s="41"/>
      <c r="Q799" s="41"/>
      <c r="R799" s="41"/>
      <c r="S799" s="41"/>
      <c r="T799" s="41"/>
      <c r="U799" s="41"/>
      <c r="V799" s="41"/>
      <c r="W799" s="52"/>
    </row>
    <row r="800" customFormat="false" ht="12.75" hidden="false" customHeight="true" outlineLevel="0" collapsed="false">
      <c r="C800" s="70"/>
      <c r="N800" s="2"/>
      <c r="O800" s="41"/>
      <c r="P800" s="41"/>
      <c r="Q800" s="41"/>
      <c r="R800" s="41"/>
      <c r="S800" s="41"/>
      <c r="T800" s="41"/>
      <c r="U800" s="41"/>
      <c r="V800" s="41"/>
      <c r="W800" s="52"/>
    </row>
    <row r="801" customFormat="false" ht="12.75" hidden="false" customHeight="true" outlineLevel="0" collapsed="false">
      <c r="C801" s="70"/>
      <c r="N801" s="2"/>
      <c r="O801" s="41"/>
      <c r="P801" s="41"/>
      <c r="Q801" s="41"/>
      <c r="R801" s="41"/>
      <c r="S801" s="41"/>
      <c r="T801" s="41"/>
      <c r="U801" s="41"/>
      <c r="V801" s="41"/>
      <c r="W801" s="52"/>
    </row>
    <row r="802" customFormat="false" ht="12.75" hidden="false" customHeight="true" outlineLevel="0" collapsed="false">
      <c r="C802" s="70"/>
      <c r="N802" s="2"/>
      <c r="O802" s="41"/>
      <c r="P802" s="41"/>
      <c r="Q802" s="41"/>
      <c r="R802" s="41"/>
      <c r="S802" s="41"/>
      <c r="T802" s="41"/>
      <c r="U802" s="41"/>
      <c r="V802" s="41"/>
      <c r="W802" s="52"/>
    </row>
    <row r="803" customFormat="false" ht="12.75" hidden="false" customHeight="true" outlineLevel="0" collapsed="false">
      <c r="C803" s="70"/>
      <c r="N803" s="2"/>
      <c r="O803" s="41"/>
      <c r="P803" s="41"/>
      <c r="Q803" s="41"/>
      <c r="R803" s="41"/>
      <c r="S803" s="41"/>
      <c r="T803" s="41"/>
      <c r="U803" s="41"/>
      <c r="V803" s="41"/>
      <c r="W803" s="52"/>
    </row>
    <row r="804" customFormat="false" ht="12.75" hidden="false" customHeight="true" outlineLevel="0" collapsed="false">
      <c r="C804" s="70"/>
      <c r="N804" s="2"/>
      <c r="O804" s="41"/>
      <c r="P804" s="41"/>
      <c r="Q804" s="41"/>
      <c r="R804" s="41"/>
      <c r="S804" s="41"/>
      <c r="T804" s="41"/>
      <c r="U804" s="41"/>
      <c r="V804" s="41"/>
      <c r="W804" s="52"/>
    </row>
    <row r="805" customFormat="false" ht="12.75" hidden="false" customHeight="true" outlineLevel="0" collapsed="false">
      <c r="C805" s="70"/>
      <c r="N805" s="2"/>
      <c r="O805" s="41"/>
      <c r="P805" s="41"/>
      <c r="Q805" s="41"/>
      <c r="R805" s="41"/>
      <c r="S805" s="41"/>
      <c r="T805" s="41"/>
      <c r="U805" s="41"/>
      <c r="V805" s="41"/>
      <c r="W805" s="52"/>
    </row>
    <row r="806" customFormat="false" ht="12.75" hidden="false" customHeight="true" outlineLevel="0" collapsed="false">
      <c r="C806" s="70"/>
      <c r="N806" s="2"/>
      <c r="O806" s="41"/>
      <c r="P806" s="41"/>
      <c r="Q806" s="41"/>
      <c r="R806" s="41"/>
      <c r="S806" s="41"/>
      <c r="T806" s="41"/>
      <c r="U806" s="41"/>
      <c r="V806" s="41"/>
      <c r="W806" s="52"/>
    </row>
    <row r="807" customFormat="false" ht="12.75" hidden="false" customHeight="true" outlineLevel="0" collapsed="false">
      <c r="C807" s="70"/>
      <c r="N807" s="2"/>
      <c r="O807" s="41"/>
      <c r="P807" s="41"/>
      <c r="Q807" s="41"/>
      <c r="R807" s="41"/>
      <c r="S807" s="41"/>
      <c r="T807" s="41"/>
      <c r="U807" s="41"/>
      <c r="V807" s="41"/>
      <c r="W807" s="52"/>
    </row>
    <row r="808" customFormat="false" ht="12.75" hidden="false" customHeight="true" outlineLevel="0" collapsed="false">
      <c r="C808" s="70"/>
      <c r="N808" s="2"/>
      <c r="O808" s="41"/>
      <c r="P808" s="41"/>
      <c r="Q808" s="41"/>
      <c r="R808" s="41"/>
      <c r="S808" s="41"/>
      <c r="T808" s="41"/>
      <c r="U808" s="41"/>
      <c r="V808" s="41"/>
      <c r="W808" s="52"/>
    </row>
    <row r="809" customFormat="false" ht="12.75" hidden="false" customHeight="true" outlineLevel="0" collapsed="false">
      <c r="C809" s="70"/>
      <c r="N809" s="2"/>
      <c r="O809" s="41"/>
      <c r="P809" s="41"/>
      <c r="Q809" s="41"/>
      <c r="R809" s="41"/>
      <c r="S809" s="41"/>
      <c r="T809" s="41"/>
      <c r="U809" s="41"/>
      <c r="V809" s="41"/>
      <c r="W809" s="52"/>
    </row>
    <row r="810" customFormat="false" ht="12.75" hidden="false" customHeight="true" outlineLevel="0" collapsed="false">
      <c r="C810" s="70"/>
      <c r="N810" s="2"/>
      <c r="O810" s="41"/>
      <c r="P810" s="41"/>
      <c r="Q810" s="41"/>
      <c r="R810" s="41"/>
      <c r="S810" s="41"/>
      <c r="T810" s="41"/>
      <c r="U810" s="41"/>
      <c r="V810" s="41"/>
      <c r="W810" s="52"/>
    </row>
    <row r="811" customFormat="false" ht="12.75" hidden="false" customHeight="true" outlineLevel="0" collapsed="false">
      <c r="C811" s="70"/>
      <c r="N811" s="2"/>
      <c r="O811" s="41"/>
      <c r="P811" s="41"/>
      <c r="Q811" s="41"/>
      <c r="R811" s="41"/>
      <c r="S811" s="41"/>
      <c r="T811" s="41"/>
      <c r="U811" s="41"/>
      <c r="V811" s="41"/>
      <c r="W811" s="52"/>
    </row>
    <row r="812" customFormat="false" ht="12.75" hidden="false" customHeight="true" outlineLevel="0" collapsed="false">
      <c r="C812" s="70"/>
      <c r="N812" s="2"/>
      <c r="O812" s="41"/>
      <c r="P812" s="41"/>
      <c r="Q812" s="41"/>
      <c r="R812" s="41"/>
      <c r="S812" s="41"/>
      <c r="T812" s="41"/>
      <c r="U812" s="41"/>
      <c r="V812" s="41"/>
      <c r="W812" s="52"/>
    </row>
    <row r="813" customFormat="false" ht="12.75" hidden="false" customHeight="true" outlineLevel="0" collapsed="false">
      <c r="C813" s="70"/>
      <c r="N813" s="2"/>
      <c r="O813" s="41"/>
      <c r="P813" s="41"/>
      <c r="Q813" s="41"/>
      <c r="R813" s="41"/>
      <c r="S813" s="41"/>
      <c r="T813" s="41"/>
      <c r="U813" s="41"/>
      <c r="V813" s="41"/>
      <c r="W813" s="52"/>
    </row>
    <row r="814" customFormat="false" ht="12.75" hidden="false" customHeight="true" outlineLevel="0" collapsed="false">
      <c r="C814" s="70"/>
      <c r="N814" s="2"/>
      <c r="O814" s="41"/>
      <c r="P814" s="41"/>
      <c r="Q814" s="41"/>
      <c r="R814" s="41"/>
      <c r="S814" s="41"/>
      <c r="T814" s="41"/>
      <c r="U814" s="41"/>
      <c r="V814" s="41"/>
      <c r="W814" s="52"/>
    </row>
    <row r="815" customFormat="false" ht="12.75" hidden="false" customHeight="true" outlineLevel="0" collapsed="false">
      <c r="C815" s="70"/>
      <c r="N815" s="2"/>
      <c r="O815" s="41"/>
      <c r="P815" s="41"/>
      <c r="Q815" s="41"/>
      <c r="R815" s="41"/>
      <c r="S815" s="41"/>
      <c r="T815" s="41"/>
      <c r="U815" s="41"/>
      <c r="V815" s="41"/>
      <c r="W815" s="52"/>
    </row>
    <row r="816" customFormat="false" ht="12.75" hidden="false" customHeight="true" outlineLevel="0" collapsed="false">
      <c r="C816" s="70"/>
      <c r="N816" s="2"/>
      <c r="O816" s="41"/>
      <c r="P816" s="41"/>
      <c r="Q816" s="41"/>
      <c r="R816" s="41"/>
      <c r="S816" s="41"/>
      <c r="T816" s="41"/>
      <c r="U816" s="41"/>
      <c r="V816" s="41"/>
      <c r="W816" s="52"/>
    </row>
    <row r="817" customFormat="false" ht="12.75" hidden="false" customHeight="true" outlineLevel="0" collapsed="false">
      <c r="C817" s="70"/>
      <c r="N817" s="2"/>
      <c r="O817" s="41"/>
      <c r="P817" s="41"/>
      <c r="Q817" s="41"/>
      <c r="R817" s="41"/>
      <c r="S817" s="41"/>
      <c r="T817" s="41"/>
      <c r="U817" s="41"/>
      <c r="V817" s="41"/>
      <c r="W817" s="52"/>
    </row>
    <row r="818" customFormat="false" ht="12.75" hidden="false" customHeight="true" outlineLevel="0" collapsed="false">
      <c r="C818" s="70"/>
      <c r="N818" s="2"/>
      <c r="O818" s="41"/>
      <c r="P818" s="41"/>
      <c r="Q818" s="41"/>
      <c r="R818" s="41"/>
      <c r="S818" s="41"/>
      <c r="T818" s="41"/>
      <c r="U818" s="41"/>
      <c r="V818" s="41"/>
      <c r="W818" s="52"/>
    </row>
    <row r="819" customFormat="false" ht="12.75" hidden="false" customHeight="true" outlineLevel="0" collapsed="false">
      <c r="C819" s="70"/>
      <c r="N819" s="2"/>
      <c r="O819" s="41"/>
      <c r="P819" s="41"/>
      <c r="Q819" s="41"/>
      <c r="R819" s="41"/>
      <c r="S819" s="41"/>
      <c r="T819" s="41"/>
      <c r="U819" s="41"/>
      <c r="V819" s="41"/>
      <c r="W819" s="52"/>
    </row>
    <row r="820" customFormat="false" ht="12.75" hidden="false" customHeight="true" outlineLevel="0" collapsed="false">
      <c r="C820" s="70"/>
      <c r="N820" s="2"/>
      <c r="O820" s="41"/>
      <c r="P820" s="41"/>
      <c r="Q820" s="41"/>
      <c r="R820" s="41"/>
      <c r="S820" s="41"/>
      <c r="T820" s="41"/>
      <c r="U820" s="41"/>
      <c r="V820" s="41"/>
      <c r="W820" s="52"/>
    </row>
    <row r="821" customFormat="false" ht="12.75" hidden="false" customHeight="true" outlineLevel="0" collapsed="false">
      <c r="C821" s="70"/>
      <c r="N821" s="2"/>
      <c r="O821" s="41"/>
      <c r="P821" s="41"/>
      <c r="Q821" s="41"/>
      <c r="R821" s="41"/>
      <c r="S821" s="41"/>
      <c r="T821" s="41"/>
      <c r="U821" s="41"/>
      <c r="V821" s="41"/>
      <c r="W821" s="52"/>
    </row>
    <row r="822" customFormat="false" ht="12.75" hidden="false" customHeight="true" outlineLevel="0" collapsed="false">
      <c r="C822" s="70"/>
      <c r="N822" s="2"/>
      <c r="O822" s="41"/>
      <c r="P822" s="41"/>
      <c r="Q822" s="41"/>
      <c r="R822" s="41"/>
      <c r="S822" s="41"/>
      <c r="T822" s="41"/>
      <c r="U822" s="41"/>
      <c r="V822" s="41"/>
      <c r="W822" s="52"/>
    </row>
    <row r="823" customFormat="false" ht="12.75" hidden="false" customHeight="true" outlineLevel="0" collapsed="false">
      <c r="C823" s="70"/>
      <c r="N823" s="2"/>
      <c r="O823" s="41"/>
      <c r="P823" s="41"/>
      <c r="Q823" s="41"/>
      <c r="R823" s="41"/>
      <c r="S823" s="41"/>
      <c r="T823" s="41"/>
      <c r="U823" s="41"/>
      <c r="V823" s="41"/>
      <c r="W823" s="52"/>
    </row>
    <row r="824" customFormat="false" ht="12.75" hidden="false" customHeight="true" outlineLevel="0" collapsed="false">
      <c r="C824" s="70"/>
      <c r="N824" s="2"/>
      <c r="O824" s="41"/>
      <c r="P824" s="41"/>
      <c r="Q824" s="41"/>
      <c r="R824" s="41"/>
      <c r="S824" s="41"/>
      <c r="T824" s="41"/>
      <c r="U824" s="41"/>
      <c r="V824" s="41"/>
      <c r="W824" s="52"/>
    </row>
    <row r="825" customFormat="false" ht="12.75" hidden="false" customHeight="true" outlineLevel="0" collapsed="false">
      <c r="C825" s="70"/>
      <c r="N825" s="2"/>
      <c r="O825" s="41"/>
      <c r="P825" s="41"/>
      <c r="Q825" s="41"/>
      <c r="R825" s="41"/>
      <c r="S825" s="41"/>
      <c r="T825" s="41"/>
      <c r="U825" s="41"/>
      <c r="V825" s="41"/>
      <c r="W825" s="52"/>
    </row>
    <row r="826" customFormat="false" ht="12.75" hidden="false" customHeight="true" outlineLevel="0" collapsed="false">
      <c r="C826" s="70"/>
      <c r="N826" s="2"/>
      <c r="O826" s="41"/>
      <c r="P826" s="41"/>
      <c r="Q826" s="41"/>
      <c r="R826" s="41"/>
      <c r="S826" s="41"/>
      <c r="T826" s="41"/>
      <c r="U826" s="41"/>
      <c r="V826" s="41"/>
      <c r="W826" s="52"/>
    </row>
    <row r="827" customFormat="false" ht="12.75" hidden="false" customHeight="true" outlineLevel="0" collapsed="false">
      <c r="C827" s="70"/>
      <c r="N827" s="2"/>
      <c r="O827" s="41"/>
      <c r="P827" s="41"/>
      <c r="Q827" s="41"/>
      <c r="R827" s="41"/>
      <c r="S827" s="41"/>
      <c r="T827" s="41"/>
      <c r="U827" s="41"/>
      <c r="V827" s="41"/>
      <c r="W827" s="52"/>
    </row>
    <row r="828" customFormat="false" ht="12.75" hidden="false" customHeight="true" outlineLevel="0" collapsed="false">
      <c r="C828" s="70"/>
      <c r="N828" s="2"/>
      <c r="O828" s="41"/>
      <c r="P828" s="41"/>
      <c r="Q828" s="41"/>
      <c r="R828" s="41"/>
      <c r="S828" s="41"/>
      <c r="T828" s="41"/>
      <c r="U828" s="41"/>
      <c r="V828" s="41"/>
      <c r="W828" s="52"/>
    </row>
    <row r="829" customFormat="false" ht="12.75" hidden="false" customHeight="true" outlineLevel="0" collapsed="false">
      <c r="C829" s="70"/>
      <c r="N829" s="2"/>
      <c r="O829" s="41"/>
      <c r="P829" s="41"/>
      <c r="Q829" s="41"/>
      <c r="R829" s="41"/>
      <c r="S829" s="41"/>
      <c r="T829" s="41"/>
      <c r="U829" s="41"/>
      <c r="V829" s="41"/>
      <c r="W829" s="52"/>
    </row>
    <row r="830" customFormat="false" ht="12.75" hidden="false" customHeight="true" outlineLevel="0" collapsed="false">
      <c r="C830" s="70"/>
      <c r="N830" s="2"/>
      <c r="O830" s="41"/>
      <c r="P830" s="41"/>
      <c r="Q830" s="41"/>
      <c r="R830" s="41"/>
      <c r="S830" s="41"/>
      <c r="T830" s="41"/>
      <c r="U830" s="41"/>
      <c r="V830" s="41"/>
      <c r="W830" s="52"/>
    </row>
    <row r="831" customFormat="false" ht="12.75" hidden="false" customHeight="true" outlineLevel="0" collapsed="false">
      <c r="C831" s="70"/>
      <c r="N831" s="2"/>
      <c r="O831" s="41"/>
      <c r="P831" s="41"/>
      <c r="Q831" s="41"/>
      <c r="R831" s="41"/>
      <c r="S831" s="41"/>
      <c r="T831" s="41"/>
      <c r="U831" s="41"/>
      <c r="V831" s="41"/>
      <c r="W831" s="52"/>
    </row>
    <row r="832" customFormat="false" ht="12.75" hidden="false" customHeight="true" outlineLevel="0" collapsed="false">
      <c r="C832" s="70"/>
      <c r="N832" s="2"/>
      <c r="O832" s="41"/>
      <c r="P832" s="41"/>
      <c r="Q832" s="41"/>
      <c r="R832" s="41"/>
      <c r="S832" s="41"/>
      <c r="T832" s="41"/>
      <c r="U832" s="41"/>
      <c r="V832" s="41"/>
      <c r="W832" s="52"/>
    </row>
    <row r="833" customFormat="false" ht="12.75" hidden="false" customHeight="true" outlineLevel="0" collapsed="false">
      <c r="C833" s="70"/>
      <c r="N833" s="2"/>
      <c r="O833" s="41"/>
      <c r="P833" s="41"/>
      <c r="Q833" s="41"/>
      <c r="R833" s="41"/>
      <c r="S833" s="41"/>
      <c r="T833" s="41"/>
      <c r="U833" s="41"/>
      <c r="V833" s="41"/>
      <c r="W833" s="52"/>
    </row>
    <row r="834" customFormat="false" ht="12.75" hidden="false" customHeight="true" outlineLevel="0" collapsed="false">
      <c r="C834" s="70"/>
      <c r="N834" s="2"/>
      <c r="O834" s="41"/>
      <c r="P834" s="41"/>
      <c r="Q834" s="41"/>
      <c r="R834" s="41"/>
      <c r="S834" s="41"/>
      <c r="T834" s="41"/>
      <c r="U834" s="41"/>
      <c r="V834" s="41"/>
      <c r="W834" s="52"/>
    </row>
    <row r="835" customFormat="false" ht="12.75" hidden="false" customHeight="true" outlineLevel="0" collapsed="false">
      <c r="C835" s="70"/>
      <c r="N835" s="2"/>
      <c r="O835" s="41"/>
      <c r="P835" s="41"/>
      <c r="Q835" s="41"/>
      <c r="R835" s="41"/>
      <c r="S835" s="41"/>
      <c r="T835" s="41"/>
      <c r="U835" s="41"/>
      <c r="V835" s="41"/>
      <c r="W835" s="52"/>
    </row>
    <row r="836" customFormat="false" ht="12.75" hidden="false" customHeight="true" outlineLevel="0" collapsed="false">
      <c r="C836" s="70"/>
      <c r="N836" s="2"/>
      <c r="O836" s="41"/>
      <c r="P836" s="41"/>
      <c r="Q836" s="41"/>
      <c r="R836" s="41"/>
      <c r="S836" s="41"/>
      <c r="T836" s="41"/>
      <c r="U836" s="41"/>
      <c r="V836" s="41"/>
      <c r="W836" s="52"/>
    </row>
    <row r="837" customFormat="false" ht="12.75" hidden="false" customHeight="true" outlineLevel="0" collapsed="false">
      <c r="C837" s="70"/>
      <c r="N837" s="2"/>
      <c r="O837" s="41"/>
      <c r="P837" s="41"/>
      <c r="Q837" s="41"/>
      <c r="R837" s="41"/>
      <c r="S837" s="41"/>
      <c r="T837" s="41"/>
      <c r="U837" s="41"/>
      <c r="V837" s="41"/>
      <c r="W837" s="52"/>
    </row>
    <row r="838" customFormat="false" ht="12.75" hidden="false" customHeight="true" outlineLevel="0" collapsed="false">
      <c r="C838" s="70"/>
      <c r="N838" s="2"/>
      <c r="O838" s="41"/>
      <c r="P838" s="41"/>
      <c r="Q838" s="41"/>
      <c r="R838" s="41"/>
      <c r="S838" s="41"/>
      <c r="T838" s="41"/>
      <c r="U838" s="41"/>
      <c r="V838" s="41"/>
      <c r="W838" s="52"/>
    </row>
    <row r="839" customFormat="false" ht="12.75" hidden="false" customHeight="true" outlineLevel="0" collapsed="false">
      <c r="C839" s="70"/>
      <c r="N839" s="2"/>
      <c r="O839" s="41"/>
      <c r="P839" s="41"/>
      <c r="Q839" s="41"/>
      <c r="R839" s="41"/>
      <c r="S839" s="41"/>
      <c r="T839" s="41"/>
      <c r="U839" s="41"/>
      <c r="V839" s="41"/>
      <c r="W839" s="52"/>
    </row>
    <row r="840" customFormat="false" ht="12.75" hidden="false" customHeight="true" outlineLevel="0" collapsed="false">
      <c r="C840" s="70"/>
      <c r="N840" s="2"/>
      <c r="O840" s="41"/>
      <c r="P840" s="41"/>
      <c r="Q840" s="41"/>
      <c r="R840" s="41"/>
      <c r="S840" s="41"/>
      <c r="T840" s="41"/>
      <c r="U840" s="41"/>
      <c r="V840" s="41"/>
      <c r="W840" s="52"/>
    </row>
    <row r="841" customFormat="false" ht="12.75" hidden="false" customHeight="true" outlineLevel="0" collapsed="false">
      <c r="C841" s="70"/>
      <c r="N841" s="2"/>
      <c r="O841" s="41"/>
      <c r="P841" s="41"/>
      <c r="Q841" s="41"/>
      <c r="R841" s="41"/>
      <c r="S841" s="41"/>
      <c r="T841" s="41"/>
      <c r="U841" s="41"/>
      <c r="V841" s="41"/>
      <c r="W841" s="52"/>
    </row>
    <row r="842" customFormat="false" ht="12.75" hidden="false" customHeight="true" outlineLevel="0" collapsed="false">
      <c r="C842" s="70"/>
      <c r="N842" s="2"/>
      <c r="O842" s="41"/>
      <c r="P842" s="41"/>
      <c r="Q842" s="41"/>
      <c r="R842" s="41"/>
      <c r="S842" s="41"/>
      <c r="T842" s="41"/>
      <c r="U842" s="41"/>
      <c r="V842" s="41"/>
      <c r="W842" s="52"/>
    </row>
    <row r="843" customFormat="false" ht="12.75" hidden="false" customHeight="true" outlineLevel="0" collapsed="false">
      <c r="C843" s="70"/>
      <c r="N843" s="2"/>
      <c r="O843" s="41"/>
      <c r="P843" s="41"/>
      <c r="Q843" s="41"/>
      <c r="R843" s="41"/>
      <c r="S843" s="41"/>
      <c r="T843" s="41"/>
      <c r="U843" s="41"/>
      <c r="V843" s="41"/>
      <c r="W843" s="52"/>
    </row>
    <row r="844" customFormat="false" ht="12.75" hidden="false" customHeight="true" outlineLevel="0" collapsed="false">
      <c r="C844" s="70"/>
      <c r="N844" s="2"/>
      <c r="O844" s="41"/>
      <c r="P844" s="41"/>
      <c r="Q844" s="41"/>
      <c r="R844" s="41"/>
      <c r="S844" s="41"/>
      <c r="T844" s="41"/>
      <c r="U844" s="41"/>
      <c r="V844" s="41"/>
      <c r="W844" s="52"/>
    </row>
    <row r="845" customFormat="false" ht="12.75" hidden="false" customHeight="true" outlineLevel="0" collapsed="false">
      <c r="C845" s="70"/>
      <c r="N845" s="2"/>
      <c r="O845" s="41"/>
      <c r="P845" s="41"/>
      <c r="Q845" s="41"/>
      <c r="R845" s="41"/>
      <c r="S845" s="41"/>
      <c r="T845" s="41"/>
      <c r="U845" s="41"/>
      <c r="V845" s="41"/>
      <c r="W845" s="52"/>
    </row>
    <row r="846" customFormat="false" ht="12.75" hidden="false" customHeight="true" outlineLevel="0" collapsed="false">
      <c r="C846" s="70"/>
      <c r="N846" s="2"/>
      <c r="O846" s="41"/>
      <c r="P846" s="41"/>
      <c r="Q846" s="41"/>
      <c r="R846" s="41"/>
      <c r="S846" s="41"/>
      <c r="T846" s="41"/>
      <c r="U846" s="41"/>
      <c r="V846" s="41"/>
      <c r="W846" s="52"/>
    </row>
    <row r="847" customFormat="false" ht="12.75" hidden="false" customHeight="true" outlineLevel="0" collapsed="false">
      <c r="C847" s="70"/>
      <c r="N847" s="2"/>
      <c r="O847" s="41"/>
      <c r="P847" s="41"/>
      <c r="Q847" s="41"/>
      <c r="R847" s="41"/>
      <c r="S847" s="41"/>
      <c r="T847" s="41"/>
      <c r="U847" s="41"/>
      <c r="V847" s="41"/>
      <c r="W847" s="52"/>
    </row>
    <row r="848" customFormat="false" ht="12.75" hidden="false" customHeight="true" outlineLevel="0" collapsed="false">
      <c r="C848" s="70"/>
      <c r="N848" s="2"/>
      <c r="O848" s="41"/>
      <c r="P848" s="41"/>
      <c r="Q848" s="41"/>
      <c r="R848" s="41"/>
      <c r="S848" s="41"/>
      <c r="T848" s="41"/>
      <c r="U848" s="41"/>
      <c r="V848" s="41"/>
      <c r="W848" s="52"/>
    </row>
    <row r="849" customFormat="false" ht="12.75" hidden="false" customHeight="true" outlineLevel="0" collapsed="false">
      <c r="C849" s="70"/>
      <c r="N849" s="2"/>
      <c r="O849" s="41"/>
      <c r="P849" s="41"/>
      <c r="Q849" s="41"/>
      <c r="R849" s="41"/>
      <c r="S849" s="41"/>
      <c r="T849" s="41"/>
      <c r="U849" s="41"/>
      <c r="V849" s="41"/>
      <c r="W849" s="52"/>
    </row>
    <row r="850" customFormat="false" ht="12.75" hidden="false" customHeight="true" outlineLevel="0" collapsed="false">
      <c r="C850" s="70"/>
      <c r="N850" s="2"/>
      <c r="O850" s="41"/>
      <c r="P850" s="41"/>
      <c r="Q850" s="41"/>
      <c r="R850" s="41"/>
      <c r="S850" s="41"/>
      <c r="T850" s="41"/>
      <c r="U850" s="41"/>
      <c r="V850" s="41"/>
      <c r="W850" s="52"/>
    </row>
    <row r="851" customFormat="false" ht="12.75" hidden="false" customHeight="true" outlineLevel="0" collapsed="false">
      <c r="C851" s="70"/>
      <c r="N851" s="2"/>
      <c r="O851" s="41"/>
      <c r="P851" s="41"/>
      <c r="Q851" s="41"/>
      <c r="R851" s="41"/>
      <c r="S851" s="41"/>
      <c r="T851" s="41"/>
      <c r="U851" s="41"/>
      <c r="V851" s="41"/>
      <c r="W851" s="52"/>
    </row>
    <row r="852" customFormat="false" ht="12.75" hidden="false" customHeight="true" outlineLevel="0" collapsed="false">
      <c r="C852" s="70"/>
      <c r="N852" s="2"/>
      <c r="O852" s="41"/>
      <c r="P852" s="41"/>
      <c r="Q852" s="41"/>
      <c r="R852" s="41"/>
      <c r="S852" s="41"/>
      <c r="T852" s="41"/>
      <c r="U852" s="41"/>
      <c r="V852" s="41"/>
      <c r="W852" s="52"/>
    </row>
    <row r="853" customFormat="false" ht="12.75" hidden="false" customHeight="true" outlineLevel="0" collapsed="false">
      <c r="C853" s="70"/>
      <c r="N853" s="2"/>
      <c r="O853" s="41"/>
      <c r="P853" s="41"/>
      <c r="Q853" s="41"/>
      <c r="R853" s="41"/>
      <c r="S853" s="41"/>
      <c r="T853" s="41"/>
      <c r="U853" s="41"/>
      <c r="V853" s="41"/>
      <c r="W853" s="52"/>
    </row>
    <row r="854" customFormat="false" ht="12.75" hidden="false" customHeight="true" outlineLevel="0" collapsed="false">
      <c r="C854" s="70"/>
      <c r="N854" s="2"/>
      <c r="O854" s="41"/>
      <c r="P854" s="41"/>
      <c r="Q854" s="41"/>
      <c r="R854" s="41"/>
      <c r="S854" s="41"/>
      <c r="T854" s="41"/>
      <c r="U854" s="41"/>
      <c r="V854" s="41"/>
      <c r="W854" s="52"/>
    </row>
    <row r="855" customFormat="false" ht="12.75" hidden="false" customHeight="true" outlineLevel="0" collapsed="false">
      <c r="C855" s="70"/>
      <c r="N855" s="2"/>
      <c r="O855" s="41"/>
      <c r="P855" s="41"/>
      <c r="Q855" s="41"/>
      <c r="R855" s="41"/>
      <c r="S855" s="41"/>
      <c r="T855" s="41"/>
      <c r="U855" s="41"/>
      <c r="V855" s="41"/>
      <c r="W855" s="52"/>
    </row>
    <row r="856" customFormat="false" ht="12.75" hidden="false" customHeight="true" outlineLevel="0" collapsed="false">
      <c r="C856" s="70"/>
      <c r="N856" s="2"/>
      <c r="O856" s="41"/>
      <c r="P856" s="41"/>
      <c r="Q856" s="41"/>
      <c r="R856" s="41"/>
      <c r="S856" s="41"/>
      <c r="T856" s="41"/>
      <c r="U856" s="41"/>
      <c r="V856" s="41"/>
      <c r="W856" s="52"/>
    </row>
    <row r="857" customFormat="false" ht="12.75" hidden="false" customHeight="true" outlineLevel="0" collapsed="false">
      <c r="C857" s="70"/>
      <c r="N857" s="2"/>
      <c r="O857" s="41"/>
      <c r="P857" s="41"/>
      <c r="Q857" s="41"/>
      <c r="R857" s="41"/>
      <c r="S857" s="41"/>
      <c r="T857" s="41"/>
      <c r="U857" s="41"/>
      <c r="V857" s="41"/>
      <c r="W857" s="52"/>
    </row>
    <row r="858" customFormat="false" ht="12.75" hidden="false" customHeight="true" outlineLevel="0" collapsed="false">
      <c r="C858" s="70"/>
      <c r="N858" s="2"/>
      <c r="O858" s="41"/>
      <c r="P858" s="41"/>
      <c r="Q858" s="41"/>
      <c r="R858" s="41"/>
      <c r="S858" s="41"/>
      <c r="T858" s="41"/>
      <c r="U858" s="41"/>
      <c r="V858" s="41"/>
      <c r="W858" s="52"/>
    </row>
    <row r="859" customFormat="false" ht="12.75" hidden="false" customHeight="true" outlineLevel="0" collapsed="false">
      <c r="C859" s="70"/>
      <c r="N859" s="2"/>
      <c r="O859" s="41"/>
      <c r="P859" s="41"/>
      <c r="Q859" s="41"/>
      <c r="R859" s="41"/>
      <c r="S859" s="41"/>
      <c r="T859" s="41"/>
      <c r="U859" s="41"/>
      <c r="V859" s="41"/>
      <c r="W859" s="52"/>
    </row>
    <row r="860" customFormat="false" ht="12.75" hidden="false" customHeight="true" outlineLevel="0" collapsed="false">
      <c r="C860" s="70"/>
      <c r="N860" s="2"/>
      <c r="O860" s="41"/>
      <c r="P860" s="41"/>
      <c r="Q860" s="41"/>
      <c r="R860" s="41"/>
      <c r="S860" s="41"/>
      <c r="T860" s="41"/>
      <c r="U860" s="41"/>
      <c r="V860" s="41"/>
      <c r="W860" s="52"/>
    </row>
    <row r="861" customFormat="false" ht="12.75" hidden="false" customHeight="true" outlineLevel="0" collapsed="false">
      <c r="C861" s="70"/>
      <c r="N861" s="2"/>
      <c r="O861" s="41"/>
      <c r="P861" s="41"/>
      <c r="Q861" s="41"/>
      <c r="R861" s="41"/>
      <c r="S861" s="41"/>
      <c r="T861" s="41"/>
      <c r="U861" s="41"/>
      <c r="V861" s="41"/>
      <c r="W861" s="52"/>
    </row>
    <row r="862" customFormat="false" ht="12.75" hidden="false" customHeight="true" outlineLevel="0" collapsed="false">
      <c r="C862" s="70"/>
      <c r="N862" s="2"/>
      <c r="O862" s="41"/>
      <c r="P862" s="41"/>
      <c r="Q862" s="41"/>
      <c r="R862" s="41"/>
      <c r="S862" s="41"/>
      <c r="T862" s="41"/>
      <c r="U862" s="41"/>
      <c r="V862" s="41"/>
      <c r="W862" s="52"/>
    </row>
    <row r="863" customFormat="false" ht="12.75" hidden="false" customHeight="true" outlineLevel="0" collapsed="false">
      <c r="C863" s="70"/>
      <c r="N863" s="2"/>
      <c r="O863" s="41"/>
      <c r="P863" s="41"/>
      <c r="Q863" s="41"/>
      <c r="R863" s="41"/>
      <c r="S863" s="41"/>
      <c r="T863" s="41"/>
      <c r="U863" s="41"/>
      <c r="V863" s="41"/>
      <c r="W863" s="52"/>
    </row>
    <row r="864" customFormat="false" ht="12.75" hidden="false" customHeight="true" outlineLevel="0" collapsed="false">
      <c r="C864" s="70"/>
      <c r="N864" s="2"/>
      <c r="O864" s="41"/>
      <c r="P864" s="41"/>
      <c r="Q864" s="41"/>
      <c r="R864" s="41"/>
      <c r="S864" s="41"/>
      <c r="T864" s="41"/>
      <c r="U864" s="41"/>
      <c r="V864" s="41"/>
      <c r="W864" s="52"/>
    </row>
    <row r="865" customFormat="false" ht="12.75" hidden="false" customHeight="true" outlineLevel="0" collapsed="false">
      <c r="C865" s="70"/>
      <c r="N865" s="2"/>
      <c r="O865" s="41"/>
      <c r="P865" s="41"/>
      <c r="Q865" s="41"/>
      <c r="R865" s="41"/>
      <c r="S865" s="41"/>
      <c r="T865" s="41"/>
      <c r="U865" s="41"/>
      <c r="V865" s="41"/>
      <c r="W865" s="52"/>
    </row>
    <row r="866" customFormat="false" ht="12.75" hidden="false" customHeight="true" outlineLevel="0" collapsed="false">
      <c r="C866" s="70"/>
      <c r="N866" s="2"/>
      <c r="O866" s="41"/>
      <c r="P866" s="41"/>
      <c r="Q866" s="41"/>
      <c r="R866" s="41"/>
      <c r="S866" s="41"/>
      <c r="T866" s="41"/>
      <c r="U866" s="41"/>
      <c r="V866" s="41"/>
      <c r="W866" s="52"/>
    </row>
    <row r="867" customFormat="false" ht="12.75" hidden="false" customHeight="true" outlineLevel="0" collapsed="false">
      <c r="C867" s="70"/>
      <c r="N867" s="2"/>
      <c r="O867" s="41"/>
      <c r="P867" s="41"/>
      <c r="Q867" s="41"/>
      <c r="R867" s="41"/>
      <c r="S867" s="41"/>
      <c r="T867" s="41"/>
      <c r="U867" s="41"/>
      <c r="V867" s="41"/>
      <c r="W867" s="52"/>
    </row>
    <row r="868" customFormat="false" ht="12.75" hidden="false" customHeight="true" outlineLevel="0" collapsed="false">
      <c r="C868" s="70"/>
      <c r="N868" s="2"/>
      <c r="O868" s="41"/>
      <c r="P868" s="41"/>
      <c r="Q868" s="41"/>
      <c r="R868" s="41"/>
      <c r="S868" s="41"/>
      <c r="T868" s="41"/>
      <c r="U868" s="41"/>
      <c r="V868" s="41"/>
      <c r="W868" s="52"/>
    </row>
    <row r="869" customFormat="false" ht="12.75" hidden="false" customHeight="true" outlineLevel="0" collapsed="false">
      <c r="C869" s="70"/>
      <c r="N869" s="2"/>
      <c r="O869" s="41"/>
      <c r="P869" s="41"/>
      <c r="Q869" s="41"/>
      <c r="R869" s="41"/>
      <c r="S869" s="41"/>
      <c r="T869" s="41"/>
      <c r="U869" s="41"/>
      <c r="V869" s="41"/>
      <c r="W869" s="52"/>
    </row>
    <row r="870" customFormat="false" ht="12.75" hidden="false" customHeight="true" outlineLevel="0" collapsed="false">
      <c r="C870" s="70"/>
      <c r="N870" s="2"/>
      <c r="O870" s="41"/>
      <c r="P870" s="41"/>
      <c r="Q870" s="41"/>
      <c r="R870" s="41"/>
      <c r="S870" s="41"/>
      <c r="T870" s="41"/>
      <c r="U870" s="41"/>
      <c r="V870" s="41"/>
      <c r="W870" s="52"/>
    </row>
    <row r="871" customFormat="false" ht="12.75" hidden="false" customHeight="true" outlineLevel="0" collapsed="false">
      <c r="C871" s="70"/>
      <c r="N871" s="2"/>
      <c r="O871" s="41"/>
      <c r="P871" s="41"/>
      <c r="Q871" s="41"/>
      <c r="R871" s="41"/>
      <c r="S871" s="41"/>
      <c r="T871" s="41"/>
      <c r="U871" s="41"/>
      <c r="V871" s="41"/>
      <c r="W871" s="52"/>
    </row>
    <row r="872" customFormat="false" ht="12.75" hidden="false" customHeight="true" outlineLevel="0" collapsed="false">
      <c r="C872" s="70"/>
      <c r="N872" s="2"/>
      <c r="O872" s="41"/>
      <c r="P872" s="41"/>
      <c r="Q872" s="41"/>
      <c r="R872" s="41"/>
      <c r="S872" s="41"/>
      <c r="T872" s="41"/>
      <c r="U872" s="41"/>
      <c r="V872" s="41"/>
      <c r="W872" s="52"/>
    </row>
    <row r="873" customFormat="false" ht="12.75" hidden="false" customHeight="true" outlineLevel="0" collapsed="false">
      <c r="C873" s="70"/>
      <c r="N873" s="2"/>
      <c r="O873" s="41"/>
      <c r="P873" s="41"/>
      <c r="Q873" s="41"/>
      <c r="R873" s="41"/>
      <c r="S873" s="41"/>
      <c r="T873" s="41"/>
      <c r="U873" s="41"/>
      <c r="V873" s="41"/>
      <c r="W873" s="52"/>
    </row>
    <row r="874" customFormat="false" ht="12.75" hidden="false" customHeight="true" outlineLevel="0" collapsed="false">
      <c r="C874" s="70"/>
      <c r="N874" s="2"/>
      <c r="O874" s="41"/>
      <c r="P874" s="41"/>
      <c r="Q874" s="41"/>
      <c r="R874" s="41"/>
      <c r="S874" s="41"/>
      <c r="T874" s="41"/>
      <c r="U874" s="41"/>
      <c r="V874" s="41"/>
      <c r="W874" s="52"/>
    </row>
    <row r="875" customFormat="false" ht="12.75" hidden="false" customHeight="true" outlineLevel="0" collapsed="false">
      <c r="C875" s="70"/>
      <c r="N875" s="2"/>
      <c r="O875" s="41"/>
      <c r="P875" s="41"/>
      <c r="Q875" s="41"/>
      <c r="R875" s="41"/>
      <c r="S875" s="41"/>
      <c r="T875" s="41"/>
      <c r="U875" s="41"/>
      <c r="V875" s="41"/>
      <c r="W875" s="52"/>
    </row>
    <row r="876" customFormat="false" ht="12.75" hidden="false" customHeight="true" outlineLevel="0" collapsed="false">
      <c r="C876" s="70"/>
      <c r="N876" s="2"/>
      <c r="O876" s="41"/>
      <c r="P876" s="41"/>
      <c r="Q876" s="41"/>
      <c r="R876" s="41"/>
      <c r="S876" s="41"/>
      <c r="T876" s="41"/>
      <c r="U876" s="41"/>
      <c r="V876" s="41"/>
      <c r="W876" s="52"/>
    </row>
    <row r="877" customFormat="false" ht="12.75" hidden="false" customHeight="true" outlineLevel="0" collapsed="false">
      <c r="C877" s="70"/>
      <c r="N877" s="2"/>
      <c r="O877" s="41"/>
      <c r="P877" s="41"/>
      <c r="Q877" s="41"/>
      <c r="R877" s="41"/>
      <c r="S877" s="41"/>
      <c r="T877" s="41"/>
      <c r="U877" s="41"/>
      <c r="V877" s="41"/>
      <c r="W877" s="52"/>
    </row>
    <row r="878" customFormat="false" ht="12.75" hidden="false" customHeight="true" outlineLevel="0" collapsed="false">
      <c r="C878" s="70"/>
      <c r="N878" s="2"/>
      <c r="O878" s="41"/>
      <c r="P878" s="41"/>
      <c r="Q878" s="41"/>
      <c r="R878" s="41"/>
      <c r="S878" s="41"/>
      <c r="T878" s="41"/>
      <c r="U878" s="41"/>
      <c r="V878" s="41"/>
      <c r="W878" s="52"/>
    </row>
    <row r="879" customFormat="false" ht="12.75" hidden="false" customHeight="true" outlineLevel="0" collapsed="false">
      <c r="C879" s="70"/>
      <c r="N879" s="2"/>
      <c r="O879" s="41"/>
      <c r="P879" s="41"/>
      <c r="Q879" s="41"/>
      <c r="R879" s="41"/>
      <c r="S879" s="41"/>
      <c r="T879" s="41"/>
      <c r="U879" s="41"/>
      <c r="V879" s="41"/>
      <c r="W879" s="52"/>
    </row>
    <row r="880" customFormat="false" ht="12.75" hidden="false" customHeight="true" outlineLevel="0" collapsed="false">
      <c r="C880" s="70"/>
      <c r="N880" s="2"/>
      <c r="O880" s="41"/>
      <c r="P880" s="41"/>
      <c r="Q880" s="41"/>
      <c r="R880" s="41"/>
      <c r="S880" s="41"/>
      <c r="T880" s="41"/>
      <c r="U880" s="41"/>
      <c r="V880" s="41"/>
      <c r="W880" s="52"/>
    </row>
    <row r="881" customFormat="false" ht="12.75" hidden="false" customHeight="true" outlineLevel="0" collapsed="false">
      <c r="C881" s="70"/>
      <c r="N881" s="2"/>
      <c r="O881" s="41"/>
      <c r="P881" s="41"/>
      <c r="Q881" s="41"/>
      <c r="R881" s="41"/>
      <c r="S881" s="41"/>
      <c r="T881" s="41"/>
      <c r="U881" s="41"/>
      <c r="V881" s="41"/>
      <c r="W881" s="52"/>
    </row>
    <row r="882" customFormat="false" ht="12.75" hidden="false" customHeight="true" outlineLevel="0" collapsed="false">
      <c r="C882" s="70"/>
      <c r="N882" s="2"/>
      <c r="O882" s="41"/>
      <c r="P882" s="41"/>
      <c r="Q882" s="41"/>
      <c r="R882" s="41"/>
      <c r="S882" s="41"/>
      <c r="T882" s="41"/>
      <c r="U882" s="41"/>
      <c r="V882" s="41"/>
      <c r="W882" s="52"/>
    </row>
    <row r="883" customFormat="false" ht="12.75" hidden="false" customHeight="true" outlineLevel="0" collapsed="false">
      <c r="C883" s="70"/>
      <c r="N883" s="2"/>
      <c r="O883" s="41"/>
      <c r="P883" s="41"/>
      <c r="Q883" s="41"/>
      <c r="R883" s="41"/>
      <c r="S883" s="41"/>
      <c r="T883" s="41"/>
      <c r="U883" s="41"/>
      <c r="V883" s="41"/>
      <c r="W883" s="52"/>
    </row>
    <row r="884" customFormat="false" ht="12.75" hidden="false" customHeight="true" outlineLevel="0" collapsed="false">
      <c r="C884" s="70"/>
      <c r="N884" s="2"/>
      <c r="O884" s="41"/>
      <c r="P884" s="41"/>
      <c r="Q884" s="41"/>
      <c r="R884" s="41"/>
      <c r="S884" s="41"/>
      <c r="T884" s="41"/>
      <c r="U884" s="41"/>
      <c r="V884" s="41"/>
      <c r="W884" s="52"/>
    </row>
    <row r="885" customFormat="false" ht="12.75" hidden="false" customHeight="true" outlineLevel="0" collapsed="false">
      <c r="C885" s="70"/>
      <c r="N885" s="2"/>
      <c r="O885" s="41"/>
      <c r="P885" s="41"/>
      <c r="Q885" s="41"/>
      <c r="R885" s="41"/>
      <c r="S885" s="41"/>
      <c r="T885" s="41"/>
      <c r="U885" s="41"/>
      <c r="V885" s="41"/>
      <c r="W885" s="52"/>
    </row>
    <row r="886" customFormat="false" ht="12.75" hidden="false" customHeight="true" outlineLevel="0" collapsed="false">
      <c r="C886" s="70"/>
      <c r="N886" s="2"/>
      <c r="O886" s="41"/>
      <c r="P886" s="41"/>
      <c r="Q886" s="41"/>
      <c r="R886" s="41"/>
      <c r="S886" s="41"/>
      <c r="T886" s="41"/>
      <c r="U886" s="41"/>
      <c r="V886" s="41"/>
      <c r="W886" s="52"/>
    </row>
    <row r="887" customFormat="false" ht="12.75" hidden="false" customHeight="true" outlineLevel="0" collapsed="false">
      <c r="C887" s="70"/>
      <c r="N887" s="2"/>
      <c r="O887" s="41"/>
      <c r="P887" s="41"/>
      <c r="Q887" s="41"/>
      <c r="R887" s="41"/>
      <c r="S887" s="41"/>
      <c r="T887" s="41"/>
      <c r="U887" s="41"/>
      <c r="V887" s="41"/>
      <c r="W887" s="52"/>
    </row>
    <row r="888" customFormat="false" ht="12.75" hidden="false" customHeight="true" outlineLevel="0" collapsed="false">
      <c r="C888" s="70"/>
      <c r="N888" s="2"/>
      <c r="O888" s="41"/>
      <c r="P888" s="41"/>
      <c r="Q888" s="41"/>
      <c r="R888" s="41"/>
      <c r="S888" s="41"/>
      <c r="T888" s="41"/>
      <c r="U888" s="41"/>
      <c r="V888" s="41"/>
      <c r="W888" s="52"/>
    </row>
    <row r="889" customFormat="false" ht="12.75" hidden="false" customHeight="true" outlineLevel="0" collapsed="false">
      <c r="C889" s="70"/>
      <c r="N889" s="2"/>
      <c r="O889" s="41"/>
      <c r="P889" s="41"/>
      <c r="Q889" s="41"/>
      <c r="R889" s="41"/>
      <c r="S889" s="41"/>
      <c r="T889" s="41"/>
      <c r="U889" s="41"/>
      <c r="V889" s="41"/>
      <c r="W889" s="52"/>
    </row>
    <row r="890" customFormat="false" ht="12.75" hidden="false" customHeight="true" outlineLevel="0" collapsed="false">
      <c r="C890" s="70"/>
      <c r="N890" s="2"/>
      <c r="O890" s="41"/>
      <c r="P890" s="41"/>
      <c r="Q890" s="41"/>
      <c r="R890" s="41"/>
      <c r="S890" s="41"/>
      <c r="T890" s="41"/>
      <c r="U890" s="41"/>
      <c r="V890" s="41"/>
      <c r="W890" s="52"/>
    </row>
    <row r="891" customFormat="false" ht="12.75" hidden="false" customHeight="true" outlineLevel="0" collapsed="false">
      <c r="C891" s="70"/>
      <c r="N891" s="2"/>
      <c r="O891" s="41"/>
      <c r="P891" s="41"/>
      <c r="Q891" s="41"/>
      <c r="R891" s="41"/>
      <c r="S891" s="41"/>
      <c r="T891" s="41"/>
      <c r="U891" s="41"/>
      <c r="V891" s="41"/>
      <c r="W891" s="52"/>
    </row>
    <row r="892" customFormat="false" ht="12.75" hidden="false" customHeight="true" outlineLevel="0" collapsed="false">
      <c r="C892" s="70"/>
      <c r="N892" s="2"/>
      <c r="O892" s="41"/>
      <c r="P892" s="41"/>
      <c r="Q892" s="41"/>
      <c r="R892" s="41"/>
      <c r="S892" s="41"/>
      <c r="T892" s="41"/>
      <c r="U892" s="41"/>
      <c r="V892" s="41"/>
      <c r="W892" s="52"/>
    </row>
    <row r="893" customFormat="false" ht="12.75" hidden="false" customHeight="true" outlineLevel="0" collapsed="false">
      <c r="C893" s="70"/>
      <c r="N893" s="2"/>
      <c r="O893" s="41"/>
      <c r="P893" s="41"/>
      <c r="Q893" s="41"/>
      <c r="R893" s="41"/>
      <c r="S893" s="41"/>
      <c r="T893" s="41"/>
      <c r="U893" s="41"/>
      <c r="V893" s="41"/>
      <c r="W893" s="52"/>
    </row>
    <row r="894" customFormat="false" ht="12.75" hidden="false" customHeight="true" outlineLevel="0" collapsed="false">
      <c r="C894" s="70"/>
      <c r="N894" s="2"/>
      <c r="O894" s="41"/>
      <c r="P894" s="41"/>
      <c r="Q894" s="41"/>
      <c r="R894" s="41"/>
      <c r="S894" s="41"/>
      <c r="T894" s="41"/>
      <c r="U894" s="41"/>
      <c r="V894" s="41"/>
      <c r="W894" s="52"/>
    </row>
    <row r="895" customFormat="false" ht="12.75" hidden="false" customHeight="true" outlineLevel="0" collapsed="false">
      <c r="C895" s="70"/>
      <c r="N895" s="2"/>
      <c r="O895" s="41"/>
      <c r="P895" s="41"/>
      <c r="Q895" s="41"/>
      <c r="R895" s="41"/>
      <c r="S895" s="41"/>
      <c r="T895" s="41"/>
      <c r="U895" s="41"/>
      <c r="V895" s="41"/>
      <c r="W895" s="52"/>
    </row>
    <row r="896" customFormat="false" ht="12.75" hidden="false" customHeight="true" outlineLevel="0" collapsed="false">
      <c r="C896" s="70"/>
      <c r="N896" s="2"/>
      <c r="O896" s="41"/>
      <c r="P896" s="41"/>
      <c r="Q896" s="41"/>
      <c r="R896" s="41"/>
      <c r="S896" s="41"/>
      <c r="T896" s="41"/>
      <c r="U896" s="41"/>
      <c r="V896" s="41"/>
      <c r="W896" s="52"/>
    </row>
    <row r="897" customFormat="false" ht="12.75" hidden="false" customHeight="true" outlineLevel="0" collapsed="false">
      <c r="C897" s="70"/>
      <c r="N897" s="2"/>
      <c r="O897" s="41"/>
      <c r="P897" s="41"/>
      <c r="Q897" s="41"/>
      <c r="R897" s="41"/>
      <c r="S897" s="41"/>
      <c r="T897" s="41"/>
      <c r="U897" s="41"/>
      <c r="V897" s="41"/>
      <c r="W897" s="52"/>
    </row>
    <row r="898" customFormat="false" ht="12.75" hidden="false" customHeight="true" outlineLevel="0" collapsed="false">
      <c r="C898" s="70"/>
      <c r="N898" s="2"/>
      <c r="O898" s="41"/>
      <c r="P898" s="41"/>
      <c r="Q898" s="41"/>
      <c r="R898" s="41"/>
      <c r="S898" s="41"/>
      <c r="T898" s="41"/>
      <c r="U898" s="41"/>
      <c r="V898" s="41"/>
      <c r="W898" s="52"/>
    </row>
    <row r="899" customFormat="false" ht="12.75" hidden="false" customHeight="true" outlineLevel="0" collapsed="false">
      <c r="C899" s="70"/>
      <c r="N899" s="2"/>
      <c r="O899" s="41"/>
      <c r="P899" s="41"/>
      <c r="Q899" s="41"/>
      <c r="R899" s="41"/>
      <c r="S899" s="41"/>
      <c r="T899" s="41"/>
      <c r="U899" s="41"/>
      <c r="V899" s="41"/>
      <c r="W899" s="52"/>
    </row>
    <row r="900" customFormat="false" ht="12.75" hidden="false" customHeight="true" outlineLevel="0" collapsed="false">
      <c r="C900" s="70"/>
      <c r="N900" s="2"/>
      <c r="O900" s="41"/>
      <c r="P900" s="41"/>
      <c r="Q900" s="41"/>
      <c r="R900" s="41"/>
      <c r="S900" s="41"/>
      <c r="T900" s="41"/>
      <c r="U900" s="41"/>
      <c r="V900" s="41"/>
      <c r="W900" s="52"/>
    </row>
    <row r="901" customFormat="false" ht="12.75" hidden="false" customHeight="true" outlineLevel="0" collapsed="false">
      <c r="C901" s="70"/>
      <c r="N901" s="2"/>
      <c r="O901" s="41"/>
      <c r="P901" s="41"/>
      <c r="Q901" s="41"/>
      <c r="R901" s="41"/>
      <c r="S901" s="41"/>
      <c r="T901" s="41"/>
      <c r="U901" s="41"/>
      <c r="V901" s="41"/>
      <c r="W901" s="52"/>
    </row>
    <row r="902" customFormat="false" ht="12.75" hidden="false" customHeight="true" outlineLevel="0" collapsed="false">
      <c r="C902" s="70"/>
      <c r="N902" s="2"/>
      <c r="O902" s="41"/>
      <c r="P902" s="41"/>
      <c r="Q902" s="41"/>
      <c r="R902" s="41"/>
      <c r="S902" s="41"/>
      <c r="T902" s="41"/>
      <c r="U902" s="41"/>
      <c r="V902" s="41"/>
      <c r="W902" s="52"/>
    </row>
    <row r="903" customFormat="false" ht="12.75" hidden="false" customHeight="true" outlineLevel="0" collapsed="false">
      <c r="C903" s="70"/>
      <c r="N903" s="2"/>
      <c r="O903" s="41"/>
      <c r="P903" s="41"/>
      <c r="Q903" s="41"/>
      <c r="R903" s="41"/>
      <c r="S903" s="41"/>
      <c r="T903" s="41"/>
      <c r="U903" s="41"/>
      <c r="V903" s="41"/>
      <c r="W903" s="52"/>
    </row>
    <row r="904" customFormat="false" ht="12.75" hidden="false" customHeight="true" outlineLevel="0" collapsed="false">
      <c r="C904" s="70"/>
      <c r="N904" s="2"/>
      <c r="O904" s="41"/>
      <c r="P904" s="41"/>
      <c r="Q904" s="41"/>
      <c r="R904" s="41"/>
      <c r="S904" s="41"/>
      <c r="T904" s="41"/>
      <c r="U904" s="41"/>
      <c r="V904" s="41"/>
      <c r="W904" s="52"/>
    </row>
    <row r="905" customFormat="false" ht="12.75" hidden="false" customHeight="true" outlineLevel="0" collapsed="false">
      <c r="C905" s="70"/>
      <c r="N905" s="2"/>
      <c r="O905" s="41"/>
      <c r="P905" s="41"/>
      <c r="Q905" s="41"/>
      <c r="R905" s="41"/>
      <c r="S905" s="41"/>
      <c r="T905" s="41"/>
      <c r="U905" s="41"/>
      <c r="V905" s="41"/>
      <c r="W905" s="52"/>
    </row>
    <row r="906" customFormat="false" ht="12.75" hidden="false" customHeight="true" outlineLevel="0" collapsed="false">
      <c r="C906" s="70"/>
      <c r="N906" s="2"/>
      <c r="O906" s="41"/>
      <c r="P906" s="41"/>
      <c r="Q906" s="41"/>
      <c r="R906" s="41"/>
      <c r="S906" s="41"/>
      <c r="T906" s="41"/>
      <c r="U906" s="41"/>
      <c r="V906" s="41"/>
      <c r="W906" s="52"/>
    </row>
    <row r="907" customFormat="false" ht="12.75" hidden="false" customHeight="true" outlineLevel="0" collapsed="false">
      <c r="C907" s="70"/>
      <c r="N907" s="2"/>
      <c r="O907" s="41"/>
      <c r="P907" s="41"/>
      <c r="Q907" s="41"/>
      <c r="R907" s="41"/>
      <c r="S907" s="41"/>
      <c r="T907" s="41"/>
      <c r="U907" s="41"/>
      <c r="V907" s="41"/>
      <c r="W907" s="52"/>
    </row>
    <row r="908" customFormat="false" ht="12.75" hidden="false" customHeight="true" outlineLevel="0" collapsed="false">
      <c r="C908" s="70"/>
      <c r="N908" s="2"/>
      <c r="O908" s="41"/>
      <c r="P908" s="41"/>
      <c r="Q908" s="41"/>
      <c r="R908" s="41"/>
      <c r="S908" s="41"/>
      <c r="T908" s="41"/>
      <c r="U908" s="41"/>
      <c r="V908" s="41"/>
      <c r="W908" s="52"/>
    </row>
    <row r="909" customFormat="false" ht="12.75" hidden="false" customHeight="true" outlineLevel="0" collapsed="false">
      <c r="C909" s="70"/>
      <c r="N909" s="2"/>
      <c r="O909" s="41"/>
      <c r="P909" s="41"/>
      <c r="Q909" s="41"/>
      <c r="R909" s="41"/>
      <c r="S909" s="41"/>
      <c r="T909" s="41"/>
      <c r="U909" s="41"/>
      <c r="V909" s="41"/>
      <c r="W909" s="52"/>
    </row>
    <row r="910" customFormat="false" ht="12.75" hidden="false" customHeight="true" outlineLevel="0" collapsed="false">
      <c r="C910" s="70"/>
      <c r="N910" s="2"/>
      <c r="O910" s="41"/>
      <c r="P910" s="41"/>
      <c r="Q910" s="41"/>
      <c r="R910" s="41"/>
      <c r="S910" s="41"/>
      <c r="T910" s="41"/>
      <c r="U910" s="41"/>
      <c r="V910" s="41"/>
      <c r="W910" s="52"/>
    </row>
    <row r="911" customFormat="false" ht="12.75" hidden="false" customHeight="true" outlineLevel="0" collapsed="false">
      <c r="C911" s="70"/>
      <c r="N911" s="2"/>
      <c r="O911" s="41"/>
      <c r="P911" s="41"/>
      <c r="Q911" s="41"/>
      <c r="R911" s="41"/>
      <c r="S911" s="41"/>
      <c r="T911" s="41"/>
      <c r="U911" s="41"/>
      <c r="V911" s="41"/>
      <c r="W911" s="52"/>
    </row>
    <row r="912" customFormat="false" ht="12.75" hidden="false" customHeight="true" outlineLevel="0" collapsed="false">
      <c r="C912" s="70"/>
      <c r="N912" s="2"/>
      <c r="O912" s="41"/>
      <c r="P912" s="41"/>
      <c r="Q912" s="41"/>
      <c r="R912" s="41"/>
      <c r="S912" s="41"/>
      <c r="T912" s="41"/>
      <c r="U912" s="41"/>
      <c r="V912" s="41"/>
      <c r="W912" s="52"/>
    </row>
    <row r="913" customFormat="false" ht="12.75" hidden="false" customHeight="true" outlineLevel="0" collapsed="false">
      <c r="C913" s="70"/>
      <c r="N913" s="2"/>
      <c r="O913" s="41"/>
      <c r="P913" s="41"/>
      <c r="Q913" s="41"/>
      <c r="R913" s="41"/>
      <c r="S913" s="41"/>
      <c r="T913" s="41"/>
      <c r="U913" s="41"/>
      <c r="V913" s="41"/>
      <c r="W913" s="52"/>
    </row>
    <row r="914" customFormat="false" ht="12.75" hidden="false" customHeight="true" outlineLevel="0" collapsed="false">
      <c r="C914" s="70"/>
      <c r="N914" s="2"/>
      <c r="O914" s="41"/>
      <c r="P914" s="41"/>
      <c r="Q914" s="41"/>
      <c r="R914" s="41"/>
      <c r="S914" s="41"/>
      <c r="T914" s="41"/>
      <c r="U914" s="41"/>
      <c r="V914" s="41"/>
      <c r="W914" s="52"/>
    </row>
    <row r="915" customFormat="false" ht="12.75" hidden="false" customHeight="true" outlineLevel="0" collapsed="false">
      <c r="C915" s="70"/>
      <c r="N915" s="2"/>
      <c r="O915" s="41"/>
      <c r="P915" s="41"/>
      <c r="Q915" s="41"/>
      <c r="R915" s="41"/>
      <c r="S915" s="41"/>
      <c r="T915" s="41"/>
      <c r="U915" s="41"/>
      <c r="V915" s="41"/>
      <c r="W915" s="52"/>
    </row>
    <row r="916" customFormat="false" ht="12.75" hidden="false" customHeight="true" outlineLevel="0" collapsed="false">
      <c r="C916" s="70"/>
      <c r="N916" s="2"/>
      <c r="O916" s="41"/>
      <c r="P916" s="41"/>
      <c r="Q916" s="41"/>
      <c r="R916" s="41"/>
      <c r="S916" s="41"/>
      <c r="T916" s="41"/>
      <c r="U916" s="41"/>
      <c r="V916" s="41"/>
      <c r="W916" s="52"/>
    </row>
    <row r="917" customFormat="false" ht="12.75" hidden="false" customHeight="true" outlineLevel="0" collapsed="false">
      <c r="C917" s="70"/>
      <c r="N917" s="2"/>
      <c r="O917" s="41"/>
      <c r="P917" s="41"/>
      <c r="Q917" s="41"/>
      <c r="R917" s="41"/>
      <c r="S917" s="41"/>
      <c r="T917" s="41"/>
      <c r="U917" s="41"/>
      <c r="V917" s="41"/>
      <c r="W917" s="52"/>
    </row>
    <row r="918" customFormat="false" ht="12.75" hidden="false" customHeight="true" outlineLevel="0" collapsed="false">
      <c r="C918" s="70"/>
      <c r="N918" s="2"/>
      <c r="O918" s="41"/>
      <c r="P918" s="41"/>
      <c r="Q918" s="41"/>
      <c r="R918" s="41"/>
      <c r="S918" s="41"/>
      <c r="T918" s="41"/>
      <c r="U918" s="41"/>
      <c r="V918" s="41"/>
      <c r="W918" s="52"/>
    </row>
    <row r="919" customFormat="false" ht="12.75" hidden="false" customHeight="true" outlineLevel="0" collapsed="false">
      <c r="C919" s="70"/>
      <c r="N919" s="2"/>
      <c r="O919" s="41"/>
      <c r="P919" s="41"/>
      <c r="Q919" s="41"/>
      <c r="R919" s="41"/>
      <c r="S919" s="41"/>
      <c r="T919" s="41"/>
      <c r="U919" s="41"/>
      <c r="V919" s="41"/>
      <c r="W919" s="52"/>
    </row>
    <row r="920" customFormat="false" ht="12.75" hidden="false" customHeight="true" outlineLevel="0" collapsed="false">
      <c r="C920" s="70"/>
      <c r="N920" s="2"/>
      <c r="O920" s="41"/>
      <c r="P920" s="41"/>
      <c r="Q920" s="41"/>
      <c r="R920" s="41"/>
      <c r="S920" s="41"/>
      <c r="T920" s="41"/>
      <c r="U920" s="41"/>
      <c r="V920" s="41"/>
      <c r="W920" s="52"/>
    </row>
    <row r="921" customFormat="false" ht="12.75" hidden="false" customHeight="true" outlineLevel="0" collapsed="false">
      <c r="C921" s="70"/>
      <c r="N921" s="2"/>
      <c r="O921" s="41"/>
      <c r="P921" s="41"/>
      <c r="Q921" s="41"/>
      <c r="R921" s="41"/>
      <c r="S921" s="41"/>
      <c r="T921" s="41"/>
      <c r="U921" s="41"/>
      <c r="V921" s="41"/>
      <c r="W921" s="52"/>
    </row>
    <row r="922" customFormat="false" ht="12.75" hidden="false" customHeight="true" outlineLevel="0" collapsed="false">
      <c r="C922" s="70"/>
      <c r="N922" s="2"/>
      <c r="O922" s="41"/>
      <c r="P922" s="41"/>
      <c r="Q922" s="41"/>
      <c r="R922" s="41"/>
      <c r="S922" s="41"/>
      <c r="T922" s="41"/>
      <c r="U922" s="41"/>
      <c r="V922" s="41"/>
      <c r="W922" s="52"/>
    </row>
    <row r="923" customFormat="false" ht="12.75" hidden="false" customHeight="true" outlineLevel="0" collapsed="false">
      <c r="C923" s="70"/>
      <c r="N923" s="2"/>
      <c r="O923" s="41"/>
      <c r="P923" s="41"/>
      <c r="Q923" s="41"/>
      <c r="R923" s="41"/>
      <c r="S923" s="41"/>
      <c r="T923" s="41"/>
      <c r="U923" s="41"/>
      <c r="V923" s="41"/>
      <c r="W923" s="52"/>
    </row>
    <row r="924" customFormat="false" ht="12.75" hidden="false" customHeight="true" outlineLevel="0" collapsed="false">
      <c r="C924" s="70"/>
      <c r="N924" s="2"/>
      <c r="O924" s="41"/>
      <c r="P924" s="41"/>
      <c r="Q924" s="41"/>
      <c r="R924" s="41"/>
      <c r="S924" s="41"/>
      <c r="T924" s="41"/>
      <c r="U924" s="41"/>
      <c r="V924" s="41"/>
      <c r="W924" s="52"/>
    </row>
    <row r="925" customFormat="false" ht="12.75" hidden="false" customHeight="true" outlineLevel="0" collapsed="false">
      <c r="C925" s="70"/>
      <c r="N925" s="2"/>
      <c r="O925" s="41"/>
      <c r="P925" s="41"/>
      <c r="Q925" s="41"/>
      <c r="R925" s="41"/>
      <c r="S925" s="41"/>
      <c r="T925" s="41"/>
      <c r="U925" s="41"/>
      <c r="V925" s="41"/>
      <c r="W925" s="52"/>
    </row>
    <row r="926" customFormat="false" ht="12.75" hidden="false" customHeight="true" outlineLevel="0" collapsed="false">
      <c r="C926" s="70"/>
      <c r="N926" s="2"/>
      <c r="O926" s="41"/>
      <c r="P926" s="41"/>
      <c r="Q926" s="41"/>
      <c r="R926" s="41"/>
      <c r="S926" s="41"/>
      <c r="T926" s="41"/>
      <c r="U926" s="41"/>
      <c r="V926" s="41"/>
      <c r="W926" s="52"/>
    </row>
    <row r="927" customFormat="false" ht="12.75" hidden="false" customHeight="true" outlineLevel="0" collapsed="false">
      <c r="C927" s="70"/>
      <c r="N927" s="2"/>
      <c r="O927" s="41"/>
      <c r="P927" s="41"/>
      <c r="Q927" s="41"/>
      <c r="R927" s="41"/>
      <c r="S927" s="41"/>
      <c r="T927" s="41"/>
      <c r="U927" s="41"/>
      <c r="V927" s="41"/>
      <c r="W927" s="52"/>
    </row>
    <row r="928" customFormat="false" ht="12.75" hidden="false" customHeight="true" outlineLevel="0" collapsed="false">
      <c r="C928" s="70"/>
      <c r="N928" s="2"/>
      <c r="O928" s="41"/>
      <c r="P928" s="41"/>
      <c r="Q928" s="41"/>
      <c r="R928" s="41"/>
      <c r="S928" s="41"/>
      <c r="T928" s="41"/>
      <c r="U928" s="41"/>
      <c r="V928" s="41"/>
      <c r="W928" s="52"/>
    </row>
    <row r="929" customFormat="false" ht="12.75" hidden="false" customHeight="true" outlineLevel="0" collapsed="false">
      <c r="C929" s="70"/>
      <c r="N929" s="2"/>
      <c r="O929" s="41"/>
      <c r="P929" s="41"/>
      <c r="Q929" s="41"/>
      <c r="R929" s="41"/>
      <c r="S929" s="41"/>
      <c r="T929" s="41"/>
      <c r="U929" s="41"/>
      <c r="V929" s="41"/>
      <c r="W929" s="52"/>
    </row>
    <row r="930" customFormat="false" ht="12.75" hidden="false" customHeight="true" outlineLevel="0" collapsed="false">
      <c r="C930" s="70"/>
      <c r="N930" s="2"/>
      <c r="O930" s="41"/>
      <c r="P930" s="41"/>
      <c r="Q930" s="41"/>
      <c r="R930" s="41"/>
      <c r="S930" s="41"/>
      <c r="T930" s="41"/>
      <c r="U930" s="41"/>
      <c r="V930" s="41"/>
      <c r="W930" s="52"/>
    </row>
    <row r="931" customFormat="false" ht="12.75" hidden="false" customHeight="true" outlineLevel="0" collapsed="false">
      <c r="C931" s="70"/>
      <c r="N931" s="2"/>
      <c r="O931" s="41"/>
      <c r="P931" s="41"/>
      <c r="Q931" s="41"/>
      <c r="R931" s="41"/>
      <c r="S931" s="41"/>
      <c r="T931" s="41"/>
      <c r="U931" s="41"/>
      <c r="V931" s="41"/>
      <c r="W931" s="52"/>
    </row>
    <row r="932" customFormat="false" ht="12.75" hidden="false" customHeight="true" outlineLevel="0" collapsed="false">
      <c r="C932" s="70"/>
      <c r="N932" s="2"/>
      <c r="O932" s="41"/>
      <c r="P932" s="41"/>
      <c r="Q932" s="41"/>
      <c r="R932" s="41"/>
      <c r="S932" s="41"/>
      <c r="T932" s="41"/>
      <c r="U932" s="41"/>
      <c r="V932" s="41"/>
      <c r="W932" s="52"/>
    </row>
    <row r="933" customFormat="false" ht="12.75" hidden="false" customHeight="true" outlineLevel="0" collapsed="false">
      <c r="C933" s="70"/>
      <c r="N933" s="2"/>
      <c r="O933" s="41"/>
      <c r="P933" s="41"/>
      <c r="Q933" s="41"/>
      <c r="R933" s="41"/>
      <c r="S933" s="41"/>
      <c r="T933" s="41"/>
      <c r="U933" s="41"/>
      <c r="V933" s="41"/>
      <c r="W933" s="52"/>
    </row>
    <row r="934" customFormat="false" ht="12.75" hidden="false" customHeight="true" outlineLevel="0" collapsed="false">
      <c r="C934" s="70"/>
      <c r="N934" s="2"/>
      <c r="O934" s="41"/>
      <c r="P934" s="41"/>
      <c r="Q934" s="41"/>
      <c r="R934" s="41"/>
      <c r="S934" s="41"/>
      <c r="T934" s="41"/>
      <c r="U934" s="41"/>
      <c r="V934" s="41"/>
      <c r="W934" s="52"/>
    </row>
    <row r="935" customFormat="false" ht="12.75" hidden="false" customHeight="true" outlineLevel="0" collapsed="false">
      <c r="C935" s="70"/>
      <c r="N935" s="2"/>
      <c r="O935" s="41"/>
      <c r="P935" s="41"/>
      <c r="Q935" s="41"/>
      <c r="R935" s="41"/>
      <c r="S935" s="41"/>
      <c r="T935" s="41"/>
      <c r="U935" s="41"/>
      <c r="V935" s="41"/>
      <c r="W935" s="52"/>
    </row>
    <row r="936" customFormat="false" ht="12.75" hidden="false" customHeight="true" outlineLevel="0" collapsed="false">
      <c r="C936" s="70"/>
      <c r="N936" s="2"/>
      <c r="O936" s="41"/>
      <c r="P936" s="41"/>
      <c r="Q936" s="41"/>
      <c r="R936" s="41"/>
      <c r="S936" s="41"/>
      <c r="T936" s="41"/>
      <c r="U936" s="41"/>
      <c r="V936" s="41"/>
      <c r="W936" s="52"/>
    </row>
    <row r="937" customFormat="false" ht="12.75" hidden="false" customHeight="true" outlineLevel="0" collapsed="false">
      <c r="C937" s="70"/>
      <c r="N937" s="2"/>
      <c r="O937" s="41"/>
      <c r="P937" s="41"/>
      <c r="Q937" s="41"/>
      <c r="R937" s="41"/>
      <c r="S937" s="41"/>
      <c r="T937" s="41"/>
      <c r="U937" s="41"/>
      <c r="V937" s="41"/>
      <c r="W937" s="52"/>
    </row>
    <row r="938" customFormat="false" ht="12.75" hidden="false" customHeight="true" outlineLevel="0" collapsed="false">
      <c r="C938" s="70"/>
      <c r="N938" s="2"/>
      <c r="O938" s="41"/>
      <c r="P938" s="41"/>
      <c r="Q938" s="41"/>
      <c r="R938" s="41"/>
      <c r="S938" s="41"/>
      <c r="T938" s="41"/>
      <c r="U938" s="41"/>
      <c r="V938" s="41"/>
      <c r="W938" s="52"/>
    </row>
    <row r="939" customFormat="false" ht="12.75" hidden="false" customHeight="true" outlineLevel="0" collapsed="false">
      <c r="C939" s="70"/>
      <c r="N939" s="2"/>
      <c r="O939" s="41"/>
      <c r="P939" s="41"/>
      <c r="Q939" s="41"/>
      <c r="R939" s="41"/>
      <c r="S939" s="41"/>
      <c r="T939" s="41"/>
      <c r="U939" s="41"/>
      <c r="V939" s="41"/>
      <c r="W939" s="52"/>
    </row>
    <row r="940" customFormat="false" ht="12.75" hidden="false" customHeight="true" outlineLevel="0" collapsed="false">
      <c r="C940" s="70"/>
      <c r="N940" s="2"/>
      <c r="O940" s="41"/>
      <c r="P940" s="41"/>
      <c r="Q940" s="41"/>
      <c r="R940" s="41"/>
      <c r="S940" s="41"/>
      <c r="T940" s="41"/>
      <c r="U940" s="41"/>
      <c r="V940" s="41"/>
      <c r="W940" s="52"/>
    </row>
    <row r="941" customFormat="false" ht="12.75" hidden="false" customHeight="true" outlineLevel="0" collapsed="false">
      <c r="C941" s="70"/>
      <c r="N941" s="2"/>
      <c r="O941" s="41"/>
      <c r="P941" s="41"/>
      <c r="Q941" s="41"/>
      <c r="R941" s="41"/>
      <c r="S941" s="41"/>
      <c r="T941" s="41"/>
      <c r="U941" s="41"/>
      <c r="V941" s="41"/>
      <c r="W941" s="52"/>
    </row>
    <row r="942" customFormat="false" ht="12.75" hidden="false" customHeight="true" outlineLevel="0" collapsed="false">
      <c r="C942" s="70"/>
      <c r="N942" s="2"/>
      <c r="O942" s="41"/>
      <c r="P942" s="41"/>
      <c r="Q942" s="41"/>
      <c r="R942" s="41"/>
      <c r="S942" s="41"/>
      <c r="T942" s="41"/>
      <c r="U942" s="41"/>
      <c r="V942" s="41"/>
      <c r="W942" s="52"/>
    </row>
    <row r="943" customFormat="false" ht="12.75" hidden="false" customHeight="true" outlineLevel="0" collapsed="false">
      <c r="C943" s="70"/>
      <c r="N943" s="2"/>
      <c r="O943" s="41"/>
      <c r="P943" s="41"/>
      <c r="Q943" s="41"/>
      <c r="R943" s="41"/>
      <c r="S943" s="41"/>
      <c r="T943" s="41"/>
      <c r="U943" s="41"/>
      <c r="V943" s="41"/>
      <c r="W943" s="52"/>
    </row>
    <row r="944" customFormat="false" ht="12.75" hidden="false" customHeight="true" outlineLevel="0" collapsed="false">
      <c r="C944" s="70"/>
      <c r="N944" s="2"/>
      <c r="O944" s="41"/>
      <c r="P944" s="41"/>
      <c r="Q944" s="41"/>
      <c r="R944" s="41"/>
      <c r="S944" s="41"/>
      <c r="T944" s="41"/>
      <c r="U944" s="41"/>
      <c r="V944" s="41"/>
      <c r="W944" s="52"/>
    </row>
    <row r="945" customFormat="false" ht="12.75" hidden="false" customHeight="true" outlineLevel="0" collapsed="false">
      <c r="C945" s="70"/>
      <c r="N945" s="2"/>
      <c r="O945" s="41"/>
      <c r="P945" s="41"/>
      <c r="Q945" s="41"/>
      <c r="R945" s="41"/>
      <c r="S945" s="41"/>
      <c r="T945" s="41"/>
      <c r="U945" s="41"/>
      <c r="V945" s="41"/>
      <c r="W945" s="52"/>
    </row>
    <row r="946" customFormat="false" ht="12.75" hidden="false" customHeight="true" outlineLevel="0" collapsed="false">
      <c r="C946" s="70"/>
      <c r="N946" s="2"/>
      <c r="O946" s="41"/>
      <c r="P946" s="41"/>
      <c r="Q946" s="41"/>
      <c r="R946" s="41"/>
      <c r="S946" s="41"/>
      <c r="T946" s="41"/>
      <c r="U946" s="41"/>
      <c r="V946" s="41"/>
      <c r="W946" s="52"/>
    </row>
    <row r="947" customFormat="false" ht="12.75" hidden="false" customHeight="true" outlineLevel="0" collapsed="false">
      <c r="C947" s="70"/>
      <c r="N947" s="2"/>
      <c r="O947" s="41"/>
      <c r="P947" s="41"/>
      <c r="Q947" s="41"/>
      <c r="R947" s="41"/>
      <c r="S947" s="41"/>
      <c r="T947" s="41"/>
      <c r="U947" s="41"/>
      <c r="V947" s="41"/>
      <c r="W947" s="52"/>
    </row>
    <row r="948" customFormat="false" ht="12.75" hidden="false" customHeight="true" outlineLevel="0" collapsed="false">
      <c r="C948" s="70"/>
      <c r="N948" s="2"/>
      <c r="O948" s="41"/>
      <c r="P948" s="41"/>
      <c r="Q948" s="41"/>
      <c r="R948" s="41"/>
      <c r="S948" s="41"/>
      <c r="T948" s="41"/>
      <c r="U948" s="41"/>
      <c r="V948" s="41"/>
      <c r="W948" s="52"/>
    </row>
    <row r="949" customFormat="false" ht="12.75" hidden="false" customHeight="true" outlineLevel="0" collapsed="false">
      <c r="C949" s="70"/>
      <c r="N949" s="2"/>
      <c r="O949" s="41"/>
      <c r="P949" s="41"/>
      <c r="Q949" s="41"/>
      <c r="R949" s="41"/>
      <c r="S949" s="41"/>
      <c r="T949" s="41"/>
      <c r="U949" s="41"/>
      <c r="V949" s="41"/>
      <c r="W949" s="52"/>
    </row>
    <row r="950" customFormat="false" ht="12.75" hidden="false" customHeight="true" outlineLevel="0" collapsed="false">
      <c r="C950" s="70"/>
      <c r="N950" s="2"/>
      <c r="O950" s="41"/>
      <c r="P950" s="41"/>
      <c r="Q950" s="41"/>
      <c r="R950" s="41"/>
      <c r="S950" s="41"/>
      <c r="T950" s="41"/>
      <c r="U950" s="41"/>
      <c r="V950" s="41"/>
      <c r="W950" s="52"/>
    </row>
    <row r="951" customFormat="false" ht="12.75" hidden="false" customHeight="true" outlineLevel="0" collapsed="false">
      <c r="C951" s="70"/>
      <c r="N951" s="2"/>
      <c r="O951" s="41"/>
      <c r="P951" s="41"/>
      <c r="Q951" s="41"/>
      <c r="R951" s="41"/>
      <c r="S951" s="41"/>
      <c r="T951" s="41"/>
      <c r="U951" s="41"/>
      <c r="V951" s="41"/>
      <c r="W951" s="52"/>
    </row>
    <row r="952" customFormat="false" ht="12.75" hidden="false" customHeight="true" outlineLevel="0" collapsed="false">
      <c r="C952" s="70"/>
      <c r="N952" s="2"/>
      <c r="O952" s="41"/>
      <c r="P952" s="41"/>
      <c r="Q952" s="41"/>
      <c r="R952" s="41"/>
      <c r="S952" s="41"/>
      <c r="T952" s="41"/>
      <c r="U952" s="41"/>
      <c r="V952" s="41"/>
      <c r="W952" s="52"/>
    </row>
    <row r="953" customFormat="false" ht="12.75" hidden="false" customHeight="true" outlineLevel="0" collapsed="false">
      <c r="C953" s="70"/>
      <c r="N953" s="2"/>
      <c r="O953" s="41"/>
      <c r="P953" s="41"/>
      <c r="Q953" s="41"/>
      <c r="R953" s="41"/>
      <c r="S953" s="41"/>
      <c r="T953" s="41"/>
      <c r="U953" s="41"/>
      <c r="V953" s="41"/>
      <c r="W953" s="52"/>
    </row>
    <row r="954" customFormat="false" ht="12.75" hidden="false" customHeight="true" outlineLevel="0" collapsed="false">
      <c r="C954" s="70"/>
      <c r="N954" s="2"/>
      <c r="O954" s="41"/>
      <c r="P954" s="41"/>
      <c r="Q954" s="41"/>
      <c r="R954" s="41"/>
      <c r="S954" s="41"/>
      <c r="T954" s="41"/>
      <c r="U954" s="41"/>
      <c r="V954" s="41"/>
      <c r="W954" s="52"/>
    </row>
    <row r="955" customFormat="false" ht="12.75" hidden="false" customHeight="true" outlineLevel="0" collapsed="false">
      <c r="C955" s="70"/>
      <c r="N955" s="2"/>
      <c r="O955" s="41"/>
      <c r="P955" s="41"/>
      <c r="Q955" s="41"/>
      <c r="R955" s="41"/>
      <c r="S955" s="41"/>
      <c r="T955" s="41"/>
      <c r="U955" s="41"/>
      <c r="V955" s="41"/>
      <c r="W955" s="52"/>
    </row>
    <row r="956" customFormat="false" ht="12.75" hidden="false" customHeight="true" outlineLevel="0" collapsed="false">
      <c r="C956" s="70"/>
      <c r="N956" s="2"/>
      <c r="O956" s="41"/>
      <c r="P956" s="41"/>
      <c r="Q956" s="41"/>
      <c r="R956" s="41"/>
      <c r="S956" s="41"/>
      <c r="T956" s="41"/>
      <c r="U956" s="41"/>
      <c r="V956" s="41"/>
      <c r="W956" s="52"/>
    </row>
    <row r="957" customFormat="false" ht="12.75" hidden="false" customHeight="true" outlineLevel="0" collapsed="false">
      <c r="C957" s="70"/>
      <c r="N957" s="2"/>
      <c r="O957" s="41"/>
      <c r="P957" s="41"/>
      <c r="Q957" s="41"/>
      <c r="R957" s="41"/>
      <c r="S957" s="41"/>
      <c r="T957" s="41"/>
      <c r="U957" s="41"/>
      <c r="V957" s="41"/>
      <c r="W957" s="52"/>
    </row>
    <row r="958" customFormat="false" ht="12.75" hidden="false" customHeight="true" outlineLevel="0" collapsed="false">
      <c r="C958" s="70"/>
      <c r="N958" s="2"/>
      <c r="O958" s="41"/>
      <c r="P958" s="41"/>
      <c r="Q958" s="41"/>
      <c r="R958" s="41"/>
      <c r="S958" s="41"/>
      <c r="T958" s="41"/>
      <c r="U958" s="41"/>
      <c r="V958" s="41"/>
      <c r="W958" s="52"/>
    </row>
    <row r="959" customFormat="false" ht="12.75" hidden="false" customHeight="true" outlineLevel="0" collapsed="false">
      <c r="C959" s="70"/>
      <c r="N959" s="2"/>
      <c r="O959" s="41"/>
      <c r="P959" s="41"/>
      <c r="Q959" s="41"/>
      <c r="R959" s="41"/>
      <c r="S959" s="41"/>
      <c r="T959" s="41"/>
      <c r="U959" s="41"/>
      <c r="V959" s="41"/>
      <c r="W959" s="52"/>
    </row>
    <row r="960" customFormat="false" ht="12.75" hidden="false" customHeight="true" outlineLevel="0" collapsed="false">
      <c r="C960" s="70"/>
      <c r="N960" s="2"/>
      <c r="O960" s="41"/>
      <c r="P960" s="41"/>
      <c r="Q960" s="41"/>
      <c r="R960" s="41"/>
      <c r="S960" s="41"/>
      <c r="T960" s="41"/>
      <c r="U960" s="41"/>
      <c r="V960" s="41"/>
      <c r="W960" s="52"/>
    </row>
    <row r="961" customFormat="false" ht="12.75" hidden="false" customHeight="true" outlineLevel="0" collapsed="false">
      <c r="C961" s="70"/>
      <c r="N961" s="2"/>
      <c r="O961" s="41"/>
      <c r="P961" s="41"/>
      <c r="Q961" s="41"/>
      <c r="R961" s="41"/>
      <c r="S961" s="41"/>
      <c r="T961" s="41"/>
      <c r="U961" s="41"/>
      <c r="V961" s="41"/>
      <c r="W961" s="52"/>
    </row>
    <row r="962" customFormat="false" ht="12.75" hidden="false" customHeight="true" outlineLevel="0" collapsed="false">
      <c r="C962" s="70"/>
      <c r="N962" s="2"/>
      <c r="O962" s="41"/>
      <c r="P962" s="41"/>
      <c r="Q962" s="41"/>
      <c r="R962" s="41"/>
      <c r="S962" s="41"/>
      <c r="T962" s="41"/>
      <c r="U962" s="41"/>
      <c r="V962" s="41"/>
      <c r="W962" s="52"/>
    </row>
    <row r="963" customFormat="false" ht="12.75" hidden="false" customHeight="true" outlineLevel="0" collapsed="false">
      <c r="C963" s="70"/>
      <c r="N963" s="2"/>
      <c r="O963" s="41"/>
      <c r="P963" s="41"/>
      <c r="Q963" s="41"/>
      <c r="R963" s="41"/>
      <c r="S963" s="41"/>
      <c r="T963" s="41"/>
      <c r="U963" s="41"/>
      <c r="V963" s="41"/>
      <c r="W963" s="52"/>
    </row>
    <row r="964" customFormat="false" ht="12.75" hidden="false" customHeight="true" outlineLevel="0" collapsed="false">
      <c r="C964" s="70"/>
      <c r="N964" s="2"/>
      <c r="O964" s="41"/>
      <c r="P964" s="41"/>
      <c r="Q964" s="41"/>
      <c r="R964" s="41"/>
      <c r="S964" s="41"/>
      <c r="T964" s="41"/>
      <c r="U964" s="41"/>
      <c r="V964" s="41"/>
      <c r="W964" s="52"/>
    </row>
    <row r="965" customFormat="false" ht="12.75" hidden="false" customHeight="true" outlineLevel="0" collapsed="false">
      <c r="C965" s="70"/>
      <c r="N965" s="2"/>
      <c r="O965" s="41"/>
      <c r="P965" s="41"/>
      <c r="Q965" s="41"/>
      <c r="R965" s="41"/>
      <c r="S965" s="41"/>
      <c r="T965" s="41"/>
      <c r="U965" s="41"/>
      <c r="V965" s="41"/>
      <c r="W965" s="52"/>
    </row>
    <row r="966" customFormat="false" ht="12.75" hidden="false" customHeight="true" outlineLevel="0" collapsed="false">
      <c r="C966" s="70"/>
      <c r="N966" s="2"/>
      <c r="O966" s="41"/>
      <c r="P966" s="41"/>
      <c r="Q966" s="41"/>
      <c r="R966" s="41"/>
      <c r="S966" s="41"/>
      <c r="T966" s="41"/>
      <c r="U966" s="41"/>
      <c r="V966" s="41"/>
      <c r="W966" s="52"/>
    </row>
    <row r="967" customFormat="false" ht="12.75" hidden="false" customHeight="true" outlineLevel="0" collapsed="false">
      <c r="C967" s="70"/>
      <c r="N967" s="2"/>
      <c r="O967" s="41"/>
      <c r="P967" s="41"/>
      <c r="Q967" s="41"/>
      <c r="R967" s="41"/>
      <c r="S967" s="41"/>
      <c r="T967" s="41"/>
      <c r="U967" s="41"/>
      <c r="V967" s="41"/>
      <c r="W967" s="52"/>
    </row>
    <row r="968" customFormat="false" ht="12.75" hidden="false" customHeight="true" outlineLevel="0" collapsed="false">
      <c r="C968" s="70"/>
      <c r="N968" s="2"/>
      <c r="O968" s="41"/>
      <c r="P968" s="41"/>
      <c r="Q968" s="41"/>
      <c r="R968" s="41"/>
      <c r="S968" s="41"/>
      <c r="T968" s="41"/>
      <c r="U968" s="41"/>
      <c r="V968" s="41"/>
      <c r="W968" s="52"/>
    </row>
    <row r="969" customFormat="false" ht="12.75" hidden="false" customHeight="true" outlineLevel="0" collapsed="false">
      <c r="C969" s="70"/>
      <c r="N969" s="2"/>
      <c r="O969" s="41"/>
      <c r="P969" s="41"/>
      <c r="Q969" s="41"/>
      <c r="R969" s="41"/>
      <c r="S969" s="41"/>
      <c r="T969" s="41"/>
      <c r="U969" s="41"/>
      <c r="V969" s="41"/>
      <c r="W969" s="52"/>
    </row>
    <row r="970" customFormat="false" ht="12.75" hidden="false" customHeight="true" outlineLevel="0" collapsed="false">
      <c r="C970" s="70"/>
      <c r="N970" s="2"/>
      <c r="O970" s="41"/>
      <c r="P970" s="41"/>
      <c r="Q970" s="41"/>
      <c r="R970" s="41"/>
      <c r="S970" s="41"/>
      <c r="T970" s="41"/>
      <c r="U970" s="41"/>
      <c r="V970" s="41"/>
      <c r="W970" s="52"/>
    </row>
    <row r="971" customFormat="false" ht="12.75" hidden="false" customHeight="true" outlineLevel="0" collapsed="false">
      <c r="C971" s="70"/>
      <c r="N971" s="2"/>
      <c r="O971" s="41"/>
      <c r="P971" s="41"/>
      <c r="Q971" s="41"/>
      <c r="R971" s="41"/>
      <c r="S971" s="41"/>
      <c r="T971" s="41"/>
      <c r="U971" s="41"/>
      <c r="V971" s="41"/>
      <c r="W971" s="52"/>
    </row>
    <row r="972" customFormat="false" ht="12.75" hidden="false" customHeight="true" outlineLevel="0" collapsed="false">
      <c r="C972" s="70"/>
      <c r="N972" s="2"/>
      <c r="O972" s="41"/>
      <c r="P972" s="41"/>
      <c r="Q972" s="41"/>
      <c r="R972" s="41"/>
      <c r="S972" s="41"/>
      <c r="T972" s="41"/>
      <c r="U972" s="41"/>
      <c r="V972" s="41"/>
      <c r="W972" s="52"/>
    </row>
    <row r="973" customFormat="false" ht="12.75" hidden="false" customHeight="true" outlineLevel="0" collapsed="false">
      <c r="C973" s="70"/>
      <c r="N973" s="2"/>
      <c r="O973" s="41"/>
      <c r="P973" s="41"/>
      <c r="Q973" s="41"/>
      <c r="R973" s="41"/>
      <c r="S973" s="41"/>
      <c r="T973" s="41"/>
      <c r="U973" s="41"/>
      <c r="V973" s="41"/>
      <c r="W973" s="52"/>
    </row>
    <row r="974" customFormat="false" ht="12.75" hidden="false" customHeight="true" outlineLevel="0" collapsed="false">
      <c r="C974" s="70"/>
      <c r="N974" s="2"/>
      <c r="O974" s="41"/>
      <c r="P974" s="41"/>
      <c r="Q974" s="41"/>
      <c r="R974" s="41"/>
      <c r="S974" s="41"/>
      <c r="T974" s="41"/>
      <c r="U974" s="41"/>
      <c r="V974" s="41"/>
      <c r="W974" s="52"/>
    </row>
    <row r="975" customFormat="false" ht="12.75" hidden="false" customHeight="true" outlineLevel="0" collapsed="false">
      <c r="C975" s="70"/>
      <c r="N975" s="2"/>
      <c r="O975" s="41"/>
      <c r="P975" s="41"/>
      <c r="Q975" s="41"/>
      <c r="R975" s="41"/>
      <c r="S975" s="41"/>
      <c r="T975" s="41"/>
      <c r="U975" s="41"/>
      <c r="V975" s="41"/>
      <c r="W975" s="52"/>
    </row>
    <row r="976" customFormat="false" ht="12.75" hidden="false" customHeight="true" outlineLevel="0" collapsed="false">
      <c r="C976" s="70"/>
      <c r="N976" s="2"/>
      <c r="O976" s="41"/>
      <c r="P976" s="41"/>
      <c r="Q976" s="41"/>
      <c r="R976" s="41"/>
      <c r="S976" s="41"/>
      <c r="T976" s="41"/>
      <c r="U976" s="41"/>
      <c r="V976" s="41"/>
      <c r="W976" s="52"/>
    </row>
    <row r="977" customFormat="false" ht="12.75" hidden="false" customHeight="true" outlineLevel="0" collapsed="false">
      <c r="C977" s="70"/>
      <c r="N977" s="2"/>
      <c r="O977" s="41"/>
      <c r="P977" s="41"/>
      <c r="Q977" s="41"/>
      <c r="R977" s="41"/>
      <c r="S977" s="41"/>
      <c r="T977" s="41"/>
      <c r="U977" s="41"/>
      <c r="V977" s="41"/>
      <c r="W977" s="52"/>
    </row>
    <row r="978" customFormat="false" ht="12.75" hidden="false" customHeight="true" outlineLevel="0" collapsed="false">
      <c r="C978" s="70"/>
      <c r="N978" s="2"/>
      <c r="O978" s="41"/>
      <c r="P978" s="41"/>
      <c r="Q978" s="41"/>
      <c r="R978" s="41"/>
      <c r="S978" s="41"/>
      <c r="T978" s="41"/>
      <c r="U978" s="41"/>
      <c r="V978" s="41"/>
      <c r="W978" s="52"/>
    </row>
    <row r="979" customFormat="false" ht="12.75" hidden="false" customHeight="true" outlineLevel="0" collapsed="false">
      <c r="C979" s="70"/>
      <c r="N979" s="2"/>
      <c r="O979" s="41"/>
      <c r="P979" s="41"/>
      <c r="Q979" s="41"/>
      <c r="R979" s="41"/>
      <c r="S979" s="41"/>
      <c r="T979" s="41"/>
      <c r="U979" s="41"/>
      <c r="V979" s="41"/>
      <c r="W979" s="52"/>
    </row>
    <row r="980" customFormat="false" ht="12.75" hidden="false" customHeight="true" outlineLevel="0" collapsed="false">
      <c r="C980" s="70"/>
      <c r="N980" s="2"/>
      <c r="O980" s="41"/>
      <c r="P980" s="41"/>
      <c r="Q980" s="41"/>
      <c r="R980" s="41"/>
      <c r="S980" s="41"/>
      <c r="T980" s="41"/>
      <c r="U980" s="41"/>
      <c r="V980" s="41"/>
      <c r="W980" s="52"/>
    </row>
    <row r="981" customFormat="false" ht="12.75" hidden="false" customHeight="true" outlineLevel="0" collapsed="false">
      <c r="C981" s="70"/>
      <c r="N981" s="2"/>
      <c r="O981" s="41"/>
      <c r="P981" s="41"/>
      <c r="Q981" s="41"/>
      <c r="R981" s="41"/>
      <c r="S981" s="41"/>
      <c r="T981" s="41"/>
      <c r="U981" s="41"/>
      <c r="V981" s="41"/>
      <c r="W981" s="52"/>
    </row>
    <row r="982" customFormat="false" ht="12.75" hidden="false" customHeight="true" outlineLevel="0" collapsed="false">
      <c r="C982" s="70"/>
      <c r="N982" s="2"/>
      <c r="O982" s="41"/>
      <c r="P982" s="41"/>
      <c r="Q982" s="41"/>
      <c r="R982" s="41"/>
      <c r="S982" s="41"/>
      <c r="T982" s="41"/>
      <c r="U982" s="41"/>
      <c r="V982" s="41"/>
      <c r="W982" s="52"/>
    </row>
    <row r="983" customFormat="false" ht="12.75" hidden="false" customHeight="true" outlineLevel="0" collapsed="false">
      <c r="C983" s="70"/>
      <c r="N983" s="2"/>
      <c r="O983" s="41"/>
      <c r="P983" s="41"/>
      <c r="Q983" s="41"/>
      <c r="R983" s="41"/>
      <c r="S983" s="41"/>
      <c r="T983" s="41"/>
      <c r="U983" s="41"/>
      <c r="V983" s="41"/>
      <c r="W983" s="52"/>
    </row>
    <row r="984" customFormat="false" ht="12.75" hidden="false" customHeight="true" outlineLevel="0" collapsed="false">
      <c r="C984" s="70"/>
      <c r="N984" s="2"/>
      <c r="O984" s="41"/>
      <c r="P984" s="41"/>
      <c r="Q984" s="41"/>
      <c r="R984" s="41"/>
      <c r="S984" s="41"/>
      <c r="T984" s="41"/>
      <c r="U984" s="41"/>
      <c r="V984" s="41"/>
      <c r="W984" s="52"/>
    </row>
    <row r="985" customFormat="false" ht="12.75" hidden="false" customHeight="true" outlineLevel="0" collapsed="false">
      <c r="C985" s="70"/>
      <c r="N985" s="2"/>
      <c r="O985" s="41"/>
      <c r="P985" s="41"/>
      <c r="Q985" s="41"/>
      <c r="R985" s="41"/>
      <c r="S985" s="41"/>
      <c r="T985" s="41"/>
      <c r="U985" s="41"/>
      <c r="V985" s="41"/>
      <c r="W985" s="52"/>
    </row>
    <row r="986" customFormat="false" ht="12.75" hidden="false" customHeight="true" outlineLevel="0" collapsed="false">
      <c r="C986" s="70"/>
      <c r="N986" s="2"/>
      <c r="O986" s="41"/>
      <c r="P986" s="41"/>
      <c r="Q986" s="41"/>
      <c r="R986" s="41"/>
      <c r="S986" s="41"/>
      <c r="T986" s="41"/>
      <c r="U986" s="41"/>
      <c r="V986" s="41"/>
      <c r="W986" s="52"/>
    </row>
    <row r="987" customFormat="false" ht="12.75" hidden="false" customHeight="true" outlineLevel="0" collapsed="false">
      <c r="C987" s="70"/>
      <c r="N987" s="2"/>
      <c r="O987" s="41"/>
      <c r="P987" s="41"/>
      <c r="Q987" s="41"/>
      <c r="R987" s="41"/>
      <c r="S987" s="41"/>
      <c r="T987" s="41"/>
      <c r="U987" s="41"/>
      <c r="V987" s="41"/>
      <c r="W987" s="52"/>
    </row>
    <row r="988" customFormat="false" ht="12.75" hidden="false" customHeight="true" outlineLevel="0" collapsed="false">
      <c r="C988" s="70"/>
      <c r="N988" s="2"/>
      <c r="O988" s="41"/>
      <c r="P988" s="41"/>
      <c r="Q988" s="41"/>
      <c r="R988" s="41"/>
      <c r="S988" s="41"/>
      <c r="T988" s="41"/>
      <c r="U988" s="41"/>
      <c r="V988" s="41"/>
      <c r="W988" s="52"/>
    </row>
    <row r="989" customFormat="false" ht="12.75" hidden="false" customHeight="true" outlineLevel="0" collapsed="false">
      <c r="C989" s="70"/>
      <c r="N989" s="2"/>
      <c r="O989" s="41"/>
      <c r="P989" s="41"/>
      <c r="Q989" s="41"/>
      <c r="R989" s="41"/>
      <c r="S989" s="41"/>
      <c r="T989" s="41"/>
      <c r="U989" s="41"/>
      <c r="V989" s="41"/>
      <c r="W989" s="52"/>
    </row>
    <row r="990" customFormat="false" ht="12.75" hidden="false" customHeight="true" outlineLevel="0" collapsed="false">
      <c r="C990" s="70"/>
      <c r="N990" s="2"/>
      <c r="O990" s="41"/>
      <c r="P990" s="41"/>
      <c r="Q990" s="41"/>
      <c r="R990" s="41"/>
      <c r="S990" s="41"/>
      <c r="T990" s="41"/>
      <c r="U990" s="41"/>
      <c r="V990" s="41"/>
      <c r="W990" s="52"/>
    </row>
    <row r="991" customFormat="false" ht="12.75" hidden="false" customHeight="true" outlineLevel="0" collapsed="false">
      <c r="C991" s="70"/>
      <c r="N991" s="2"/>
      <c r="O991" s="41"/>
      <c r="P991" s="41"/>
      <c r="Q991" s="41"/>
      <c r="R991" s="41"/>
      <c r="S991" s="41"/>
      <c r="T991" s="41"/>
      <c r="U991" s="41"/>
      <c r="V991" s="41"/>
      <c r="W991" s="52"/>
    </row>
    <row r="992" customFormat="false" ht="12.75" hidden="false" customHeight="true" outlineLevel="0" collapsed="false">
      <c r="C992" s="70"/>
      <c r="N992" s="2"/>
      <c r="O992" s="41"/>
      <c r="P992" s="41"/>
      <c r="Q992" s="41"/>
      <c r="R992" s="41"/>
      <c r="S992" s="41"/>
      <c r="T992" s="41"/>
      <c r="U992" s="41"/>
      <c r="V992" s="41"/>
      <c r="W992" s="52"/>
    </row>
    <row r="993" customFormat="false" ht="12.75" hidden="false" customHeight="true" outlineLevel="0" collapsed="false">
      <c r="C993" s="70"/>
      <c r="N993" s="2"/>
      <c r="O993" s="41"/>
      <c r="P993" s="41"/>
      <c r="Q993" s="41"/>
      <c r="R993" s="41"/>
      <c r="S993" s="41"/>
      <c r="T993" s="41"/>
      <c r="U993" s="41"/>
      <c r="V993" s="41"/>
      <c r="W993" s="52"/>
    </row>
    <row r="994" customFormat="false" ht="12.75" hidden="false" customHeight="true" outlineLevel="0" collapsed="false">
      <c r="C994" s="70"/>
      <c r="N994" s="2"/>
      <c r="O994" s="41"/>
      <c r="P994" s="41"/>
      <c r="Q994" s="41"/>
      <c r="R994" s="41"/>
      <c r="S994" s="41"/>
      <c r="T994" s="41"/>
      <c r="U994" s="41"/>
      <c r="V994" s="41"/>
      <c r="W994" s="52"/>
    </row>
    <row r="995" customFormat="false" ht="12.75" hidden="false" customHeight="true" outlineLevel="0" collapsed="false">
      <c r="C995" s="70"/>
      <c r="N995" s="2"/>
      <c r="O995" s="41"/>
      <c r="P995" s="41"/>
      <c r="Q995" s="41"/>
      <c r="R995" s="41"/>
      <c r="S995" s="41"/>
      <c r="T995" s="41"/>
      <c r="U995" s="41"/>
      <c r="V995" s="41"/>
      <c r="W995" s="52"/>
    </row>
    <row r="996" customFormat="false" ht="12.75" hidden="false" customHeight="true" outlineLevel="0" collapsed="false">
      <c r="C996" s="70"/>
      <c r="N996" s="2"/>
      <c r="O996" s="41"/>
      <c r="P996" s="41"/>
      <c r="Q996" s="41"/>
      <c r="R996" s="41"/>
      <c r="S996" s="41"/>
      <c r="T996" s="41"/>
      <c r="U996" s="41"/>
      <c r="V996" s="41"/>
      <c r="W996" s="52"/>
    </row>
    <row r="997" customFormat="false" ht="12.75" hidden="false" customHeight="true" outlineLevel="0" collapsed="false">
      <c r="C997" s="70"/>
      <c r="N997" s="2"/>
      <c r="O997" s="41"/>
      <c r="P997" s="41"/>
      <c r="Q997" s="41"/>
      <c r="R997" s="41"/>
      <c r="S997" s="41"/>
      <c r="T997" s="41"/>
      <c r="U997" s="41"/>
      <c r="V997" s="41"/>
      <c r="W997" s="52"/>
    </row>
    <row r="998" customFormat="false" ht="12.75" hidden="false" customHeight="true" outlineLevel="0" collapsed="false">
      <c r="C998" s="70"/>
      <c r="N998" s="2"/>
      <c r="O998" s="41"/>
      <c r="P998" s="41"/>
      <c r="Q998" s="41"/>
      <c r="R998" s="41"/>
      <c r="S998" s="41"/>
      <c r="T998" s="41"/>
      <c r="U998" s="41"/>
      <c r="V998" s="41"/>
      <c r="W998" s="52"/>
    </row>
    <row r="999" customFormat="false" ht="12.75" hidden="false" customHeight="true" outlineLevel="0" collapsed="false">
      <c r="C999" s="70"/>
      <c r="N999" s="2"/>
      <c r="O999" s="41"/>
      <c r="P999" s="41"/>
      <c r="Q999" s="41"/>
      <c r="R999" s="41"/>
      <c r="S999" s="41"/>
      <c r="T999" s="41"/>
      <c r="U999" s="41"/>
      <c r="V999" s="41"/>
      <c r="W999" s="52"/>
    </row>
    <row r="1000" customFormat="false" ht="12.75" hidden="false" customHeight="true" outlineLevel="0" collapsed="false">
      <c r="C1000" s="70"/>
      <c r="N1000" s="2"/>
      <c r="O1000" s="41"/>
      <c r="P1000" s="41"/>
      <c r="Q1000" s="41"/>
      <c r="R1000" s="41"/>
      <c r="S1000" s="41"/>
      <c r="T1000" s="41"/>
      <c r="U1000" s="41"/>
      <c r="V1000" s="41"/>
      <c r="W1000" s="52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dataValidations count="5">
    <dataValidation allowBlank="true" errorStyle="stop" operator="between" showDropDown="false" showErrorMessage="true" showInputMessage="false" sqref="E6:K6" type="list">
      <formula1>$O$6:$W$6</formula1>
      <formula2>0</formula2>
    </dataValidation>
    <dataValidation allowBlank="true" errorStyle="stop" operator="between" showDropDown="false" showErrorMessage="true" showInputMessage="false" sqref="M9:N9 V9:W9" type="list">
      <formula1>$T$9:$U$9</formula1>
      <formula2>0</formula2>
    </dataValidation>
    <dataValidation allowBlank="true" errorStyle="stop" operator="between" showDropDown="false" showErrorMessage="true" showInputMessage="false" sqref="M12:N12 V12:W13 N13 V14 N22:N24 W22:W24 V25:V34 M42:N42" type="list">
      <formula1>"Steady-State,Transient"</formula1>
      <formula2>0</formula2>
    </dataValidation>
    <dataValidation allowBlank="true" errorStyle="stop" operator="between" showDropDown="false" showErrorMessage="true" showInputMessage="false" sqref="M8:N8 V8:W8" type="list">
      <formula1>"Pressure,Density"</formula1>
      <formula2>0</formula2>
    </dataValidation>
    <dataValidation allowBlank="true" errorStyle="stop" operator="between" showDropDown="false" showErrorMessage="true" showInputMessage="false" sqref="D6 D7:K8 D11:K12 D22:K22 D28:K28" type="list">
      <formula1>$O6:$W6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notEqual" id="{EC29B5A1-9B36-4DF0-8A4D-AABE6393B44A}">
            <xm:f>""</xm:f>
            <x14:dxf>
              <fill>
                <patternFill/>
              </fill>
            </x14:dxf>
          </x14:cfRule>
          <x14:cfRule type="expression" priority="3" id="{A19739D9-ADFA-47D0-977B-A5FE2091D161}">
            <xm:f>$D$12="Steady State"</xm:f>
            <x14:dxf>
              <fill>
                <patternFill>
                  <bgColor rgb="FFFABF8F"/>
                </patternFill>
              </fill>
            </x14:dxf>
          </x14:cfRule>
          <xm:sqref>D20:K20 D23:D27 D29:K34 E23:G23 E26:G26</xm:sqref>
        </x14:conditionalFormatting>
        <x14:conditionalFormatting xmlns:xm="http://schemas.microsoft.com/office/excel/2006/main">
          <x14:cfRule type="cellIs" priority="4" operator="notEqual" id="{812C949F-D0D5-47A8-A979-48943CB3804C}">
            <xm:f>""</xm:f>
            <x14:dxf>
              <fill>
                <patternFill/>
              </fill>
            </x14:dxf>
          </x14:cfRule>
          <xm:sqref>D15:D16 D18:G19</xm:sqref>
        </x14:conditionalFormatting>
        <x14:conditionalFormatting xmlns:xm="http://schemas.microsoft.com/office/excel/2006/main">
          <x14:cfRule type="cellIs" priority="5" operator="notEqual" id="{90979075-64A0-4335-A6B1-636F3CF06450}">
            <xm:f>""</xm:f>
            <x14:dxf>
              <fill>
                <patternFill/>
              </fill>
            </x14:dxf>
          </x14:cfRule>
          <xm:sqref>D6:K6</xm:sqref>
        </x14:conditionalFormatting>
        <x14:conditionalFormatting xmlns:xm="http://schemas.microsoft.com/office/excel/2006/main">
          <x14:cfRule type="cellIs" priority="6" operator="notEqual" id="{C24B347B-6EFC-4224-8C95-F6DB281C6146}">
            <xm:f>""</xm:f>
            <x14:dxf>
              <fill>
                <patternFill/>
              </fill>
            </x14:dxf>
          </x14:cfRule>
          <x14:cfRule type="expression" priority="7" id="{40426139-2A41-464E-BC36-54221B501D20}">
            <xm:f>$D$22="CPU"</xm:f>
            <x14:dxf>
              <fill>
                <patternFill>
                  <bgColor rgb="FFFABF8F"/>
                </patternFill>
              </fill>
            </x14:dxf>
          </x14:cfRule>
          <xm:sqref>D26:K26</xm:sqref>
        </x14:conditionalFormatting>
        <x14:conditionalFormatting xmlns:xm="http://schemas.microsoft.com/office/excel/2006/main">
          <x14:cfRule type="cellIs" priority="8" operator="notEqual" id="{F489A316-AFD7-4AC7-BC38-F77CA4D64E54}">
            <xm:f>""</xm:f>
            <x14:dxf>
              <fill>
                <patternFill/>
              </fill>
            </x14:dxf>
          </x14:cfRule>
          <x14:cfRule type="expression" priority="9" id="{855E006B-80A9-48D7-A2C3-A79814EB8274}">
            <xm:f>$D$22="GPU"</xm:f>
            <x14:dxf>
              <fill>
                <patternFill>
                  <bgColor rgb="FFFABF8F"/>
                </patternFill>
              </fill>
            </x14:dxf>
          </x14:cfRule>
          <xm:sqref>D27 D29:K34</xm:sqref>
        </x14:conditionalFormatting>
        <x14:conditionalFormatting xmlns:xm="http://schemas.microsoft.com/office/excel/2006/main">
          <x14:cfRule type="cellIs" priority="10" operator="notEqual" id="{136F8733-8DA3-479F-B311-BE85801AFF46}">
            <xm:f>""</xm:f>
            <x14:dxf>
              <fill>
                <patternFill/>
              </fill>
            </x14:dxf>
          </x14:cfRule>
          <x14:cfRule type="expression" priority="11" id="{2A88F0EB-A5E5-4E60-8E62-D9AEF5E6575E}">
            <xm:f>$D$22="GPU"</xm:f>
            <x14:dxf>
              <fill>
                <patternFill>
                  <bgColor rgb="FFFABF8F"/>
                </patternFill>
              </fill>
            </x14:dxf>
          </x14:cfRule>
          <xm:sqref>D24:K24</xm:sqref>
        </x14:conditionalFormatting>
        <x14:conditionalFormatting xmlns:xm="http://schemas.microsoft.com/office/excel/2006/main">
          <x14:cfRule type="cellIs" priority="12" operator="notEqual" id="{942A7D33-59E0-4E69-98EA-F020C7ED907E}">
            <xm:f>""</xm:f>
            <x14:dxf>
              <fill>
                <patternFill/>
              </fill>
            </x14:dxf>
          </x14:cfRule>
          <x14:cfRule type="expression" priority="13" id="{88B123AA-8DF8-4260-AEF9-67FD49F8E420}">
            <xm:f>$D$22="CPU"</xm:f>
            <x14:dxf>
              <fill>
                <patternFill>
                  <bgColor rgb="FFFABF8F"/>
                </patternFill>
              </fill>
            </x14:dxf>
          </x14:cfRule>
          <xm:sqref>D23:K23</xm:sqref>
        </x14:conditionalFormatting>
        <x14:conditionalFormatting xmlns:xm="http://schemas.microsoft.com/office/excel/2006/main">
          <x14:cfRule type="cellIs" priority="14" operator="notEqual" id="{BB402A80-74B7-4FF1-929E-74DAC4FFE08D}">
            <xm:f>""</xm:f>
            <x14:dxf>
              <fill>
                <patternFill/>
              </fill>
            </x14:dxf>
          </x14:cfRule>
          <xm:sqref>D23:D27 D29:D34 E23:G23 E26:G26 E29:G31</xm:sqref>
        </x14:conditionalFormatting>
        <x14:conditionalFormatting xmlns:xm="http://schemas.microsoft.com/office/excel/2006/main">
          <x14:cfRule type="cellIs" priority="15" operator="notEqual" id="{E3A2495A-27CF-452D-8E58-759151F14C35}">
            <xm:f>""</xm:f>
            <x14:dxf>
              <fill>
                <patternFill/>
              </fill>
            </x14:dxf>
          </x14:cfRule>
          <x14:cfRule type="expression" priority="16" id="{93A4BFD0-62CC-4FDE-B862-E0E33DA8C5A3}">
            <xm:f>$D$22="GPU"</xm:f>
            <x14:dxf>
              <fill>
                <patternFill>
                  <bgColor rgb="FFFABF8F"/>
                </patternFill>
              </fill>
            </x14:dxf>
          </x14:cfRule>
          <xm:sqref>D26:D27 E26:G26</xm:sqref>
        </x14:conditionalFormatting>
        <x14:conditionalFormatting xmlns:xm="http://schemas.microsoft.com/office/excel/2006/main">
          <x14:cfRule type="cellIs" priority="17" operator="notEqual" id="{375D58F0-43C6-4AE4-9019-D985B580413F}">
            <xm:f>""</xm:f>
            <x14:dxf>
              <fill>
                <patternFill/>
              </fill>
            </x14:dxf>
          </x14:cfRule>
          <x14:cfRule type="expression" priority="18" id="{D065D1C0-AA6A-4BD5-A82C-27ABE4FE1F11}">
            <xm:f>$D$12="Steady State"</xm:f>
            <x14:dxf>
              <fill>
                <patternFill>
                  <bgColor rgb="FFFABF8F"/>
                </patternFill>
              </fill>
            </x14:dxf>
          </x14:cfRule>
          <xm:sqref>D17:K17</xm:sqref>
        </x14:conditionalFormatting>
        <x14:conditionalFormatting xmlns:xm="http://schemas.microsoft.com/office/excel/2006/main">
          <x14:cfRule type="cellIs" priority="19" operator="notEqual" id="{507341C0-5E98-4967-873B-2E7F62CC6F43}">
            <xm:f>""</xm:f>
            <x14:dxf>
              <fill>
                <patternFill/>
              </fill>
            </x14:dxf>
          </x14:cfRule>
          <x14:cfRule type="expression" priority="20" id="{8383BDF7-8B16-409E-B75D-B55A4DD5ACFD}">
            <xm:f>$D$12="Steady State"</xm:f>
            <x14:dxf>
              <fill>
                <patternFill>
                  <bgColor rgb="FFFABF8F"/>
                </patternFill>
              </fill>
            </x14:dxf>
          </x14:cfRule>
          <xm:sqref>E23:E27</xm:sqref>
        </x14:conditionalFormatting>
        <x14:conditionalFormatting xmlns:xm="http://schemas.microsoft.com/office/excel/2006/main">
          <x14:cfRule type="cellIs" priority="21" operator="notEqual" id="{60E3C070-FB4B-41D6-A878-AAE7A431496B}">
            <xm:f>""</xm:f>
            <x14:dxf>
              <fill>
                <patternFill/>
              </fill>
            </x14:dxf>
          </x14:cfRule>
          <xm:sqref>E14:E16 E18:E19</xm:sqref>
        </x14:conditionalFormatting>
        <x14:conditionalFormatting xmlns:xm="http://schemas.microsoft.com/office/excel/2006/main">
          <x14:cfRule type="cellIs" priority="22" operator="notEqual" id="{50B59F15-D877-4F7F-9FC4-96CF3C21EBA6}">
            <xm:f>""</xm:f>
            <x14:dxf>
              <fill>
                <patternFill/>
              </fill>
            </x14:dxf>
          </x14:cfRule>
          <x14:cfRule type="expression" priority="23" id="{F0F822A6-B527-4E53-AED3-646D6827A297}">
            <xm:f>$D$22="GPU"</xm:f>
            <x14:dxf>
              <fill>
                <patternFill>
                  <bgColor rgb="FFFABF8F"/>
                </patternFill>
              </fill>
            </x14:dxf>
          </x14:cfRule>
          <xm:sqref>E27</xm:sqref>
        </x14:conditionalFormatting>
        <x14:conditionalFormatting xmlns:xm="http://schemas.microsoft.com/office/excel/2006/main">
          <x14:cfRule type="cellIs" priority="24" operator="notEqual" id="{52A68F9C-F7E3-4ADD-8EED-E166BA26D04D}">
            <xm:f>""</xm:f>
            <x14:dxf>
              <fill>
                <patternFill/>
              </fill>
            </x14:dxf>
          </x14:cfRule>
          <xm:sqref>E23:E27 E29:E34</xm:sqref>
        </x14:conditionalFormatting>
        <x14:conditionalFormatting xmlns:xm="http://schemas.microsoft.com/office/excel/2006/main">
          <x14:cfRule type="cellIs" priority="25" operator="notEqual" id="{BB2784C0-DB4D-4BB8-A0C3-1B333CC9F91D}">
            <xm:f>""</xm:f>
            <x14:dxf>
              <fill>
                <patternFill/>
              </fill>
            </x14:dxf>
          </x14:cfRule>
          <x14:cfRule type="expression" priority="26" id="{C417BF41-559C-481D-82B2-70929A9F902F}">
            <xm:f>$D$22="GPU"</xm:f>
            <x14:dxf>
              <fill>
                <patternFill>
                  <bgColor rgb="FFFABF8F"/>
                </patternFill>
              </fill>
            </x14:dxf>
          </x14:cfRule>
          <xm:sqref>E26:E27</xm:sqref>
        </x14:conditionalFormatting>
        <x14:conditionalFormatting xmlns:xm="http://schemas.microsoft.com/office/excel/2006/main">
          <x14:cfRule type="cellIs" priority="27" operator="notEqual" id="{7EC6EA88-8A18-4ADF-B44D-3365255C6B81}">
            <xm:f>""</xm:f>
            <x14:dxf>
              <fill>
                <patternFill/>
              </fill>
            </x14:dxf>
          </x14:cfRule>
          <x14:cfRule type="expression" priority="28" id="{4FE48B1F-A11C-4A5D-AFFF-9BA070807EB4}">
            <xm:f>$D$12="Steady State"</xm:f>
            <x14:dxf>
              <fill>
                <patternFill>
                  <bgColor rgb="FFFABF8F"/>
                </patternFill>
              </fill>
            </x14:dxf>
          </x14:cfRule>
          <xm:sqref>F23:F27</xm:sqref>
        </x14:conditionalFormatting>
        <x14:conditionalFormatting xmlns:xm="http://schemas.microsoft.com/office/excel/2006/main">
          <x14:cfRule type="cellIs" priority="29" operator="notEqual" id="{86406090-D9A1-418F-ACA3-9256C85236BA}">
            <xm:f>""</xm:f>
            <x14:dxf>
              <fill>
                <patternFill/>
              </fill>
            </x14:dxf>
          </x14:cfRule>
          <xm:sqref>F14:F16 F18:F19</xm:sqref>
        </x14:conditionalFormatting>
        <x14:conditionalFormatting xmlns:xm="http://schemas.microsoft.com/office/excel/2006/main">
          <x14:cfRule type="cellIs" priority="30" operator="notEqual" id="{D0DCB77E-7DF0-467B-AA64-856DE12A5122}">
            <xm:f>""</xm:f>
            <x14:dxf>
              <fill>
                <patternFill/>
              </fill>
            </x14:dxf>
          </x14:cfRule>
          <x14:cfRule type="expression" priority="31" id="{7C202F92-7077-4D8A-BEFF-13E0D89993F0}">
            <xm:f>$D$22="GPU"</xm:f>
            <x14:dxf>
              <fill>
                <patternFill>
                  <bgColor rgb="FFFABF8F"/>
                </patternFill>
              </fill>
            </x14:dxf>
          </x14:cfRule>
          <xm:sqref>F27</xm:sqref>
        </x14:conditionalFormatting>
        <x14:conditionalFormatting xmlns:xm="http://schemas.microsoft.com/office/excel/2006/main">
          <x14:cfRule type="cellIs" priority="32" operator="notEqual" id="{A09750A9-3A60-4FF8-B3CE-F06A72408950}">
            <xm:f>""</xm:f>
            <x14:dxf>
              <fill>
                <patternFill/>
              </fill>
            </x14:dxf>
          </x14:cfRule>
          <xm:sqref>F23:F27 F29:F34</xm:sqref>
        </x14:conditionalFormatting>
        <x14:conditionalFormatting xmlns:xm="http://schemas.microsoft.com/office/excel/2006/main">
          <x14:cfRule type="cellIs" priority="33" operator="notEqual" id="{4FAC59FC-D5A2-467E-ABC6-9260C05476AA}">
            <xm:f>""</xm:f>
            <x14:dxf>
              <fill>
                <patternFill/>
              </fill>
            </x14:dxf>
          </x14:cfRule>
          <x14:cfRule type="expression" priority="34" id="{7025B863-B1E1-4262-8F67-9E4E74549D6B}">
            <xm:f>$D$22="GPU"</xm:f>
            <x14:dxf>
              <fill>
                <patternFill>
                  <bgColor rgb="FFFABF8F"/>
                </patternFill>
              </fill>
            </x14:dxf>
          </x14:cfRule>
          <xm:sqref>F26:F27</xm:sqref>
        </x14:conditionalFormatting>
        <x14:conditionalFormatting xmlns:xm="http://schemas.microsoft.com/office/excel/2006/main">
          <x14:cfRule type="cellIs" priority="35" operator="notEqual" id="{4ABED828-15A4-40B0-857B-2F5ACCC11BB0}">
            <xm:f>""</xm:f>
            <x14:dxf>
              <fill>
                <patternFill/>
              </fill>
            </x14:dxf>
          </x14:cfRule>
          <x14:cfRule type="expression" priority="36" id="{48153BEB-D586-45DA-AF35-8AA2C7EE6F19}">
            <xm:f>$D$12="Steady State"</xm:f>
            <x14:dxf>
              <fill>
                <patternFill>
                  <bgColor rgb="FFFABF8F"/>
                </patternFill>
              </fill>
            </x14:dxf>
          </x14:cfRule>
          <xm:sqref>G23:G27</xm:sqref>
        </x14:conditionalFormatting>
        <x14:conditionalFormatting xmlns:xm="http://schemas.microsoft.com/office/excel/2006/main">
          <x14:cfRule type="cellIs" priority="37" operator="notEqual" id="{73C01C91-3F54-4D27-83B8-6B74F8BD7816}">
            <xm:f>""</xm:f>
            <x14:dxf>
              <fill>
                <patternFill/>
              </fill>
            </x14:dxf>
          </x14:cfRule>
          <xm:sqref>G14:G16 G18:G19</xm:sqref>
        </x14:conditionalFormatting>
        <x14:conditionalFormatting xmlns:xm="http://schemas.microsoft.com/office/excel/2006/main">
          <x14:cfRule type="cellIs" priority="38" operator="notEqual" id="{23A9128F-E99C-4536-A8D8-9D46C02A87D7}">
            <xm:f>""</xm:f>
            <x14:dxf>
              <fill>
                <patternFill/>
              </fill>
            </x14:dxf>
          </x14:cfRule>
          <x14:cfRule type="expression" priority="39" id="{B73DD344-BE86-462B-BED9-77DCBD61D697}">
            <xm:f>$D$22="GPU"</xm:f>
            <x14:dxf>
              <fill>
                <patternFill>
                  <bgColor rgb="FFFABF8F"/>
                </patternFill>
              </fill>
            </x14:dxf>
          </x14:cfRule>
          <xm:sqref>G27</xm:sqref>
        </x14:conditionalFormatting>
        <x14:conditionalFormatting xmlns:xm="http://schemas.microsoft.com/office/excel/2006/main">
          <x14:cfRule type="cellIs" priority="40" operator="notEqual" id="{5932A252-1E2B-4220-8180-3633A5BD8E51}">
            <xm:f>""</xm:f>
            <x14:dxf>
              <fill>
                <patternFill/>
              </fill>
            </x14:dxf>
          </x14:cfRule>
          <xm:sqref>G23:G27 G29:G34</xm:sqref>
        </x14:conditionalFormatting>
        <x14:conditionalFormatting xmlns:xm="http://schemas.microsoft.com/office/excel/2006/main">
          <x14:cfRule type="cellIs" priority="41" operator="notEqual" id="{C427956C-7863-4935-831A-E06F5A779FE5}">
            <xm:f>""</xm:f>
            <x14:dxf>
              <fill>
                <patternFill/>
              </fill>
            </x14:dxf>
          </x14:cfRule>
          <x14:cfRule type="expression" priority="42" id="{30E7EA90-4E2B-4737-9213-E5AE50ACA221}">
            <xm:f>$D$22="GPU"</xm:f>
            <x14:dxf>
              <fill>
                <patternFill>
                  <bgColor rgb="FFFABF8F"/>
                </patternFill>
              </fill>
            </x14:dxf>
          </x14:cfRule>
          <xm:sqref>G26:G27</xm:sqref>
        </x14:conditionalFormatting>
        <x14:conditionalFormatting xmlns:xm="http://schemas.microsoft.com/office/excel/2006/main">
          <x14:cfRule type="cellIs" priority="43" operator="notEqual" id="{AB385678-903A-4BA7-958B-FA60A36EC373}">
            <xm:f>""</xm:f>
            <x14:dxf>
              <fill>
                <patternFill/>
              </fill>
            </x14:dxf>
          </x14:cfRule>
          <x14:cfRule type="expression" priority="44" id="{27E54FC6-55F0-4C77-93AE-4D77103AD581}">
            <xm:f>$D$12="Steady State"</xm:f>
            <x14:dxf>
              <fill>
                <patternFill>
                  <bgColor rgb="FFFABF8F"/>
                </patternFill>
              </fill>
            </x14:dxf>
          </x14:cfRule>
          <xm:sqref>H23:H27</xm:sqref>
        </x14:conditionalFormatting>
        <x14:conditionalFormatting xmlns:xm="http://schemas.microsoft.com/office/excel/2006/main">
          <x14:cfRule type="cellIs" priority="45" operator="notEqual" id="{9A1BB166-1187-46BD-8E75-5F14B1125A1B}">
            <xm:f>""</xm:f>
            <x14:dxf>
              <fill>
                <patternFill/>
              </fill>
            </x14:dxf>
          </x14:cfRule>
          <xm:sqref>H14:H16 H18:H19</xm:sqref>
        </x14:conditionalFormatting>
        <x14:conditionalFormatting xmlns:xm="http://schemas.microsoft.com/office/excel/2006/main">
          <x14:cfRule type="cellIs" priority="46" operator="notEqual" id="{BAC5F239-18B5-4721-B1DE-D0BB7B3AF51E}">
            <xm:f>""</xm:f>
            <x14:dxf>
              <fill>
                <patternFill/>
              </fill>
            </x14:dxf>
          </x14:cfRule>
          <x14:cfRule type="expression" priority="47" id="{2CA9C4BD-DEB4-431B-966F-25767290B8C2}">
            <xm:f>$D$22="GPU"</xm:f>
            <x14:dxf>
              <fill>
                <patternFill>
                  <bgColor rgb="FFFABF8F"/>
                </patternFill>
              </fill>
            </x14:dxf>
          </x14:cfRule>
          <xm:sqref>H27</xm:sqref>
        </x14:conditionalFormatting>
        <x14:conditionalFormatting xmlns:xm="http://schemas.microsoft.com/office/excel/2006/main">
          <x14:cfRule type="cellIs" priority="48" operator="notEqual" id="{D3C1138E-9420-43A6-922B-2CBE3C4E1B2A}">
            <xm:f>""</xm:f>
            <x14:dxf>
              <fill>
                <patternFill/>
              </fill>
            </x14:dxf>
          </x14:cfRule>
          <xm:sqref>H23:H27 H29:H34</xm:sqref>
        </x14:conditionalFormatting>
        <x14:conditionalFormatting xmlns:xm="http://schemas.microsoft.com/office/excel/2006/main">
          <x14:cfRule type="cellIs" priority="49" operator="notEqual" id="{56844EB3-1BC2-4142-A729-61FDFE8869F0}">
            <xm:f>""</xm:f>
            <x14:dxf>
              <fill>
                <patternFill/>
              </fill>
            </x14:dxf>
          </x14:cfRule>
          <x14:cfRule type="expression" priority="50" id="{5B189927-52CB-4D17-83CE-C4593EBB1B80}">
            <xm:f>$D$22="GPU"</xm:f>
            <x14:dxf>
              <fill>
                <patternFill>
                  <bgColor rgb="FFFABF8F"/>
                </patternFill>
              </fill>
            </x14:dxf>
          </x14:cfRule>
          <xm:sqref>H26:H27</xm:sqref>
        </x14:conditionalFormatting>
        <x14:conditionalFormatting xmlns:xm="http://schemas.microsoft.com/office/excel/2006/main">
          <x14:cfRule type="cellIs" priority="51" operator="notEqual" id="{9078B62E-DFE0-492C-9360-51C8B21AE620}">
            <xm:f>""</xm:f>
            <x14:dxf>
              <fill>
                <patternFill/>
              </fill>
            </x14:dxf>
          </x14:cfRule>
          <x14:cfRule type="expression" priority="52" id="{DA67EFA9-8D42-4B86-A33F-85BDD6D6C5BD}">
            <xm:f>$D$12="Steady State"</xm:f>
            <x14:dxf>
              <fill>
                <patternFill>
                  <bgColor rgb="FFFABF8F"/>
                </patternFill>
              </fill>
            </x14:dxf>
          </x14:cfRule>
          <xm:sqref>K23:K27</xm:sqref>
        </x14:conditionalFormatting>
        <x14:conditionalFormatting xmlns:xm="http://schemas.microsoft.com/office/excel/2006/main">
          <x14:cfRule type="cellIs" priority="53" operator="notEqual" id="{DF618040-A550-4660-A640-FF6D6E5C36C2}">
            <xm:f>""</xm:f>
            <x14:dxf>
              <fill>
                <patternFill/>
              </fill>
            </x14:dxf>
          </x14:cfRule>
          <xm:sqref>K14:K16 K18:K19</xm:sqref>
        </x14:conditionalFormatting>
        <x14:conditionalFormatting xmlns:xm="http://schemas.microsoft.com/office/excel/2006/main">
          <x14:cfRule type="cellIs" priority="54" operator="notEqual" id="{6BC31E33-C351-4355-B3D8-21441486F387}">
            <xm:f>""</xm:f>
            <x14:dxf>
              <fill>
                <patternFill/>
              </fill>
            </x14:dxf>
          </x14:cfRule>
          <x14:cfRule type="expression" priority="55" id="{EEBB7D4E-E030-44B9-859E-9FD8F1E151D1}">
            <xm:f>$D$22="GPU"</xm:f>
            <x14:dxf>
              <fill>
                <patternFill>
                  <bgColor rgb="FFFABF8F"/>
                </patternFill>
              </fill>
            </x14:dxf>
          </x14:cfRule>
          <xm:sqref>K27</xm:sqref>
        </x14:conditionalFormatting>
        <x14:conditionalFormatting xmlns:xm="http://schemas.microsoft.com/office/excel/2006/main">
          <x14:cfRule type="cellIs" priority="56" operator="notEqual" id="{5053908B-8063-4D1B-99CE-7FC414EE91EE}">
            <xm:f>""</xm:f>
            <x14:dxf>
              <fill>
                <patternFill/>
              </fill>
            </x14:dxf>
          </x14:cfRule>
          <xm:sqref>K23:K27 K29:K34</xm:sqref>
        </x14:conditionalFormatting>
        <x14:conditionalFormatting xmlns:xm="http://schemas.microsoft.com/office/excel/2006/main">
          <x14:cfRule type="cellIs" priority="57" operator="notEqual" id="{135CC1AC-7551-4E35-AE3F-FE2B945024EA}">
            <xm:f>""</xm:f>
            <x14:dxf>
              <fill>
                <patternFill/>
              </fill>
            </x14:dxf>
          </x14:cfRule>
          <x14:cfRule type="expression" priority="58" id="{1B435E11-3880-4DDE-8F39-EEA02AAC476D}">
            <xm:f>$D$22="GPU"</xm:f>
            <x14:dxf>
              <fill>
                <patternFill>
                  <bgColor rgb="FFFABF8F"/>
                </patternFill>
              </fill>
            </x14:dxf>
          </x14:cfRule>
          <xm:sqref>K26:K27</xm:sqref>
        </x14:conditionalFormatting>
        <x14:conditionalFormatting xmlns:xm="http://schemas.microsoft.com/office/excel/2006/main">
          <x14:cfRule type="cellIs" priority="59" operator="notEqual" id="{E4813477-9E11-439E-AB60-B0A950B9E731}">
            <xm:f>""</xm:f>
            <x14:dxf>
              <fill>
                <patternFill/>
              </fill>
            </x14:dxf>
          </x14:cfRule>
          <x14:cfRule type="expression" priority="60" id="{A0A437C4-9F8A-4285-B059-F72CD8763A1B}">
            <xm:f>$D$12="Steady State"</xm:f>
            <x14:dxf>
              <fill>
                <patternFill>
                  <bgColor rgb="FFFABF8F"/>
                </patternFill>
              </fill>
            </x14:dxf>
          </x14:cfRule>
          <xm:sqref>I23:I27</xm:sqref>
        </x14:conditionalFormatting>
        <x14:conditionalFormatting xmlns:xm="http://schemas.microsoft.com/office/excel/2006/main">
          <x14:cfRule type="cellIs" priority="61" operator="notEqual" id="{26892B8A-DDE8-4337-BFF2-27611B4CA7F5}">
            <xm:f>""</xm:f>
            <x14:dxf>
              <fill>
                <patternFill/>
              </fill>
            </x14:dxf>
          </x14:cfRule>
          <xm:sqref>I14:I16 I18:I19</xm:sqref>
        </x14:conditionalFormatting>
        <x14:conditionalFormatting xmlns:xm="http://schemas.microsoft.com/office/excel/2006/main">
          <x14:cfRule type="cellIs" priority="62" operator="notEqual" id="{6362627D-CD26-4D90-AFB5-50504C6C73D2}">
            <xm:f>""</xm:f>
            <x14:dxf>
              <fill>
                <patternFill/>
              </fill>
            </x14:dxf>
          </x14:cfRule>
          <x14:cfRule type="expression" priority="63" id="{98B241C2-ECA1-42C0-815B-1EE76840C036}">
            <xm:f>$D$22="GPU"</xm:f>
            <x14:dxf>
              <fill>
                <patternFill>
                  <bgColor rgb="FFFABF8F"/>
                </patternFill>
              </fill>
            </x14:dxf>
          </x14:cfRule>
          <xm:sqref>I27</xm:sqref>
        </x14:conditionalFormatting>
        <x14:conditionalFormatting xmlns:xm="http://schemas.microsoft.com/office/excel/2006/main">
          <x14:cfRule type="cellIs" priority="64" operator="notEqual" id="{B4CB2258-A774-4DD6-BEF9-3B1CD3D69E17}">
            <xm:f>""</xm:f>
            <x14:dxf>
              <fill>
                <patternFill/>
              </fill>
            </x14:dxf>
          </x14:cfRule>
          <xm:sqref>I23:I27 I29:I34</xm:sqref>
        </x14:conditionalFormatting>
        <x14:conditionalFormatting xmlns:xm="http://schemas.microsoft.com/office/excel/2006/main">
          <x14:cfRule type="cellIs" priority="65" operator="notEqual" id="{4FB9576D-3254-4DB3-8F14-C8945D8F70D0}">
            <xm:f>""</xm:f>
            <x14:dxf>
              <fill>
                <patternFill/>
              </fill>
            </x14:dxf>
          </x14:cfRule>
          <x14:cfRule type="expression" priority="66" id="{70294D46-F4D0-4D84-83CB-DB8FB3431323}">
            <xm:f>$D$22="GPU"</xm:f>
            <x14:dxf>
              <fill>
                <patternFill>
                  <bgColor rgb="FFFABF8F"/>
                </patternFill>
              </fill>
            </x14:dxf>
          </x14:cfRule>
          <xm:sqref>I26:I27</xm:sqref>
        </x14:conditionalFormatting>
        <x14:conditionalFormatting xmlns:xm="http://schemas.microsoft.com/office/excel/2006/main">
          <x14:cfRule type="cellIs" priority="67" operator="notEqual" id="{BB70684F-4A12-421E-9941-8BDF53B01B8A}">
            <xm:f>""</xm:f>
            <x14:dxf>
              <fill>
                <patternFill/>
              </fill>
            </x14:dxf>
          </x14:cfRule>
          <x14:cfRule type="expression" priority="68" id="{CF6B76D5-C6A5-4AD6-B544-C7D6D0F2BC10}">
            <xm:f>$D$12="Steady State"</xm:f>
            <x14:dxf>
              <fill>
                <patternFill>
                  <bgColor rgb="FFFABF8F"/>
                </patternFill>
              </fill>
            </x14:dxf>
          </x14:cfRule>
          <xm:sqref>J23:J27</xm:sqref>
        </x14:conditionalFormatting>
        <x14:conditionalFormatting xmlns:xm="http://schemas.microsoft.com/office/excel/2006/main">
          <x14:cfRule type="cellIs" priority="69" operator="notEqual" id="{82B5A931-2AC1-47DC-B6C3-497517881A9A}">
            <xm:f>""</xm:f>
            <x14:dxf>
              <fill>
                <patternFill/>
              </fill>
            </x14:dxf>
          </x14:cfRule>
          <xm:sqref>J14:J16 J18:J19</xm:sqref>
        </x14:conditionalFormatting>
        <x14:conditionalFormatting xmlns:xm="http://schemas.microsoft.com/office/excel/2006/main">
          <x14:cfRule type="cellIs" priority="70" operator="notEqual" id="{A9009F5F-16A5-4426-9E69-1B94D5129E8A}">
            <xm:f>""</xm:f>
            <x14:dxf>
              <fill>
                <patternFill/>
              </fill>
            </x14:dxf>
          </x14:cfRule>
          <x14:cfRule type="expression" priority="71" id="{5227FE90-BEDF-4D3A-9585-81B2CF12D060}">
            <xm:f>$D$22="GPU"</xm:f>
            <x14:dxf>
              <fill>
                <patternFill>
                  <bgColor rgb="FFFABF8F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cellIs" priority="72" operator="notEqual" id="{20F8592A-6DEE-4A5D-B756-2F53E815C6DB}">
            <xm:f>""</xm:f>
            <x14:dxf>
              <fill>
                <patternFill/>
              </fill>
            </x14:dxf>
          </x14:cfRule>
          <xm:sqref>J23:J27 J29:J34</xm:sqref>
        </x14:conditionalFormatting>
        <x14:conditionalFormatting xmlns:xm="http://schemas.microsoft.com/office/excel/2006/main">
          <x14:cfRule type="cellIs" priority="73" operator="notEqual" id="{51CF6E90-61F7-4467-AE33-E3A9174F32FE}">
            <xm:f>""</xm:f>
            <x14:dxf>
              <fill>
                <patternFill/>
              </fill>
            </x14:dxf>
          </x14:cfRule>
          <x14:cfRule type="expression" priority="74" id="{F7423231-4725-40D6-B56F-A8B49C2B64BB}">
            <xm:f>$D$22="GPU"</xm:f>
            <x14:dxf>
              <fill>
                <patternFill>
                  <bgColor rgb="FFFABF8F"/>
                </patternFill>
              </fill>
            </x14:dxf>
          </x14:cfRule>
          <xm:sqref>J26:J27</xm:sqref>
        </x14:conditionalFormatting>
        <x14:conditionalFormatting xmlns:xm="http://schemas.microsoft.com/office/excel/2006/main">
          <x14:cfRule type="cellIs" priority="75" operator="notEqual" id="{1EBF6A25-6559-4132-B510-33576D566879}">
            <xm:f>""</xm:f>
            <x14:dxf>
              <fill>
                <patternFill/>
              </fill>
            </x14:dxf>
          </x14:cfRule>
          <xm:sqref>D7:K8 D11:K12</xm:sqref>
        </x14:conditionalFormatting>
        <x14:conditionalFormatting xmlns:xm="http://schemas.microsoft.com/office/excel/2006/main">
          <x14:cfRule type="cellIs" priority="76" operator="notEqual" id="{96DF824F-76C5-4690-957E-CA44D1F1A7C5}">
            <xm:f>""</xm:f>
            <x14:dxf>
              <fill>
                <patternFill/>
              </fill>
            </x14:dxf>
          </x14:cfRule>
          <xm:sqref>D22:K22</xm:sqref>
        </x14:conditionalFormatting>
        <x14:conditionalFormatting xmlns:xm="http://schemas.microsoft.com/office/excel/2006/main">
          <x14:cfRule type="cellIs" priority="77" operator="notEqual" id="{296B5349-FFC7-4155-B1FA-D612B11BD5E9}">
            <xm:f>""</xm:f>
            <x14:dxf>
              <fill>
                <patternFill/>
              </fill>
            </x14:dxf>
          </x14:cfRule>
          <xm:sqref>D28:K28</xm:sqref>
        </x14:conditionalFormatting>
        <x14:conditionalFormatting xmlns:xm="http://schemas.microsoft.com/office/excel/2006/main">
          <x14:cfRule type="cellIs" priority="78" operator="notEqual" id="{50808A27-D76E-4227-A583-B0B0C3FA4C37}">
            <xm:f>""</xm:f>
            <x14:dxf>
              <fill>
                <patternFill/>
              </fill>
            </x14:dxf>
          </x14:cfRule>
          <xm:sqref>D9:K10</xm:sqref>
        </x14:conditionalFormatting>
        <x14:conditionalFormatting xmlns:xm="http://schemas.microsoft.com/office/excel/2006/main">
          <x14:cfRule type="cellIs" priority="79" operator="notEqual" id="{C077F036-F03E-4873-8080-A35D6F8BD4E5}">
            <xm:f>""</xm:f>
            <x14:dxf>
              <fill>
                <patternFill/>
              </fill>
            </x14:dxf>
          </x14:cfRule>
          <xm:sqref>D13:K13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66092"/>
    <pageSetUpPr fitToPage="false"/>
  </sheetPr>
  <dimension ref="A1:Z400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6796875" defaultRowHeight="15" customHeight="true" zeroHeight="false" outlineLevelRow="0" outlineLevelCol="0"/>
  <cols>
    <col collapsed="false" customWidth="true" hidden="false" outlineLevel="0" max="2" min="1" style="1" width="2.67"/>
    <col collapsed="false" customWidth="true" hidden="false" outlineLevel="0" max="3" min="3" style="1" width="30.67"/>
    <col collapsed="false" customWidth="true" hidden="false" outlineLevel="0" max="5" min="4" style="1" width="9.11"/>
    <col collapsed="false" customWidth="true" hidden="false" outlineLevel="0" max="6" min="6" style="1" width="9.79"/>
    <col collapsed="false" customWidth="true" hidden="false" outlineLevel="0" max="7" min="7" style="1" width="12.44"/>
    <col collapsed="false" customWidth="true" hidden="false" outlineLevel="0" max="8" min="8" style="1" width="15.11"/>
    <col collapsed="false" customWidth="true" hidden="false" outlineLevel="0" max="9" min="9" style="1" width="10.66"/>
    <col collapsed="false" customWidth="true" hidden="false" outlineLevel="0" max="10" min="10" style="1" width="14.79"/>
    <col collapsed="false" customWidth="true" hidden="false" outlineLevel="0" max="11" min="11" style="1" width="16.33"/>
    <col collapsed="false" customWidth="true" hidden="false" outlineLevel="0" max="14" min="12" style="1" width="9.11"/>
    <col collapsed="false" customWidth="true" hidden="false" outlineLevel="0" max="15" min="15" style="1" width="10.66"/>
    <col collapsed="false" customWidth="true" hidden="false" outlineLevel="0" max="16" min="16" style="1" width="14.79"/>
    <col collapsed="false" customWidth="true" hidden="false" outlineLevel="0" max="17" min="17" style="1" width="16.33"/>
    <col collapsed="false" customWidth="true" hidden="false" outlineLevel="0" max="26" min="18" style="1" width="9.11"/>
  </cols>
  <sheetData>
    <row r="1" customFormat="false" ht="12.75" hidden="false" customHeight="true" outlineLevel="0" collapsed="false">
      <c r="A1" s="2"/>
      <c r="B1" s="2"/>
      <c r="C1" s="2"/>
      <c r="D1" s="2"/>
      <c r="E1" s="2"/>
      <c r="F1" s="2"/>
      <c r="G1" s="2"/>
      <c r="H1" s="2"/>
      <c r="I1" s="2"/>
      <c r="J1" s="75"/>
      <c r="K1" s="75"/>
      <c r="L1" s="75"/>
      <c r="M1" s="75"/>
      <c r="N1" s="75"/>
      <c r="O1" s="2"/>
      <c r="P1" s="75"/>
      <c r="Q1" s="75"/>
      <c r="R1" s="75"/>
      <c r="S1" s="75"/>
      <c r="T1" s="75"/>
      <c r="U1" s="29"/>
      <c r="V1" s="29"/>
      <c r="W1" s="29"/>
      <c r="X1" s="29"/>
      <c r="Y1" s="29"/>
      <c r="Z1" s="75"/>
    </row>
    <row r="2" customFormat="false" ht="36" hidden="false" customHeight="true" outlineLevel="0" collapsed="false">
      <c r="A2" s="2"/>
      <c r="B2" s="2"/>
      <c r="C2" s="76" t="s">
        <v>125</v>
      </c>
      <c r="D2" s="76"/>
      <c r="E2" s="76"/>
      <c r="F2" s="76"/>
      <c r="G2" s="76"/>
      <c r="H2" s="76"/>
      <c r="I2" s="76"/>
      <c r="J2" s="77" t="s">
        <v>126</v>
      </c>
      <c r="K2" s="77"/>
      <c r="L2" s="77"/>
      <c r="M2" s="77"/>
      <c r="N2" s="77"/>
      <c r="O2" s="78"/>
      <c r="P2" s="77" t="s">
        <v>127</v>
      </c>
      <c r="Q2" s="77"/>
      <c r="R2" s="77"/>
      <c r="S2" s="77"/>
      <c r="T2" s="77"/>
      <c r="U2" s="29"/>
      <c r="V2" s="29"/>
      <c r="W2" s="29"/>
      <c r="X2" s="29"/>
      <c r="Y2" s="29"/>
      <c r="Z2" s="75"/>
    </row>
    <row r="3" customFormat="false" ht="12.75" hidden="false" customHeight="true" outlineLevel="0" collapsed="false">
      <c r="A3" s="2"/>
      <c r="B3" s="2"/>
      <c r="C3" s="2"/>
      <c r="D3" s="2"/>
      <c r="E3" s="2"/>
      <c r="F3" s="2"/>
      <c r="G3" s="2"/>
      <c r="H3" s="2"/>
      <c r="I3" s="2"/>
      <c r="J3" s="79" t="s">
        <v>128</v>
      </c>
      <c r="K3" s="80" t="s">
        <v>129</v>
      </c>
      <c r="L3" s="80" t="s">
        <v>130</v>
      </c>
      <c r="M3" s="80" t="s">
        <v>131</v>
      </c>
      <c r="N3" s="81" t="s">
        <v>132</v>
      </c>
      <c r="O3" s="78"/>
      <c r="P3" s="79" t="s">
        <v>128</v>
      </c>
      <c r="Q3" s="80" t="s">
        <v>129</v>
      </c>
      <c r="R3" s="80" t="s">
        <v>130</v>
      </c>
      <c r="S3" s="80" t="s">
        <v>131</v>
      </c>
      <c r="T3" s="81" t="s">
        <v>132</v>
      </c>
      <c r="U3" s="29"/>
      <c r="V3" s="29"/>
      <c r="W3" s="29"/>
      <c r="X3" s="29"/>
      <c r="Y3" s="29"/>
      <c r="Z3" s="75"/>
    </row>
    <row r="4" customFormat="false" ht="12.75" hidden="false" customHeight="true" outlineLevel="0" collapsed="false">
      <c r="A4" s="2"/>
      <c r="B4" s="2"/>
      <c r="C4" s="82" t="s">
        <v>133</v>
      </c>
      <c r="D4" s="82"/>
      <c r="E4" s="82"/>
      <c r="F4" s="82"/>
      <c r="G4" s="82"/>
      <c r="H4" s="82"/>
      <c r="I4" s="2"/>
      <c r="J4" s="83"/>
      <c r="K4" s="84"/>
      <c r="L4" s="85"/>
      <c r="M4" s="85"/>
      <c r="N4" s="85"/>
      <c r="O4" s="2"/>
      <c r="P4" s="86" t="n">
        <v>1</v>
      </c>
      <c r="Q4" s="87" t="n">
        <v>0</v>
      </c>
      <c r="R4" s="88" t="n">
        <v>13.7134308605514</v>
      </c>
      <c r="S4" s="88" t="n">
        <v>-4.44933634154998</v>
      </c>
      <c r="T4" s="89" t="n">
        <v>0.015762777138942</v>
      </c>
      <c r="U4" s="29"/>
      <c r="V4" s="29"/>
      <c r="W4" s="29"/>
      <c r="X4" s="29"/>
      <c r="Y4" s="29"/>
      <c r="Z4" s="75"/>
    </row>
    <row r="5" customFormat="false" ht="12.75" hidden="false" customHeight="true" outlineLevel="0" collapsed="false">
      <c r="A5" s="2"/>
      <c r="B5" s="2"/>
      <c r="C5" s="90" t="s">
        <v>134</v>
      </c>
      <c r="D5" s="90"/>
      <c r="E5" s="90"/>
      <c r="F5" s="90"/>
      <c r="G5" s="91" t="s">
        <v>135</v>
      </c>
      <c r="H5" s="91"/>
      <c r="I5" s="2"/>
      <c r="J5" s="83"/>
      <c r="K5" s="83"/>
      <c r="L5" s="85"/>
      <c r="M5" s="85"/>
      <c r="N5" s="85"/>
      <c r="O5" s="2"/>
      <c r="P5" s="92" t="n">
        <v>2</v>
      </c>
      <c r="Q5" s="93" t="n">
        <v>24.785457046</v>
      </c>
      <c r="R5" s="93" t="n">
        <v>2.45611664415326</v>
      </c>
      <c r="S5" s="93" t="n">
        <v>-1.07512002389164</v>
      </c>
      <c r="T5" s="94" t="n">
        <v>0.0126507625293397</v>
      </c>
      <c r="U5" s="29"/>
      <c r="V5" s="29"/>
      <c r="W5" s="29"/>
      <c r="X5" s="29"/>
      <c r="Y5" s="29"/>
      <c r="Z5" s="75"/>
    </row>
    <row r="6" customFormat="false" ht="12.75" hidden="false" customHeight="true" outlineLevel="0" collapsed="false">
      <c r="A6" s="2"/>
      <c r="B6" s="2"/>
      <c r="C6" s="95" t="s">
        <v>136</v>
      </c>
      <c r="D6" s="95"/>
      <c r="E6" s="95"/>
      <c r="F6" s="95"/>
      <c r="G6" s="91" t="s">
        <v>135</v>
      </c>
      <c r="H6" s="91"/>
      <c r="I6" s="2"/>
      <c r="J6" s="83"/>
      <c r="K6" s="83"/>
      <c r="L6" s="85"/>
      <c r="M6" s="85"/>
      <c r="N6" s="85"/>
      <c r="O6" s="2"/>
      <c r="P6" s="92" t="n">
        <v>3</v>
      </c>
      <c r="Q6" s="93" t="n">
        <v>48.287432158</v>
      </c>
      <c r="R6" s="93" t="n">
        <v>0.363457110166116</v>
      </c>
      <c r="S6" s="93" t="n">
        <v>-0.0782851242555584</v>
      </c>
      <c r="T6" s="94" t="n">
        <v>0.0108769610873002</v>
      </c>
      <c r="U6" s="29"/>
      <c r="V6" s="29"/>
      <c r="W6" s="29"/>
      <c r="X6" s="29"/>
      <c r="Y6" s="29"/>
      <c r="Z6" s="75"/>
    </row>
    <row r="7" customFormat="false" ht="12.75" hidden="false" customHeight="true" outlineLevel="0" collapsed="false">
      <c r="A7" s="2"/>
      <c r="B7" s="2"/>
      <c r="C7" s="96" t="s">
        <v>137</v>
      </c>
      <c r="D7" s="96"/>
      <c r="E7" s="96"/>
      <c r="F7" s="96"/>
      <c r="G7" s="97" t="s">
        <v>138</v>
      </c>
      <c r="H7" s="97"/>
      <c r="I7" s="2"/>
      <c r="J7" s="83"/>
      <c r="K7" s="83"/>
      <c r="L7" s="85"/>
      <c r="M7" s="85"/>
      <c r="N7" s="85"/>
      <c r="O7" s="2"/>
      <c r="P7" s="92" t="n">
        <v>4</v>
      </c>
      <c r="Q7" s="93" t="n">
        <v>70.733690415</v>
      </c>
      <c r="R7" s="93" t="n">
        <v>0.222289723268419</v>
      </c>
      <c r="S7" s="93" t="n">
        <v>-0.00555353283966328</v>
      </c>
      <c r="T7" s="94" t="n">
        <v>0.010011842666492</v>
      </c>
      <c r="U7" s="29"/>
      <c r="V7" s="29"/>
      <c r="W7" s="29"/>
      <c r="X7" s="29"/>
      <c r="Y7" s="29"/>
      <c r="Z7" s="75"/>
    </row>
    <row r="8" customFormat="false" ht="12.75" hidden="false" customHeight="true" outlineLevel="0" collapsed="false">
      <c r="A8" s="2"/>
      <c r="B8" s="2"/>
      <c r="C8" s="2"/>
      <c r="D8" s="2"/>
      <c r="E8" s="2"/>
      <c r="F8" s="2"/>
      <c r="G8" s="2"/>
      <c r="H8" s="2"/>
      <c r="I8" s="2"/>
      <c r="J8" s="83"/>
      <c r="K8" s="83"/>
      <c r="L8" s="85"/>
      <c r="M8" s="85"/>
      <c r="N8" s="85"/>
      <c r="O8" s="2"/>
      <c r="P8" s="92" t="n">
        <v>5</v>
      </c>
      <c r="Q8" s="93" t="n">
        <v>93.280721194</v>
      </c>
      <c r="R8" s="93" t="n">
        <v>0.3582469595819</v>
      </c>
      <c r="S8" s="93" t="n">
        <v>-0.127119344464972</v>
      </c>
      <c r="T8" s="94" t="n">
        <v>0.00838334110015715</v>
      </c>
      <c r="U8" s="29"/>
      <c r="V8" s="29"/>
      <c r="W8" s="29"/>
      <c r="X8" s="29"/>
      <c r="Y8" s="29"/>
      <c r="Z8" s="75"/>
    </row>
    <row r="9" customFormat="false" ht="12.75" hidden="false" customHeight="true" outlineLevel="0" collapsed="false">
      <c r="A9" s="2"/>
      <c r="B9" s="2"/>
      <c r="C9" s="98" t="s">
        <v>139</v>
      </c>
      <c r="D9" s="99" t="str">
        <f aca="false">'META Data'!D16</f>
        <v>ID_OpenFOAM_olenla</v>
      </c>
      <c r="E9" s="99"/>
      <c r="F9" s="99"/>
      <c r="G9" s="2"/>
      <c r="H9" s="2"/>
      <c r="I9" s="2"/>
      <c r="J9" s="83"/>
      <c r="K9" s="83"/>
      <c r="L9" s="85"/>
      <c r="M9" s="85"/>
      <c r="N9" s="85"/>
      <c r="O9" s="2"/>
      <c r="P9" s="92" t="n">
        <v>6</v>
      </c>
      <c r="Q9" s="93" t="n">
        <v>115.909573783</v>
      </c>
      <c r="R9" s="93" t="n">
        <v>0.407072784121774</v>
      </c>
      <c r="S9" s="93" t="n">
        <v>-0.348473171172905</v>
      </c>
      <c r="T9" s="94" t="n">
        <v>0.00852809109140257</v>
      </c>
      <c r="U9" s="29"/>
      <c r="V9" s="29"/>
      <c r="W9" s="29"/>
      <c r="X9" s="29"/>
      <c r="Y9" s="29"/>
      <c r="Z9" s="75"/>
    </row>
    <row r="10" customFormat="false" ht="12.75" hidden="false" customHeight="true" outlineLevel="0" collapsed="false">
      <c r="A10" s="2"/>
      <c r="B10" s="2"/>
      <c r="C10" s="100" t="s">
        <v>140</v>
      </c>
      <c r="D10" s="101" t="s">
        <v>141</v>
      </c>
      <c r="E10" s="102" t="s">
        <v>142</v>
      </c>
      <c r="F10" s="103" t="s">
        <v>143</v>
      </c>
      <c r="G10" s="2"/>
      <c r="H10" s="2"/>
      <c r="I10" s="2"/>
      <c r="J10" s="83"/>
      <c r="K10" s="83"/>
      <c r="L10" s="85"/>
      <c r="M10" s="85"/>
      <c r="N10" s="85"/>
      <c r="O10" s="2"/>
      <c r="P10" s="92" t="n">
        <v>7</v>
      </c>
      <c r="Q10" s="93" t="n">
        <v>137.918462892</v>
      </c>
      <c r="R10" s="93" t="n">
        <v>0.428778469282812</v>
      </c>
      <c r="S10" s="93" t="n">
        <v>-0.354058007270328</v>
      </c>
      <c r="T10" s="94" t="n">
        <v>0.010849170182997</v>
      </c>
      <c r="U10" s="29"/>
      <c r="V10" s="29"/>
      <c r="W10" s="29"/>
      <c r="X10" s="29"/>
      <c r="Y10" s="29"/>
      <c r="Z10" s="75"/>
    </row>
    <row r="11" customFormat="false" ht="12.75" hidden="false" customHeight="true" outlineLevel="0" collapsed="false">
      <c r="A11" s="2"/>
      <c r="B11" s="2"/>
      <c r="C11" s="104" t="s">
        <v>144</v>
      </c>
      <c r="D11" s="105"/>
      <c r="E11" s="106"/>
      <c r="F11" s="107"/>
      <c r="G11" s="2"/>
      <c r="H11" s="2"/>
      <c r="I11" s="2"/>
      <c r="J11" s="83"/>
      <c r="K11" s="83"/>
      <c r="L11" s="85"/>
      <c r="M11" s="85"/>
      <c r="N11" s="85"/>
      <c r="O11" s="2"/>
      <c r="P11" s="92" t="n">
        <v>8</v>
      </c>
      <c r="Q11" s="93" t="n">
        <v>160.311194548</v>
      </c>
      <c r="R11" s="93" t="n">
        <v>0.435345977108687</v>
      </c>
      <c r="S11" s="93" t="n">
        <v>-0.359096207301306</v>
      </c>
      <c r="T11" s="94" t="n">
        <v>0.0114890828750542</v>
      </c>
      <c r="U11" s="29"/>
      <c r="V11" s="29"/>
      <c r="W11" s="29"/>
      <c r="X11" s="29"/>
      <c r="Y11" s="29"/>
      <c r="Z11" s="75"/>
    </row>
    <row r="12" customFormat="false" ht="12.75" hidden="false" customHeight="true" outlineLevel="0" collapsed="false">
      <c r="A12" s="2"/>
      <c r="B12" s="2"/>
      <c r="C12" s="104"/>
      <c r="D12" s="105"/>
      <c r="E12" s="106"/>
      <c r="F12" s="107"/>
      <c r="G12" s="108"/>
      <c r="H12" s="2"/>
      <c r="I12" s="2"/>
      <c r="J12" s="83"/>
      <c r="K12" s="83"/>
      <c r="L12" s="85"/>
      <c r="M12" s="85"/>
      <c r="N12" s="85"/>
      <c r="O12" s="2"/>
      <c r="P12" s="92" t="n">
        <v>9</v>
      </c>
      <c r="Q12" s="93" t="n">
        <v>182.587025389</v>
      </c>
      <c r="R12" s="93" t="n">
        <v>0.442365791419043</v>
      </c>
      <c r="S12" s="93" t="n">
        <v>-0.356627808411462</v>
      </c>
      <c r="T12" s="94" t="n">
        <v>0.0127234181195748</v>
      </c>
      <c r="U12" s="29"/>
      <c r="V12" s="29"/>
      <c r="W12" s="29"/>
      <c r="X12" s="29"/>
      <c r="Y12" s="29"/>
      <c r="Z12" s="75"/>
    </row>
    <row r="13" customFormat="false" ht="12.75" hidden="false" customHeight="true" outlineLevel="0" collapsed="false">
      <c r="A13" s="2"/>
      <c r="B13" s="2"/>
      <c r="C13" s="104"/>
      <c r="D13" s="105"/>
      <c r="E13" s="106"/>
      <c r="F13" s="107"/>
      <c r="G13" s="2"/>
      <c r="H13" s="2"/>
      <c r="I13" s="2"/>
      <c r="J13" s="83"/>
      <c r="K13" s="83"/>
      <c r="L13" s="85"/>
      <c r="M13" s="85"/>
      <c r="N13" s="85"/>
      <c r="O13" s="2"/>
      <c r="P13" s="92" t="n">
        <v>10</v>
      </c>
      <c r="Q13" s="93" t="n">
        <v>204.763286033</v>
      </c>
      <c r="R13" s="93" t="n">
        <v>0.447705850980628</v>
      </c>
      <c r="S13" s="93" t="n">
        <v>-0.329065774982346</v>
      </c>
      <c r="T13" s="94" t="n">
        <v>0.0136109722054271</v>
      </c>
      <c r="U13" s="29"/>
      <c r="V13" s="29"/>
      <c r="W13" s="29"/>
      <c r="X13" s="29"/>
      <c r="Y13" s="29"/>
      <c r="Z13" s="75"/>
    </row>
    <row r="14" customFormat="false" ht="12.75" hidden="false" customHeight="true" outlineLevel="0" collapsed="false">
      <c r="A14" s="2"/>
      <c r="B14" s="2"/>
      <c r="C14" s="2"/>
      <c r="D14" s="2"/>
      <c r="E14" s="2"/>
      <c r="F14" s="2"/>
      <c r="G14" s="2"/>
      <c r="H14" s="2"/>
      <c r="I14" s="2"/>
      <c r="J14" s="83"/>
      <c r="K14" s="83"/>
      <c r="L14" s="85"/>
      <c r="M14" s="85"/>
      <c r="N14" s="85"/>
      <c r="O14" s="2"/>
      <c r="P14" s="92" t="n">
        <v>11</v>
      </c>
      <c r="Q14" s="93" t="n">
        <v>226.671069434</v>
      </c>
      <c r="R14" s="93" t="n">
        <v>0.45559168016667</v>
      </c>
      <c r="S14" s="93" t="n">
        <v>-0.303361983615127</v>
      </c>
      <c r="T14" s="94" t="n">
        <v>0.0140816737216017</v>
      </c>
      <c r="U14" s="29"/>
      <c r="V14" s="29"/>
      <c r="W14" s="29"/>
      <c r="X14" s="29"/>
      <c r="Y14" s="29"/>
      <c r="Z14" s="75"/>
    </row>
    <row r="15" customFormat="false" ht="12.75" hidden="false" customHeight="true" outlineLevel="0" collapsed="false">
      <c r="A15" s="2"/>
      <c r="B15" s="2"/>
      <c r="C15" s="2"/>
      <c r="D15" s="2"/>
      <c r="E15" s="2"/>
      <c r="F15" s="2"/>
      <c r="G15" s="2"/>
      <c r="H15" s="2"/>
      <c r="I15" s="2"/>
      <c r="J15" s="83"/>
      <c r="K15" s="83"/>
      <c r="L15" s="85"/>
      <c r="M15" s="85"/>
      <c r="N15" s="85"/>
      <c r="O15" s="2"/>
      <c r="P15" s="92" t="n">
        <v>12</v>
      </c>
      <c r="Q15" s="93" t="n">
        <v>248.476979612</v>
      </c>
      <c r="R15" s="93" t="n">
        <v>0.447984905690943</v>
      </c>
      <c r="S15" s="93" t="n">
        <v>-0.282634673507574</v>
      </c>
      <c r="T15" s="94" t="n">
        <v>0.0142121248612226</v>
      </c>
      <c r="U15" s="29"/>
      <c r="V15" s="29"/>
      <c r="W15" s="29"/>
      <c r="X15" s="29"/>
      <c r="Y15" s="29"/>
      <c r="Z15" s="75"/>
    </row>
    <row r="16" customFormat="false" ht="12.75" hidden="false" customHeight="true" outlineLevel="0" collapsed="false">
      <c r="A16" s="2"/>
      <c r="B16" s="2"/>
      <c r="C16" s="109" t="s">
        <v>145</v>
      </c>
      <c r="D16" s="110"/>
      <c r="E16" s="110"/>
      <c r="F16" s="111"/>
      <c r="G16" s="2"/>
      <c r="H16" s="2"/>
      <c r="I16" s="2"/>
      <c r="J16" s="83"/>
      <c r="K16" s="83"/>
      <c r="L16" s="85"/>
      <c r="M16" s="85"/>
      <c r="N16" s="85"/>
      <c r="O16" s="2"/>
      <c r="P16" s="92" t="n">
        <v>13</v>
      </c>
      <c r="Q16" s="93" t="n">
        <v>270.68189997</v>
      </c>
      <c r="R16" s="93" t="n">
        <v>0.446892318474114</v>
      </c>
      <c r="S16" s="93" t="n">
        <v>-0.261748499636149</v>
      </c>
      <c r="T16" s="94" t="n">
        <v>0.0139838496397616</v>
      </c>
      <c r="U16" s="29"/>
      <c r="V16" s="29"/>
      <c r="W16" s="29"/>
      <c r="X16" s="29"/>
      <c r="Y16" s="29"/>
      <c r="Z16" s="75"/>
    </row>
    <row r="17" customFormat="false" ht="12.75" hidden="false" customHeight="true" outlineLevel="0" collapsed="false">
      <c r="A17" s="2"/>
      <c r="B17" s="2"/>
      <c r="C17" s="112" t="s">
        <v>146</v>
      </c>
      <c r="D17" s="113"/>
      <c r="E17" s="113"/>
      <c r="F17" s="114"/>
      <c r="G17" s="2"/>
      <c r="H17" s="2"/>
      <c r="I17" s="2"/>
      <c r="J17" s="83"/>
      <c r="K17" s="83"/>
      <c r="L17" s="85"/>
      <c r="M17" s="85"/>
      <c r="N17" s="85"/>
      <c r="O17" s="2"/>
      <c r="P17" s="92" t="n">
        <v>14</v>
      </c>
      <c r="Q17" s="93" t="n">
        <v>292.894755571</v>
      </c>
      <c r="R17" s="93" t="n">
        <v>0.444909129060823</v>
      </c>
      <c r="S17" s="93" t="n">
        <v>-0.249029723469055</v>
      </c>
      <c r="T17" s="94" t="n">
        <v>0.013724214497565</v>
      </c>
      <c r="U17" s="29"/>
      <c r="V17" s="29"/>
      <c r="W17" s="29"/>
      <c r="X17" s="29"/>
      <c r="Y17" s="29"/>
      <c r="Z17" s="75"/>
    </row>
    <row r="18" customFormat="false" ht="12.75" hidden="false" customHeight="true" outlineLevel="0" collapsed="false">
      <c r="A18" s="2"/>
      <c r="B18" s="2"/>
      <c r="C18" s="115" t="s">
        <v>147</v>
      </c>
      <c r="D18" s="116"/>
      <c r="E18" s="7"/>
      <c r="F18" s="117"/>
      <c r="G18" s="2"/>
      <c r="H18" s="118"/>
      <c r="I18" s="2"/>
      <c r="J18" s="83"/>
      <c r="K18" s="83"/>
      <c r="L18" s="85"/>
      <c r="M18" s="85"/>
      <c r="N18" s="85"/>
      <c r="O18" s="2"/>
      <c r="P18" s="92" t="n">
        <v>15</v>
      </c>
      <c r="Q18" s="93" t="n">
        <v>314.909501428</v>
      </c>
      <c r="R18" s="93" t="n">
        <v>0.439782561771097</v>
      </c>
      <c r="S18" s="93" t="n">
        <v>-0.24767429867882</v>
      </c>
      <c r="T18" s="94" t="n">
        <v>0.0128778931869446</v>
      </c>
      <c r="U18" s="29"/>
      <c r="V18" s="29"/>
      <c r="W18" s="29"/>
      <c r="X18" s="29"/>
      <c r="Y18" s="29"/>
      <c r="Z18" s="75"/>
    </row>
    <row r="19" customFormat="false" ht="12.75" hidden="false" customHeight="true" outlineLevel="0" collapsed="false">
      <c r="A19" s="2"/>
      <c r="B19" s="2"/>
      <c r="C19" s="119" t="s">
        <v>148</v>
      </c>
      <c r="D19" s="119"/>
      <c r="E19" s="119"/>
      <c r="F19" s="119"/>
      <c r="G19" s="2"/>
      <c r="H19" s="120"/>
      <c r="I19" s="2"/>
      <c r="J19" s="83"/>
      <c r="K19" s="83"/>
      <c r="L19" s="85"/>
      <c r="M19" s="85"/>
      <c r="N19" s="85"/>
      <c r="O19" s="2"/>
      <c r="P19" s="92" t="n">
        <v>16</v>
      </c>
      <c r="Q19" s="93" t="n">
        <v>336.754600688</v>
      </c>
      <c r="R19" s="93" t="n">
        <v>0.437838418345233</v>
      </c>
      <c r="S19" s="93" t="n">
        <v>-0.239890736052408</v>
      </c>
      <c r="T19" s="94" t="n">
        <v>0.0125008789941851</v>
      </c>
      <c r="U19" s="29"/>
      <c r="V19" s="29"/>
      <c r="W19" s="29"/>
      <c r="X19" s="29"/>
      <c r="Y19" s="29"/>
      <c r="Z19" s="75"/>
    </row>
    <row r="20" customFormat="false" ht="12.75" hidden="false" customHeight="true" outlineLevel="0" collapsed="false">
      <c r="A20" s="2"/>
      <c r="B20" s="2"/>
      <c r="C20" s="121" t="s">
        <v>149</v>
      </c>
      <c r="D20" s="122"/>
      <c r="E20" s="2"/>
      <c r="F20" s="117"/>
      <c r="G20" s="75"/>
      <c r="H20" s="75"/>
      <c r="I20" s="2"/>
      <c r="J20" s="83"/>
      <c r="K20" s="83"/>
      <c r="L20" s="85"/>
      <c r="M20" s="85"/>
      <c r="N20" s="85"/>
      <c r="O20" s="2"/>
      <c r="P20" s="92" t="n">
        <v>17</v>
      </c>
      <c r="Q20" s="93" t="n">
        <v>358.988683344</v>
      </c>
      <c r="R20" s="93" t="n">
        <v>0.433768889777061</v>
      </c>
      <c r="S20" s="93" t="n">
        <v>-0.244275391267518</v>
      </c>
      <c r="T20" s="94" t="n">
        <v>0.0110988077837672</v>
      </c>
      <c r="U20" s="29"/>
      <c r="V20" s="29"/>
      <c r="W20" s="29"/>
      <c r="X20" s="29"/>
      <c r="Y20" s="29"/>
      <c r="Z20" s="75"/>
    </row>
    <row r="21" customFormat="false" ht="12.75" hidden="false" customHeight="true" outlineLevel="0" collapsed="false">
      <c r="A21" s="2"/>
      <c r="B21" s="2"/>
      <c r="C21" s="123" t="s">
        <v>150</v>
      </c>
      <c r="D21" s="123"/>
      <c r="E21" s="123"/>
      <c r="F21" s="123"/>
      <c r="G21" s="2"/>
      <c r="H21" s="120"/>
      <c r="I21" s="118"/>
      <c r="J21" s="83"/>
      <c r="K21" s="83"/>
      <c r="L21" s="85"/>
      <c r="M21" s="85"/>
      <c r="N21" s="85"/>
      <c r="O21" s="2"/>
      <c r="P21" s="92" t="n">
        <v>18</v>
      </c>
      <c r="Q21" s="93" t="n">
        <v>380.649846757</v>
      </c>
      <c r="R21" s="93" t="n">
        <v>0.430118979038601</v>
      </c>
      <c r="S21" s="93" t="n">
        <v>-0.237283559469075</v>
      </c>
      <c r="T21" s="94" t="n">
        <v>0.010743069936634</v>
      </c>
      <c r="U21" s="29"/>
      <c r="V21" s="29"/>
      <c r="W21" s="29"/>
      <c r="X21" s="29"/>
      <c r="Y21" s="29"/>
      <c r="Z21" s="75"/>
    </row>
    <row r="22" customFormat="false" ht="12.75" hidden="false" customHeight="true" outlineLevel="0" collapsed="false">
      <c r="A22" s="2"/>
      <c r="B22" s="2"/>
      <c r="C22" s="124"/>
      <c r="D22" s="124"/>
      <c r="E22" s="124"/>
      <c r="F22" s="124"/>
      <c r="G22" s="2"/>
      <c r="H22" s="2"/>
      <c r="I22" s="120"/>
      <c r="J22" s="83"/>
      <c r="K22" s="83"/>
      <c r="L22" s="85"/>
      <c r="M22" s="85"/>
      <c r="N22" s="85"/>
      <c r="O22" s="2"/>
      <c r="P22" s="92" t="n">
        <v>19</v>
      </c>
      <c r="Q22" s="93" t="n">
        <v>402.274260351</v>
      </c>
      <c r="R22" s="93" t="n">
        <v>0.428537578669311</v>
      </c>
      <c r="S22" s="93" t="n">
        <v>-0.225862235409885</v>
      </c>
      <c r="T22" s="94" t="n">
        <v>0.00990473895240119</v>
      </c>
      <c r="U22" s="29"/>
      <c r="V22" s="29"/>
      <c r="W22" s="29"/>
      <c r="X22" s="29"/>
      <c r="Y22" s="29"/>
      <c r="Z22" s="75"/>
    </row>
    <row r="23" customFormat="false" ht="12.75" hidden="false" customHeight="true" outlineLevel="0" collapsed="false">
      <c r="A23" s="2"/>
      <c r="B23" s="2"/>
      <c r="C23" s="125" t="s">
        <v>151</v>
      </c>
      <c r="D23" s="125"/>
      <c r="E23" s="125"/>
      <c r="F23" s="125"/>
      <c r="G23" s="2"/>
      <c r="H23" s="2"/>
      <c r="I23" s="120"/>
      <c r="J23" s="83"/>
      <c r="K23" s="83"/>
      <c r="L23" s="85"/>
      <c r="M23" s="85"/>
      <c r="N23" s="85"/>
      <c r="O23" s="2"/>
      <c r="P23" s="92" t="n">
        <v>20</v>
      </c>
      <c r="Q23" s="93" t="n">
        <v>424.097987276</v>
      </c>
      <c r="R23" s="93" t="n">
        <v>0.430809990941914</v>
      </c>
      <c r="S23" s="93" t="n">
        <v>-0.210436213021962</v>
      </c>
      <c r="T23" s="94" t="n">
        <v>0.00881305946650467</v>
      </c>
      <c r="U23" s="29"/>
      <c r="V23" s="29"/>
      <c r="W23" s="29"/>
      <c r="X23" s="29"/>
      <c r="Y23" s="29"/>
      <c r="Z23" s="75"/>
    </row>
    <row r="24" customFormat="false" ht="12.75" hidden="false" customHeight="true" outlineLevel="0" collapsed="false">
      <c r="A24" s="2"/>
      <c r="B24" s="2"/>
      <c r="C24" s="126" t="s">
        <v>152</v>
      </c>
      <c r="D24" s="126"/>
      <c r="E24" s="126"/>
      <c r="F24" s="126"/>
      <c r="G24" s="2"/>
      <c r="H24" s="2"/>
      <c r="I24" s="120"/>
      <c r="J24" s="83"/>
      <c r="K24" s="83"/>
      <c r="L24" s="85"/>
      <c r="M24" s="85"/>
      <c r="N24" s="85"/>
      <c r="O24" s="2"/>
      <c r="P24" s="92" t="n">
        <v>21</v>
      </c>
      <c r="Q24" s="93" t="n">
        <v>445.828236877</v>
      </c>
      <c r="R24" s="93" t="n">
        <v>0.429052277125077</v>
      </c>
      <c r="S24" s="93" t="n">
        <v>-0.194498844707559</v>
      </c>
      <c r="T24" s="94" t="n">
        <v>0.00789119384670997</v>
      </c>
      <c r="U24" s="29"/>
      <c r="V24" s="29"/>
      <c r="W24" s="29"/>
      <c r="X24" s="29"/>
      <c r="Y24" s="29"/>
      <c r="Z24" s="75"/>
    </row>
    <row r="25" customFormat="false" ht="12.75" hidden="false" customHeight="true" outlineLevel="0" collapsed="false">
      <c r="A25" s="2"/>
      <c r="B25" s="2"/>
      <c r="C25" s="127" t="s">
        <v>153</v>
      </c>
      <c r="D25" s="128"/>
      <c r="E25" s="128"/>
      <c r="F25" s="129"/>
      <c r="G25" s="2"/>
      <c r="H25" s="2"/>
      <c r="I25" s="120"/>
      <c r="J25" s="83"/>
      <c r="K25" s="83"/>
      <c r="L25" s="85"/>
      <c r="M25" s="85"/>
      <c r="N25" s="85"/>
      <c r="O25" s="2"/>
      <c r="P25" s="92" t="n">
        <v>22</v>
      </c>
      <c r="Q25" s="93" t="n">
        <v>467.612913399</v>
      </c>
      <c r="R25" s="93" t="n">
        <v>0.429850815549545</v>
      </c>
      <c r="S25" s="93" t="n">
        <v>-0.166742016198883</v>
      </c>
      <c r="T25" s="94" t="n">
        <v>0.00674063030556126</v>
      </c>
      <c r="U25" s="29"/>
      <c r="V25" s="29"/>
      <c r="W25" s="29"/>
      <c r="X25" s="29"/>
      <c r="Y25" s="29"/>
      <c r="Z25" s="75"/>
    </row>
    <row r="26" customFormat="false" ht="12.75" hidden="false" customHeight="true" outlineLevel="0" collapsed="false">
      <c r="A26" s="2"/>
      <c r="B26" s="2"/>
      <c r="C26" s="130" t="s">
        <v>154</v>
      </c>
      <c r="D26" s="130"/>
      <c r="E26" s="130"/>
      <c r="F26" s="130"/>
      <c r="G26" s="2"/>
      <c r="H26" s="2"/>
      <c r="J26" s="83"/>
      <c r="K26" s="83"/>
      <c r="L26" s="85"/>
      <c r="M26" s="85"/>
      <c r="N26" s="85"/>
      <c r="O26" s="2"/>
      <c r="P26" s="92" t="n">
        <v>23</v>
      </c>
      <c r="Q26" s="93" t="n">
        <v>489.579660077</v>
      </c>
      <c r="R26" s="93" t="n">
        <v>0.430531052364492</v>
      </c>
      <c r="S26" s="93" t="n">
        <v>-0.133594687424292</v>
      </c>
      <c r="T26" s="94" t="n">
        <v>0.00502655453436763</v>
      </c>
      <c r="U26" s="29"/>
      <c r="V26" s="29"/>
      <c r="W26" s="29"/>
      <c r="X26" s="29"/>
      <c r="Y26" s="29"/>
      <c r="Z26" s="75"/>
    </row>
    <row r="27" customFormat="false" ht="12.75" hidden="false" customHeight="true" outlineLevel="0" collapsed="false">
      <c r="A27" s="2"/>
      <c r="B27" s="2"/>
      <c r="C27" s="131" t="s">
        <v>155</v>
      </c>
      <c r="D27" s="131"/>
      <c r="E27" s="131"/>
      <c r="F27" s="131"/>
      <c r="G27" s="2"/>
      <c r="H27" s="2"/>
      <c r="I27" s="2"/>
      <c r="J27" s="83"/>
      <c r="K27" s="83"/>
      <c r="L27" s="85"/>
      <c r="M27" s="85"/>
      <c r="N27" s="85"/>
      <c r="O27" s="2"/>
      <c r="P27" s="92" t="n">
        <v>24</v>
      </c>
      <c r="Q27" s="93" t="n">
        <v>511.76060534</v>
      </c>
      <c r="R27" s="93" t="n">
        <v>0.429237719086203</v>
      </c>
      <c r="S27" s="93" t="n">
        <v>-0.0735411208162099</v>
      </c>
      <c r="T27" s="94" t="n">
        <v>0.00261355698410784</v>
      </c>
      <c r="U27" s="29"/>
      <c r="V27" s="29"/>
      <c r="W27" s="29"/>
      <c r="X27" s="29"/>
      <c r="Y27" s="29"/>
      <c r="Z27" s="75"/>
    </row>
    <row r="28" customFormat="false" ht="12.75" hidden="false" customHeight="true" outlineLevel="0" collapsed="false">
      <c r="A28" s="2"/>
      <c r="B28" s="2"/>
      <c r="C28" s="132" t="s">
        <v>156</v>
      </c>
      <c r="D28" s="133" t="n">
        <v>4000</v>
      </c>
      <c r="E28" s="133" t="n">
        <v>4000</v>
      </c>
      <c r="F28" s="134" t="n">
        <v>4000</v>
      </c>
      <c r="G28" s="2"/>
      <c r="H28" s="2"/>
      <c r="I28" s="2"/>
      <c r="J28" s="83"/>
      <c r="K28" s="83"/>
      <c r="L28" s="85"/>
      <c r="M28" s="85"/>
      <c r="N28" s="85"/>
      <c r="O28" s="2"/>
      <c r="P28" s="92" t="n">
        <v>25</v>
      </c>
      <c r="Q28" s="93" t="n">
        <v>533.03588413</v>
      </c>
      <c r="R28" s="93" t="n">
        <v>0.426400218722262</v>
      </c>
      <c r="S28" s="93" t="n">
        <v>-0.0645133701706263</v>
      </c>
      <c r="T28" s="94" t="n">
        <v>0.00321218775622325</v>
      </c>
      <c r="U28" s="29"/>
      <c r="V28" s="29"/>
      <c r="W28" s="29"/>
      <c r="X28" s="29"/>
      <c r="Y28" s="29"/>
      <c r="Z28" s="75"/>
    </row>
    <row r="29" customFormat="false" ht="12.75" hidden="false" customHeight="true" outlineLevel="0" collapsed="false">
      <c r="A29" s="2"/>
      <c r="B29" s="2"/>
      <c r="C29" s="132" t="s">
        <v>157</v>
      </c>
      <c r="D29" s="133" t="n">
        <v>353</v>
      </c>
      <c r="E29" s="133" t="n">
        <v>353</v>
      </c>
      <c r="F29" s="134" t="n">
        <v>353</v>
      </c>
      <c r="G29" s="2"/>
      <c r="H29" s="2"/>
      <c r="I29" s="2"/>
      <c r="J29" s="83"/>
      <c r="K29" s="83"/>
      <c r="L29" s="85"/>
      <c r="M29" s="85"/>
      <c r="N29" s="85"/>
      <c r="O29" s="2"/>
      <c r="P29" s="92" t="n">
        <v>26</v>
      </c>
      <c r="Q29" s="93" t="n">
        <v>554.947905958</v>
      </c>
      <c r="R29" s="93" t="n">
        <v>0.42595020588624</v>
      </c>
      <c r="S29" s="93" t="n">
        <v>-0.0434882471567198</v>
      </c>
      <c r="T29" s="94" t="n">
        <v>0.00407099866881318</v>
      </c>
      <c r="U29" s="29"/>
      <c r="V29" s="29"/>
      <c r="W29" s="29"/>
      <c r="X29" s="29"/>
      <c r="Y29" s="29"/>
      <c r="Z29" s="75"/>
    </row>
    <row r="30" customFormat="false" ht="12.75" hidden="false" customHeight="true" outlineLevel="0" collapsed="false">
      <c r="A30" s="2"/>
      <c r="B30" s="2"/>
      <c r="C30" s="132" t="s">
        <v>158</v>
      </c>
      <c r="D30" s="133" t="n">
        <v>3647</v>
      </c>
      <c r="E30" s="133" t="n">
        <v>3647</v>
      </c>
      <c r="F30" s="134" t="n">
        <v>3647</v>
      </c>
      <c r="G30" s="2"/>
      <c r="H30" s="2"/>
      <c r="I30" s="2"/>
      <c r="J30" s="83"/>
      <c r="K30" s="83"/>
      <c r="L30" s="85"/>
      <c r="M30" s="85"/>
      <c r="N30" s="85"/>
      <c r="O30" s="2"/>
      <c r="P30" s="92" t="n">
        <v>27</v>
      </c>
      <c r="Q30" s="93" t="n">
        <v>576.97738525</v>
      </c>
      <c r="R30" s="93" t="n">
        <v>0.425853386054493</v>
      </c>
      <c r="S30" s="93" t="n">
        <v>-0.0179354577984874</v>
      </c>
      <c r="T30" s="94" t="n">
        <v>0.00545292381350837</v>
      </c>
      <c r="U30" s="29"/>
      <c r="V30" s="29"/>
      <c r="W30" s="29"/>
      <c r="X30" s="29"/>
      <c r="Y30" s="29"/>
      <c r="Z30" s="75"/>
    </row>
    <row r="31" customFormat="false" ht="12.75" hidden="false" customHeight="true" outlineLevel="0" collapsed="false">
      <c r="A31" s="2"/>
      <c r="B31" s="2"/>
      <c r="C31" s="135" t="s">
        <v>159</v>
      </c>
      <c r="D31" s="136" t="n">
        <v>0.2687989</v>
      </c>
      <c r="E31" s="136" t="n">
        <f aca="false">0.08482921</f>
        <v>0.08482921</v>
      </c>
      <c r="F31" s="136" t="n">
        <f aca="false">0.02316761</f>
        <v>0.02316761</v>
      </c>
      <c r="G31" s="2"/>
      <c r="H31" s="2"/>
      <c r="I31" s="2"/>
      <c r="J31" s="83"/>
      <c r="K31" s="83"/>
      <c r="L31" s="85"/>
      <c r="M31" s="85"/>
      <c r="N31" s="85"/>
      <c r="O31" s="2"/>
      <c r="P31" s="92" t="n">
        <v>28</v>
      </c>
      <c r="Q31" s="93" t="n">
        <v>598.342101073</v>
      </c>
      <c r="R31" s="93" t="n">
        <v>0.421769824783341</v>
      </c>
      <c r="S31" s="93" t="n">
        <v>-0.0133406584026371</v>
      </c>
      <c r="T31" s="94" t="n">
        <v>0.00648330296690511</v>
      </c>
      <c r="U31" s="29"/>
      <c r="V31" s="29"/>
      <c r="W31" s="29"/>
      <c r="X31" s="29"/>
      <c r="Y31" s="29"/>
      <c r="Z31" s="75"/>
    </row>
    <row r="32" customFormat="false" ht="12.75" hidden="false" customHeight="true" outlineLevel="0" collapsed="false">
      <c r="A32" s="2"/>
      <c r="B32" s="2"/>
      <c r="C32" s="135" t="s">
        <v>160</v>
      </c>
      <c r="D32" s="137" t="n">
        <v>0.0003891502</v>
      </c>
      <c r="E32" s="138" t="n">
        <f aca="false">0.001167651</f>
        <v>0.001167651</v>
      </c>
      <c r="F32" s="138" t="n">
        <f aca="false">0.002048015</f>
        <v>0.002048015</v>
      </c>
      <c r="G32" s="2"/>
      <c r="H32" s="2"/>
      <c r="I32" s="2"/>
      <c r="J32" s="83"/>
      <c r="K32" s="83"/>
      <c r="L32" s="85"/>
      <c r="M32" s="85"/>
      <c r="N32" s="85"/>
      <c r="O32" s="2"/>
      <c r="P32" s="92" t="n">
        <v>29</v>
      </c>
      <c r="Q32" s="93" t="n">
        <v>620.172462127</v>
      </c>
      <c r="R32" s="93" t="n">
        <v>0.419812593408717</v>
      </c>
      <c r="S32" s="93" t="n">
        <v>-0.00378444460081335</v>
      </c>
      <c r="T32" s="94" t="n">
        <v>0.00815236426528855</v>
      </c>
      <c r="U32" s="29"/>
      <c r="V32" s="29"/>
      <c r="W32" s="29"/>
      <c r="X32" s="29"/>
      <c r="Y32" s="29"/>
      <c r="Z32" s="75"/>
    </row>
    <row r="33" customFormat="false" ht="12.75" hidden="false" customHeight="true" outlineLevel="0" collapsed="false">
      <c r="A33" s="2"/>
      <c r="B33" s="2"/>
      <c r="C33" s="135" t="s">
        <v>161</v>
      </c>
      <c r="D33" s="139" t="n">
        <f aca="false">D32*2</f>
        <v>0.0007783004</v>
      </c>
      <c r="E33" s="139" t="n">
        <f aca="false">E32*2</f>
        <v>0.002335302</v>
      </c>
      <c r="F33" s="139" t="n">
        <f aca="false">F32*2</f>
        <v>0.00409603</v>
      </c>
      <c r="G33" s="2"/>
      <c r="H33" s="2"/>
      <c r="I33" s="2"/>
      <c r="J33" s="83"/>
      <c r="K33" s="83"/>
      <c r="L33" s="85"/>
      <c r="M33" s="85"/>
      <c r="N33" s="85"/>
      <c r="O33" s="2"/>
      <c r="P33" s="92" t="n">
        <v>30</v>
      </c>
      <c r="Q33" s="93" t="n">
        <v>641.816808446</v>
      </c>
      <c r="R33" s="93" t="n">
        <v>0.417667319633346</v>
      </c>
      <c r="S33" s="93" t="n">
        <v>0.00301609335075621</v>
      </c>
      <c r="T33" s="94" t="n">
        <v>0.00962404734533745</v>
      </c>
      <c r="U33" s="29"/>
      <c r="V33" s="29"/>
      <c r="W33" s="29"/>
      <c r="X33" s="29"/>
      <c r="Y33" s="29"/>
      <c r="Z33" s="75"/>
    </row>
    <row r="34" customFormat="false" ht="12.75" hidden="false" customHeight="true" outlineLevel="0" collapsed="false">
      <c r="A34" s="2"/>
      <c r="B34" s="2"/>
      <c r="C34" s="135" t="s">
        <v>162</v>
      </c>
      <c r="D34" s="137" t="n">
        <v>0.00479267</v>
      </c>
      <c r="E34" s="140" t="n">
        <f aca="false">0.01729689</f>
        <v>0.01729689</v>
      </c>
      <c r="F34" s="141" t="n">
        <f aca="false">0.01241931</f>
        <v>0.01241931</v>
      </c>
      <c r="G34" s="2"/>
      <c r="H34" s="2"/>
      <c r="I34" s="2"/>
      <c r="J34" s="83"/>
      <c r="K34" s="83"/>
      <c r="L34" s="85"/>
      <c r="M34" s="85"/>
      <c r="N34" s="85"/>
      <c r="O34" s="2"/>
      <c r="P34" s="92" t="n">
        <v>31</v>
      </c>
      <c r="Q34" s="93" t="n">
        <v>663.452037799</v>
      </c>
      <c r="R34" s="93" t="n">
        <v>0.415794920651743</v>
      </c>
      <c r="S34" s="93" t="n">
        <v>0.0062366492196859</v>
      </c>
      <c r="T34" s="94" t="n">
        <v>0.0110910878405203</v>
      </c>
      <c r="U34" s="29"/>
      <c r="V34" s="29"/>
      <c r="W34" s="29"/>
      <c r="X34" s="29"/>
      <c r="Y34" s="29"/>
      <c r="Z34" s="75"/>
    </row>
    <row r="35" customFormat="false" ht="12.75" hidden="false" customHeight="true" outlineLevel="0" collapsed="false">
      <c r="A35" s="2"/>
      <c r="B35" s="2"/>
      <c r="C35" s="142" t="s">
        <v>163</v>
      </c>
      <c r="D35" s="143" t="n">
        <v>0.0002751708</v>
      </c>
      <c r="E35" s="140" t="n">
        <f aca="false">0.0008256539</f>
        <v>0.0008256539</v>
      </c>
      <c r="F35" s="141" t="n">
        <f aca="false">0.001448165</f>
        <v>0.001448165</v>
      </c>
      <c r="G35" s="2"/>
      <c r="H35" s="2"/>
      <c r="I35" s="2"/>
      <c r="J35" s="83"/>
      <c r="K35" s="83"/>
      <c r="L35" s="85"/>
      <c r="M35" s="85"/>
      <c r="N35" s="85"/>
      <c r="O35" s="118"/>
      <c r="P35" s="92" t="n">
        <v>32</v>
      </c>
      <c r="Q35" s="93" t="n">
        <v>684.970955978</v>
      </c>
      <c r="R35" s="93" t="n">
        <v>0.413722727403552</v>
      </c>
      <c r="S35" s="93" t="n">
        <v>0.00580178872868645</v>
      </c>
      <c r="T35" s="94" t="n">
        <v>0.0122951168021166</v>
      </c>
      <c r="U35" s="29"/>
      <c r="V35" s="29"/>
      <c r="W35" s="29"/>
      <c r="X35" s="29"/>
      <c r="Y35" s="29"/>
      <c r="Z35" s="75"/>
    </row>
    <row r="36" customFormat="false" ht="12.75" hidden="false" customHeight="tru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83"/>
      <c r="K36" s="83"/>
      <c r="L36" s="85"/>
      <c r="M36" s="85"/>
      <c r="N36" s="85"/>
      <c r="O36" s="120"/>
      <c r="P36" s="92" t="n">
        <v>33</v>
      </c>
      <c r="Q36" s="93" t="n">
        <v>706.579939553</v>
      </c>
      <c r="R36" s="93" t="n">
        <v>0.412613577225135</v>
      </c>
      <c r="S36" s="93" t="n">
        <v>0.00146460086237668</v>
      </c>
      <c r="T36" s="94" t="n">
        <v>0.0130936102676577</v>
      </c>
      <c r="U36" s="29"/>
      <c r="V36" s="29"/>
      <c r="W36" s="29"/>
      <c r="X36" s="29"/>
      <c r="Y36" s="29"/>
      <c r="Z36" s="75"/>
    </row>
    <row r="37" customFormat="false" ht="12.75" hidden="false" customHeight="tru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83"/>
      <c r="K37" s="83"/>
      <c r="L37" s="85"/>
      <c r="M37" s="85"/>
      <c r="N37" s="85"/>
      <c r="O37" s="2"/>
      <c r="P37" s="92" t="n">
        <v>34</v>
      </c>
      <c r="Q37" s="93" t="n">
        <v>728.278578935</v>
      </c>
      <c r="R37" s="93" t="n">
        <v>0.411938731736233</v>
      </c>
      <c r="S37" s="93" t="n">
        <v>-0.0049650141299645</v>
      </c>
      <c r="T37" s="94" t="n">
        <v>0.0137177550337773</v>
      </c>
      <c r="U37" s="29"/>
      <c r="V37" s="29"/>
      <c r="W37" s="29"/>
      <c r="X37" s="29"/>
      <c r="Y37" s="29"/>
      <c r="Z37" s="75"/>
    </row>
    <row r="38" customFormat="false" ht="12.75" hidden="false" customHeight="true" outlineLevel="0" collapsed="false">
      <c r="A38" s="2"/>
      <c r="B38" s="2"/>
      <c r="C38" s="144" t="s">
        <v>164</v>
      </c>
      <c r="D38" s="144"/>
      <c r="E38" s="144"/>
      <c r="F38" s="144"/>
      <c r="G38" s="144"/>
      <c r="H38" s="144"/>
      <c r="I38" s="2"/>
      <c r="J38" s="83"/>
      <c r="K38" s="83"/>
      <c r="L38" s="85"/>
      <c r="M38" s="85"/>
      <c r="N38" s="85"/>
      <c r="O38" s="2"/>
      <c r="P38" s="92" t="n">
        <v>35</v>
      </c>
      <c r="Q38" s="93" t="n">
        <v>750.278514979</v>
      </c>
      <c r="R38" s="93" t="n">
        <v>0.41148817210003</v>
      </c>
      <c r="S38" s="93" t="n">
        <v>-0.0136866414839801</v>
      </c>
      <c r="T38" s="94" t="n">
        <v>0.0143086938375926</v>
      </c>
      <c r="U38" s="29"/>
      <c r="V38" s="29"/>
      <c r="W38" s="29"/>
      <c r="X38" s="29"/>
      <c r="Y38" s="29"/>
      <c r="Z38" s="75"/>
    </row>
    <row r="39" customFormat="false" ht="12.75" hidden="false" customHeight="true" outlineLevel="0" collapsed="false">
      <c r="A39" s="2"/>
      <c r="B39" s="2"/>
      <c r="C39" s="145"/>
      <c r="D39" s="145"/>
      <c r="E39" s="145"/>
      <c r="F39" s="145"/>
      <c r="G39" s="145"/>
      <c r="H39" s="145"/>
      <c r="I39" s="2"/>
      <c r="J39" s="83"/>
      <c r="K39" s="83"/>
      <c r="L39" s="85"/>
      <c r="M39" s="85"/>
      <c r="N39" s="85"/>
      <c r="O39" s="2"/>
      <c r="P39" s="92" t="n">
        <v>36</v>
      </c>
      <c r="Q39" s="93" t="n">
        <v>772.197128347</v>
      </c>
      <c r="R39" s="93" t="n">
        <v>0.410430845599549</v>
      </c>
      <c r="S39" s="93" t="n">
        <v>-0.0226465460598603</v>
      </c>
      <c r="T39" s="94" t="n">
        <v>0.0151929741379128</v>
      </c>
      <c r="U39" s="29"/>
      <c r="V39" s="29"/>
      <c r="W39" s="29"/>
      <c r="X39" s="29"/>
      <c r="Y39" s="29"/>
      <c r="Z39" s="75"/>
    </row>
    <row r="40" customFormat="false" ht="12.75" hidden="false" customHeight="true" outlineLevel="0" collapsed="false">
      <c r="A40" s="2"/>
      <c r="B40" s="2"/>
      <c r="C40" s="145"/>
      <c r="D40" s="145"/>
      <c r="E40" s="145"/>
      <c r="F40" s="145"/>
      <c r="G40" s="145"/>
      <c r="H40" s="145"/>
      <c r="I40" s="2"/>
      <c r="J40" s="83"/>
      <c r="K40" s="83"/>
      <c r="L40" s="85"/>
      <c r="M40" s="85"/>
      <c r="N40" s="85"/>
      <c r="O40" s="2"/>
      <c r="P40" s="92" t="n">
        <v>37</v>
      </c>
      <c r="Q40" s="93" t="n">
        <v>793.546939509</v>
      </c>
      <c r="R40" s="93" t="n">
        <v>0.408275688865182</v>
      </c>
      <c r="S40" s="93" t="n">
        <v>-0.0258544798254605</v>
      </c>
      <c r="T40" s="94" t="n">
        <v>0.0162945974738326</v>
      </c>
      <c r="U40" s="29"/>
      <c r="V40" s="29"/>
      <c r="W40" s="29"/>
      <c r="X40" s="29"/>
      <c r="Y40" s="29"/>
      <c r="Z40" s="75"/>
    </row>
    <row r="41" customFormat="false" ht="12.75" hidden="false" customHeight="true" outlineLevel="0" collapsed="false">
      <c r="A41" s="2"/>
      <c r="B41" s="2"/>
      <c r="C41" s="145"/>
      <c r="D41" s="145"/>
      <c r="E41" s="145"/>
      <c r="F41" s="145"/>
      <c r="G41" s="145"/>
      <c r="H41" s="145"/>
      <c r="I41" s="2"/>
      <c r="J41" s="83"/>
      <c r="K41" s="83"/>
      <c r="L41" s="85"/>
      <c r="M41" s="85"/>
      <c r="N41" s="85"/>
      <c r="O41" s="2"/>
      <c r="P41" s="92" t="n">
        <v>38</v>
      </c>
      <c r="Q41" s="93" t="n">
        <v>815.788382608</v>
      </c>
      <c r="R41" s="93" t="n">
        <v>0.405873834835353</v>
      </c>
      <c r="S41" s="93" t="n">
        <v>-0.0254670400431119</v>
      </c>
      <c r="T41" s="94" t="n">
        <v>0.0179594361997085</v>
      </c>
      <c r="U41" s="29"/>
      <c r="V41" s="29"/>
      <c r="W41" s="29"/>
      <c r="X41" s="29"/>
      <c r="Y41" s="29"/>
      <c r="Z41" s="75"/>
    </row>
    <row r="42" customFormat="false" ht="12.75" hidden="false" customHeight="true" outlineLevel="0" collapsed="false">
      <c r="A42" s="2"/>
      <c r="B42" s="2"/>
      <c r="C42" s="145"/>
      <c r="D42" s="145"/>
      <c r="E42" s="145"/>
      <c r="F42" s="145"/>
      <c r="G42" s="145"/>
      <c r="H42" s="145"/>
      <c r="I42" s="2"/>
      <c r="J42" s="83"/>
      <c r="K42" s="83"/>
      <c r="L42" s="85"/>
      <c r="M42" s="85"/>
      <c r="N42" s="85"/>
      <c r="O42" s="2"/>
      <c r="P42" s="92" t="n">
        <v>39</v>
      </c>
      <c r="Q42" s="93" t="n">
        <v>837.275563888</v>
      </c>
      <c r="R42" s="93" t="n">
        <v>0.404015409173143</v>
      </c>
      <c r="S42" s="93" t="n">
        <v>-0.0257175944869576</v>
      </c>
      <c r="T42" s="94" t="n">
        <v>0.0175007158349096</v>
      </c>
      <c r="U42" s="29"/>
      <c r="V42" s="29"/>
      <c r="W42" s="29"/>
      <c r="X42" s="29"/>
      <c r="Y42" s="29"/>
      <c r="Z42" s="75"/>
    </row>
    <row r="43" customFormat="false" ht="12.75" hidden="false" customHeight="true" outlineLevel="0" collapsed="false">
      <c r="A43" s="2"/>
      <c r="B43" s="2"/>
      <c r="C43" s="145"/>
      <c r="D43" s="145"/>
      <c r="E43" s="145"/>
      <c r="F43" s="145"/>
      <c r="G43" s="145"/>
      <c r="H43" s="145"/>
      <c r="I43" s="2"/>
      <c r="J43" s="83"/>
      <c r="K43" s="83"/>
      <c r="L43" s="85"/>
      <c r="M43" s="85"/>
      <c r="N43" s="85"/>
      <c r="O43" s="2"/>
      <c r="P43" s="92" t="n">
        <v>40</v>
      </c>
      <c r="Q43" s="93" t="n">
        <v>859.11857037</v>
      </c>
      <c r="R43" s="93" t="n">
        <v>0.402071417726302</v>
      </c>
      <c r="S43" s="93" t="n">
        <v>-0.0170084524152599</v>
      </c>
      <c r="T43" s="94" t="n">
        <v>0.0180721561577013</v>
      </c>
      <c r="U43" s="29"/>
      <c r="V43" s="29"/>
      <c r="W43" s="29"/>
      <c r="X43" s="29"/>
      <c r="Y43" s="29"/>
      <c r="Z43" s="75"/>
    </row>
    <row r="44" customFormat="false" ht="12.75" hidden="false" customHeight="true" outlineLevel="0" collapsed="false">
      <c r="A44" s="2"/>
      <c r="B44" s="2"/>
      <c r="C44" s="145"/>
      <c r="D44" s="145"/>
      <c r="E44" s="145"/>
      <c r="F44" s="145"/>
      <c r="G44" s="145"/>
      <c r="H44" s="145"/>
      <c r="I44" s="2"/>
      <c r="J44" s="83"/>
      <c r="K44" s="83"/>
      <c r="L44" s="85"/>
      <c r="M44" s="85"/>
      <c r="N44" s="85"/>
      <c r="O44" s="2"/>
      <c r="P44" s="92" t="n">
        <v>41</v>
      </c>
      <c r="Q44" s="93" t="n">
        <v>880.79885456</v>
      </c>
      <c r="R44" s="93" t="n">
        <v>0.401443451447701</v>
      </c>
      <c r="S44" s="93" t="n">
        <v>-0.0127874216273714</v>
      </c>
      <c r="T44" s="94" t="n">
        <v>0.0177476732447867</v>
      </c>
      <c r="U44" s="29"/>
      <c r="V44" s="29"/>
      <c r="W44" s="29"/>
      <c r="X44" s="29"/>
      <c r="Y44" s="29"/>
      <c r="Z44" s="75"/>
    </row>
    <row r="45" customFormat="false" ht="12.75" hidden="false" customHeight="true" outlineLevel="0" collapsed="false">
      <c r="A45" s="2"/>
      <c r="B45" s="2"/>
      <c r="C45" s="145"/>
      <c r="D45" s="145"/>
      <c r="E45" s="145"/>
      <c r="F45" s="145"/>
      <c r="G45" s="145"/>
      <c r="H45" s="145"/>
      <c r="I45" s="2"/>
      <c r="J45" s="83"/>
      <c r="K45" s="83"/>
      <c r="L45" s="85"/>
      <c r="M45" s="85"/>
      <c r="N45" s="85"/>
      <c r="O45" s="2"/>
      <c r="P45" s="92" t="n">
        <v>42</v>
      </c>
      <c r="Q45" s="93" t="n">
        <v>903.047087134</v>
      </c>
      <c r="R45" s="93" t="n">
        <v>0.400998284711556</v>
      </c>
      <c r="S45" s="93" t="n">
        <v>0.00251678378757927</v>
      </c>
      <c r="T45" s="94" t="n">
        <v>0.0181310275722031</v>
      </c>
      <c r="U45" s="29"/>
      <c r="V45" s="29"/>
      <c r="W45" s="29"/>
      <c r="X45" s="29"/>
      <c r="Y45" s="29"/>
      <c r="Z45" s="75"/>
    </row>
    <row r="46" customFormat="false" ht="12.75" hidden="false" customHeight="true" outlineLevel="0" collapsed="false">
      <c r="A46" s="2"/>
      <c r="B46" s="2"/>
      <c r="C46" s="145"/>
      <c r="D46" s="145"/>
      <c r="E46" s="145"/>
      <c r="F46" s="145"/>
      <c r="G46" s="145"/>
      <c r="H46" s="145"/>
      <c r="I46" s="2"/>
      <c r="J46" s="83"/>
      <c r="K46" s="83"/>
      <c r="L46" s="85"/>
      <c r="M46" s="85"/>
      <c r="N46" s="85"/>
      <c r="O46" s="2"/>
      <c r="P46" s="92" t="n">
        <v>43</v>
      </c>
      <c r="Q46" s="93" t="n">
        <v>924.693770836</v>
      </c>
      <c r="R46" s="93" t="n">
        <v>0.399985536822162</v>
      </c>
      <c r="S46" s="93" t="n">
        <v>0.0052739912407803</v>
      </c>
      <c r="T46" s="94" t="n">
        <v>0.0168337345856641</v>
      </c>
      <c r="U46" s="29"/>
      <c r="V46" s="29"/>
      <c r="W46" s="29"/>
      <c r="X46" s="29"/>
      <c r="Y46" s="29"/>
      <c r="Z46" s="75"/>
    </row>
    <row r="47" customFormat="false" ht="12.75" hidden="false" customHeight="true" outlineLevel="0" collapsed="false">
      <c r="A47" s="2"/>
      <c r="B47" s="2"/>
      <c r="C47" s="145"/>
      <c r="D47" s="145"/>
      <c r="E47" s="145"/>
      <c r="F47" s="145"/>
      <c r="G47" s="145"/>
      <c r="H47" s="145"/>
      <c r="I47" s="2"/>
      <c r="J47" s="83"/>
      <c r="K47" s="83"/>
      <c r="L47" s="85"/>
      <c r="M47" s="85"/>
      <c r="N47" s="85"/>
      <c r="O47" s="2"/>
      <c r="P47" s="92" t="n">
        <v>44</v>
      </c>
      <c r="Q47" s="93" t="n">
        <v>946.853754691</v>
      </c>
      <c r="R47" s="93" t="n">
        <v>0.396767620548937</v>
      </c>
      <c r="S47" s="93" t="n">
        <v>0.025136464012575</v>
      </c>
      <c r="T47" s="94" t="n">
        <v>0.0168846201511698</v>
      </c>
      <c r="U47" s="29"/>
      <c r="V47" s="29"/>
      <c r="W47" s="29"/>
      <c r="X47" s="29"/>
      <c r="Y47" s="29"/>
      <c r="Z47" s="75"/>
    </row>
    <row r="48" customFormat="false" ht="12.75" hidden="false" customHeight="true" outlineLevel="0" collapsed="false">
      <c r="A48" s="2"/>
      <c r="B48" s="2"/>
      <c r="C48" s="145"/>
      <c r="D48" s="145"/>
      <c r="E48" s="145"/>
      <c r="F48" s="145"/>
      <c r="G48" s="145"/>
      <c r="H48" s="145"/>
      <c r="I48" s="2"/>
      <c r="J48" s="83"/>
      <c r="K48" s="83"/>
      <c r="L48" s="85"/>
      <c r="M48" s="85"/>
      <c r="N48" s="85"/>
      <c r="O48" s="2"/>
      <c r="P48" s="92" t="n">
        <v>45</v>
      </c>
      <c r="Q48" s="93" t="n">
        <v>968.50690485</v>
      </c>
      <c r="R48" s="93" t="n">
        <v>0.393682490423865</v>
      </c>
      <c r="S48" s="93" t="n">
        <v>0.0285801148427991</v>
      </c>
      <c r="T48" s="94" t="n">
        <v>0.0162933108790565</v>
      </c>
      <c r="U48" s="29"/>
      <c r="V48" s="29"/>
      <c r="W48" s="29"/>
      <c r="X48" s="29"/>
      <c r="Y48" s="29"/>
      <c r="Z48" s="75"/>
    </row>
    <row r="49" customFormat="false" ht="12.75" hidden="false" customHeight="true" outlineLevel="0" collapsed="false">
      <c r="A49" s="2"/>
      <c r="B49" s="2"/>
      <c r="C49" s="145"/>
      <c r="D49" s="145"/>
      <c r="E49" s="145"/>
      <c r="F49" s="145"/>
      <c r="G49" s="145"/>
      <c r="H49" s="145"/>
      <c r="I49" s="2"/>
      <c r="J49" s="83"/>
      <c r="K49" s="83"/>
      <c r="L49" s="85"/>
      <c r="M49" s="85"/>
      <c r="N49" s="85"/>
      <c r="O49" s="2"/>
      <c r="P49" s="92" t="n">
        <v>46</v>
      </c>
      <c r="Q49" s="93" t="n">
        <v>990.090614594</v>
      </c>
      <c r="R49" s="93" t="n">
        <v>0.388153709423436</v>
      </c>
      <c r="S49" s="93" t="n">
        <v>0.0341981268462815</v>
      </c>
      <c r="T49" s="94" t="n">
        <v>0.0169556305492387</v>
      </c>
      <c r="U49" s="29"/>
      <c r="V49" s="29"/>
      <c r="W49" s="29"/>
      <c r="X49" s="29"/>
      <c r="Y49" s="29"/>
      <c r="Z49" s="75"/>
    </row>
    <row r="50" customFormat="false" ht="12.75" hidden="false" customHeight="true" outlineLevel="0" collapsed="false">
      <c r="A50" s="2"/>
      <c r="B50" s="2"/>
      <c r="C50" s="145"/>
      <c r="D50" s="145"/>
      <c r="E50" s="145"/>
      <c r="F50" s="145"/>
      <c r="G50" s="145"/>
      <c r="H50" s="145"/>
      <c r="I50" s="2"/>
      <c r="J50" s="83"/>
      <c r="K50" s="83"/>
      <c r="L50" s="85"/>
      <c r="M50" s="85"/>
      <c r="N50" s="85"/>
      <c r="O50" s="2"/>
      <c r="P50" s="92" t="n">
        <v>47</v>
      </c>
      <c r="Q50" s="93" t="n">
        <v>1012.170082302</v>
      </c>
      <c r="R50" s="93" t="n">
        <v>0.382867857076869</v>
      </c>
      <c r="S50" s="93" t="n">
        <v>0.04797379034191</v>
      </c>
      <c r="T50" s="94" t="n">
        <v>0.0188309653487284</v>
      </c>
      <c r="U50" s="29"/>
      <c r="V50" s="29"/>
      <c r="W50" s="29"/>
      <c r="X50" s="29"/>
      <c r="Y50" s="29"/>
      <c r="Z50" s="75"/>
    </row>
    <row r="51" customFormat="false" ht="12.75" hidden="false" customHeight="true" outlineLevel="0" collapsed="false">
      <c r="A51" s="2"/>
      <c r="B51" s="2"/>
      <c r="C51" s="145"/>
      <c r="D51" s="145"/>
      <c r="E51" s="145"/>
      <c r="F51" s="145"/>
      <c r="G51" s="145"/>
      <c r="H51" s="145"/>
      <c r="I51" s="2"/>
      <c r="J51" s="83"/>
      <c r="K51" s="83"/>
      <c r="L51" s="85"/>
      <c r="M51" s="85"/>
      <c r="N51" s="85"/>
      <c r="O51" s="2"/>
      <c r="P51" s="92" t="n">
        <v>48</v>
      </c>
      <c r="Q51" s="93" t="n">
        <v>1033.511264998</v>
      </c>
      <c r="R51" s="93" t="n">
        <v>0.379898517747714</v>
      </c>
      <c r="S51" s="93" t="n">
        <v>0.0497027803871353</v>
      </c>
      <c r="T51" s="94" t="n">
        <v>0.0199820758194465</v>
      </c>
      <c r="U51" s="29"/>
      <c r="V51" s="29"/>
      <c r="W51" s="29"/>
      <c r="X51" s="29"/>
      <c r="Y51" s="29"/>
      <c r="Z51" s="75"/>
    </row>
    <row r="52" customFormat="false" ht="12.75" hidden="false" customHeight="true" outlineLevel="0" collapsed="false">
      <c r="A52" s="2"/>
      <c r="B52" s="2"/>
      <c r="C52" s="145"/>
      <c r="D52" s="145"/>
      <c r="E52" s="145"/>
      <c r="F52" s="145"/>
      <c r="G52" s="145"/>
      <c r="H52" s="145"/>
      <c r="I52" s="2"/>
      <c r="J52" s="83"/>
      <c r="K52" s="83"/>
      <c r="L52" s="85"/>
      <c r="M52" s="85"/>
      <c r="N52" s="85"/>
      <c r="O52" s="2"/>
      <c r="P52" s="92" t="n">
        <v>49</v>
      </c>
      <c r="Q52" s="93" t="n">
        <v>1055.83607931</v>
      </c>
      <c r="R52" s="93" t="n">
        <v>0.373138118728052</v>
      </c>
      <c r="S52" s="93" t="n">
        <v>0.0612865126113698</v>
      </c>
      <c r="T52" s="94" t="n">
        <v>0.0219007186900745</v>
      </c>
      <c r="U52" s="29"/>
      <c r="V52" s="29"/>
      <c r="W52" s="29"/>
      <c r="X52" s="29"/>
      <c r="Y52" s="29"/>
      <c r="Z52" s="75"/>
    </row>
    <row r="53" customFormat="false" ht="12.75" hidden="false" customHeight="true" outlineLevel="0" collapsed="false">
      <c r="A53" s="2"/>
      <c r="B53" s="2"/>
      <c r="C53" s="145"/>
      <c r="D53" s="145"/>
      <c r="E53" s="145"/>
      <c r="F53" s="145"/>
      <c r="G53" s="145"/>
      <c r="H53" s="145"/>
      <c r="I53" s="2"/>
      <c r="J53" s="83"/>
      <c r="K53" s="83"/>
      <c r="L53" s="85"/>
      <c r="M53" s="85"/>
      <c r="N53" s="85"/>
      <c r="O53" s="2"/>
      <c r="P53" s="92" t="n">
        <v>50</v>
      </c>
      <c r="Q53" s="93" t="n">
        <v>1077.198434447</v>
      </c>
      <c r="R53" s="93" t="n">
        <v>0.369655488697689</v>
      </c>
      <c r="S53" s="93" t="n">
        <v>0.0631968288419241</v>
      </c>
      <c r="T53" s="94" t="n">
        <v>0.0230958560040995</v>
      </c>
      <c r="U53" s="29"/>
      <c r="V53" s="29"/>
      <c r="W53" s="29"/>
      <c r="X53" s="29"/>
      <c r="Y53" s="29"/>
      <c r="Z53" s="75"/>
    </row>
    <row r="54" customFormat="false" ht="12.75" hidden="false" customHeight="true" outlineLevel="0" collapsed="false">
      <c r="A54" s="2"/>
      <c r="B54" s="2"/>
      <c r="C54" s="145"/>
      <c r="D54" s="145"/>
      <c r="E54" s="145"/>
      <c r="F54" s="145"/>
      <c r="G54" s="145"/>
      <c r="H54" s="145"/>
      <c r="I54" s="2"/>
      <c r="J54" s="83"/>
      <c r="K54" s="83"/>
      <c r="L54" s="85"/>
      <c r="M54" s="85"/>
      <c r="N54" s="85"/>
      <c r="O54" s="2"/>
      <c r="P54" s="92" t="n">
        <v>51</v>
      </c>
      <c r="Q54" s="93" t="n">
        <v>1099.317630411</v>
      </c>
      <c r="R54" s="93" t="n">
        <v>0.365846883416781</v>
      </c>
      <c r="S54" s="93" t="n">
        <v>0.0648615791251547</v>
      </c>
      <c r="T54" s="94" t="n">
        <v>0.0243069190547426</v>
      </c>
      <c r="U54" s="29"/>
      <c r="V54" s="29"/>
      <c r="W54" s="29"/>
      <c r="X54" s="29"/>
      <c r="Y54" s="29"/>
      <c r="Z54" s="75"/>
    </row>
    <row r="55" customFormat="false" ht="12.75" hidden="false" customHeight="true" outlineLevel="0" collapsed="false">
      <c r="A55" s="2"/>
      <c r="B55" s="2"/>
      <c r="C55" s="145"/>
      <c r="D55" s="145"/>
      <c r="E55" s="145"/>
      <c r="F55" s="145"/>
      <c r="G55" s="145"/>
      <c r="H55" s="145"/>
      <c r="I55" s="2"/>
      <c r="J55" s="83"/>
      <c r="K55" s="83"/>
      <c r="L55" s="85"/>
      <c r="M55" s="85"/>
      <c r="N55" s="85"/>
      <c r="O55" s="2"/>
      <c r="P55" s="92" t="n">
        <v>52</v>
      </c>
      <c r="Q55" s="93" t="n">
        <v>1120.813100719</v>
      </c>
      <c r="R55" s="93" t="n">
        <v>0.364829814007138</v>
      </c>
      <c r="S55" s="93" t="n">
        <v>0.0665506496789212</v>
      </c>
      <c r="T55" s="94" t="n">
        <v>0.0251612987085274</v>
      </c>
      <c r="U55" s="29"/>
      <c r="V55" s="29"/>
      <c r="W55" s="29"/>
      <c r="X55" s="29"/>
      <c r="Y55" s="29"/>
      <c r="Z55" s="75"/>
    </row>
    <row r="56" customFormat="false" ht="12.75" hidden="false" customHeight="true" outlineLevel="0" collapsed="false">
      <c r="A56" s="2"/>
      <c r="B56" s="2"/>
      <c r="C56" s="145"/>
      <c r="D56" s="145"/>
      <c r="E56" s="145"/>
      <c r="F56" s="145"/>
      <c r="G56" s="145"/>
      <c r="H56" s="145"/>
      <c r="I56" s="2"/>
      <c r="J56" s="83"/>
      <c r="K56" s="83"/>
      <c r="L56" s="85"/>
      <c r="M56" s="85"/>
      <c r="N56" s="85"/>
      <c r="O56" s="2"/>
      <c r="P56" s="92" t="n">
        <v>53</v>
      </c>
      <c r="Q56" s="93" t="n">
        <v>1143.053538882</v>
      </c>
      <c r="R56" s="93" t="n">
        <v>0.363706004476601</v>
      </c>
      <c r="S56" s="93" t="n">
        <v>0.0590277027996492</v>
      </c>
      <c r="T56" s="94" t="n">
        <v>0.0258632649447304</v>
      </c>
      <c r="U56" s="29"/>
      <c r="V56" s="29"/>
      <c r="W56" s="29"/>
      <c r="X56" s="29"/>
      <c r="Y56" s="29"/>
      <c r="Z56" s="75"/>
    </row>
    <row r="57" customFormat="false" ht="12.75" hidden="false" customHeight="true" outlineLevel="0" collapsed="false">
      <c r="A57" s="2"/>
      <c r="B57" s="2"/>
      <c r="C57" s="145"/>
      <c r="D57" s="145"/>
      <c r="E57" s="145"/>
      <c r="F57" s="145"/>
      <c r="G57" s="145"/>
      <c r="H57" s="145"/>
      <c r="I57" s="2"/>
      <c r="J57" s="83"/>
      <c r="K57" s="83"/>
      <c r="L57" s="85"/>
      <c r="M57" s="85"/>
      <c r="N57" s="85"/>
      <c r="O57" s="2"/>
      <c r="P57" s="92" t="n">
        <v>54</v>
      </c>
      <c r="Q57" s="93" t="n">
        <v>1164.675727993</v>
      </c>
      <c r="R57" s="93" t="n">
        <v>0.362079183832511</v>
      </c>
      <c r="S57" s="93" t="n">
        <v>0.0614158683282937</v>
      </c>
      <c r="T57" s="94" t="n">
        <v>0.0260375321611112</v>
      </c>
      <c r="U57" s="29"/>
      <c r="V57" s="29"/>
      <c r="W57" s="29"/>
      <c r="X57" s="29"/>
      <c r="Y57" s="29"/>
      <c r="Z57" s="75"/>
    </row>
    <row r="58" customFormat="false" ht="12.75" hidden="false" customHeight="true" outlineLevel="0" collapsed="false">
      <c r="A58" s="2"/>
      <c r="B58" s="2"/>
      <c r="C58" s="145"/>
      <c r="D58" s="145"/>
      <c r="E58" s="145"/>
      <c r="F58" s="145"/>
      <c r="G58" s="145"/>
      <c r="H58" s="145"/>
      <c r="I58" s="2"/>
      <c r="J58" s="83"/>
      <c r="K58" s="83"/>
      <c r="L58" s="85"/>
      <c r="M58" s="85"/>
      <c r="N58" s="85"/>
      <c r="O58" s="2"/>
      <c r="P58" s="92" t="n">
        <v>55</v>
      </c>
      <c r="Q58" s="93" t="n">
        <v>1186.826464098</v>
      </c>
      <c r="R58" s="93" t="n">
        <v>0.362415965283589</v>
      </c>
      <c r="S58" s="93" t="n">
        <v>0.0508549699210104</v>
      </c>
      <c r="T58" s="94" t="n">
        <v>0.0255568967107669</v>
      </c>
      <c r="U58" s="29"/>
      <c r="V58" s="29"/>
      <c r="W58" s="29"/>
      <c r="X58" s="29"/>
      <c r="Y58" s="29"/>
      <c r="Z58" s="75"/>
    </row>
    <row r="59" customFormat="false" ht="12.75" hidden="false" customHeight="true" outlineLevel="0" collapsed="false">
      <c r="A59" s="2"/>
      <c r="B59" s="2"/>
      <c r="C59" s="145"/>
      <c r="D59" s="145"/>
      <c r="E59" s="145"/>
      <c r="F59" s="145"/>
      <c r="G59" s="145"/>
      <c r="H59" s="145"/>
      <c r="I59" s="2"/>
      <c r="J59" s="83"/>
      <c r="K59" s="83"/>
      <c r="L59" s="85"/>
      <c r="M59" s="85"/>
      <c r="N59" s="85"/>
      <c r="O59" s="2"/>
      <c r="P59" s="92" t="n">
        <v>56</v>
      </c>
      <c r="Q59" s="93" t="n">
        <v>1208.463271626</v>
      </c>
      <c r="R59" s="93" t="n">
        <v>0.362383602840759</v>
      </c>
      <c r="S59" s="93" t="n">
        <v>0.0521616778970115</v>
      </c>
      <c r="T59" s="94" t="n">
        <v>0.0255780489688849</v>
      </c>
      <c r="U59" s="29"/>
      <c r="V59" s="29"/>
      <c r="W59" s="29"/>
      <c r="X59" s="29"/>
      <c r="Y59" s="29"/>
      <c r="Z59" s="75"/>
    </row>
    <row r="60" customFormat="false" ht="12.75" hidden="false" customHeight="true" outlineLevel="0" collapsed="false">
      <c r="A60" s="2"/>
      <c r="B60" s="2"/>
      <c r="C60" s="145"/>
      <c r="D60" s="145"/>
      <c r="E60" s="145"/>
      <c r="F60" s="145"/>
      <c r="G60" s="145"/>
      <c r="H60" s="145"/>
      <c r="I60" s="2"/>
      <c r="J60" s="83"/>
      <c r="K60" s="83"/>
      <c r="L60" s="85"/>
      <c r="M60" s="85"/>
      <c r="N60" s="85"/>
      <c r="O60" s="2"/>
      <c r="P60" s="92" t="n">
        <v>57</v>
      </c>
      <c r="Q60" s="93" t="n">
        <v>1230.582394413</v>
      </c>
      <c r="R60" s="93" t="n">
        <v>0.363846518116829</v>
      </c>
      <c r="S60" s="93" t="n">
        <v>0.0439968992094225</v>
      </c>
      <c r="T60" s="94" t="n">
        <v>0.0250551654718068</v>
      </c>
      <c r="U60" s="29"/>
      <c r="V60" s="29"/>
      <c r="W60" s="29"/>
      <c r="X60" s="29"/>
      <c r="Y60" s="29"/>
      <c r="Z60" s="75"/>
    </row>
    <row r="61" customFormat="false" ht="12.75" hidden="false" customHeight="true" outlineLevel="0" collapsed="false">
      <c r="A61" s="2"/>
      <c r="B61" s="2"/>
      <c r="C61" s="145"/>
      <c r="D61" s="145"/>
      <c r="E61" s="145"/>
      <c r="F61" s="145"/>
      <c r="G61" s="145"/>
      <c r="H61" s="145"/>
      <c r="I61" s="2"/>
      <c r="J61" s="83"/>
      <c r="K61" s="83"/>
      <c r="L61" s="85"/>
      <c r="M61" s="85"/>
      <c r="N61" s="85"/>
      <c r="O61" s="2"/>
      <c r="P61" s="92" t="n">
        <v>58</v>
      </c>
      <c r="Q61" s="93" t="n">
        <v>1252.249653967</v>
      </c>
      <c r="R61" s="93" t="n">
        <v>0.365597021994471</v>
      </c>
      <c r="S61" s="93" t="n">
        <v>0.0449337577070616</v>
      </c>
      <c r="T61" s="94" t="n">
        <v>0.0251098369260908</v>
      </c>
      <c r="U61" s="29"/>
      <c r="V61" s="29"/>
      <c r="W61" s="29"/>
      <c r="X61" s="29"/>
      <c r="Y61" s="29"/>
      <c r="Z61" s="75"/>
    </row>
    <row r="62" customFormat="false" ht="12.75" hidden="false" customHeight="true" outlineLevel="0" collapsed="false">
      <c r="A62" s="2"/>
      <c r="B62" s="2"/>
      <c r="C62" s="145"/>
      <c r="D62" s="145"/>
      <c r="E62" s="145"/>
      <c r="F62" s="145"/>
      <c r="G62" s="145"/>
      <c r="H62" s="145"/>
      <c r="I62" s="2"/>
      <c r="J62" s="83"/>
      <c r="K62" s="83"/>
      <c r="L62" s="85"/>
      <c r="M62" s="85"/>
      <c r="N62" s="85"/>
      <c r="O62" s="2"/>
      <c r="P62" s="92" t="n">
        <v>59</v>
      </c>
      <c r="Q62" s="93" t="n">
        <v>1274.200647898</v>
      </c>
      <c r="R62" s="93" t="n">
        <v>0.369018404350154</v>
      </c>
      <c r="S62" s="93" t="n">
        <v>0.044893342304031</v>
      </c>
      <c r="T62" s="94" t="n">
        <v>0.0251375213252263</v>
      </c>
      <c r="U62" s="29"/>
      <c r="V62" s="29"/>
      <c r="W62" s="29"/>
      <c r="X62" s="29"/>
      <c r="Y62" s="29"/>
      <c r="Z62" s="75"/>
    </row>
    <row r="63" customFormat="false" ht="12.75" hidden="false" customHeight="true" outlineLevel="0" collapsed="false">
      <c r="A63" s="2"/>
      <c r="B63" s="2"/>
      <c r="C63" s="145"/>
      <c r="D63" s="145"/>
      <c r="E63" s="145"/>
      <c r="F63" s="145"/>
      <c r="G63" s="145"/>
      <c r="H63" s="145"/>
      <c r="I63" s="2"/>
      <c r="J63" s="83"/>
      <c r="K63" s="83"/>
      <c r="L63" s="85"/>
      <c r="M63" s="85"/>
      <c r="N63" s="85"/>
      <c r="O63" s="2"/>
      <c r="P63" s="92" t="n">
        <v>60</v>
      </c>
      <c r="Q63" s="93" t="n">
        <v>1296.762765096</v>
      </c>
      <c r="R63" s="93" t="n">
        <v>0.371926923923863</v>
      </c>
      <c r="S63" s="93" t="n">
        <v>0.0481272740936859</v>
      </c>
      <c r="T63" s="94" t="n">
        <v>0.0243226595020787</v>
      </c>
      <c r="U63" s="29"/>
      <c r="V63" s="29"/>
      <c r="W63" s="29"/>
      <c r="X63" s="29"/>
      <c r="Y63" s="29"/>
      <c r="Z63" s="75"/>
    </row>
    <row r="64" customFormat="false" ht="12.75" hidden="false" customHeight="true" outlineLevel="0" collapsed="false">
      <c r="A64" s="2"/>
      <c r="B64" s="2"/>
      <c r="C64" s="145"/>
      <c r="D64" s="145"/>
      <c r="E64" s="145"/>
      <c r="F64" s="145"/>
      <c r="G64" s="145"/>
      <c r="H64" s="145"/>
      <c r="I64" s="2"/>
      <c r="J64" s="83"/>
      <c r="K64" s="83"/>
      <c r="L64" s="85"/>
      <c r="M64" s="85"/>
      <c r="N64" s="85"/>
      <c r="O64" s="2"/>
      <c r="P64" s="92" t="n">
        <v>61</v>
      </c>
      <c r="Q64" s="93" t="n">
        <v>1318.615903722</v>
      </c>
      <c r="R64" s="93" t="n">
        <v>0.3727027989135</v>
      </c>
      <c r="S64" s="93" t="n">
        <v>0.0495533928153994</v>
      </c>
      <c r="T64" s="94" t="n">
        <v>0.0233684434406141</v>
      </c>
      <c r="U64" s="29"/>
      <c r="V64" s="29"/>
      <c r="W64" s="29"/>
      <c r="X64" s="29"/>
      <c r="Y64" s="29"/>
      <c r="Z64" s="75"/>
    </row>
    <row r="65" customFormat="false" ht="12.75" hidden="false" customHeight="true" outlineLevel="0" collapsed="false">
      <c r="A65" s="2"/>
      <c r="B65" s="2"/>
      <c r="C65" s="145"/>
      <c r="D65" s="145"/>
      <c r="E65" s="145"/>
      <c r="F65" s="145"/>
      <c r="G65" s="145"/>
      <c r="H65" s="145"/>
      <c r="I65" s="2"/>
      <c r="J65" s="83"/>
      <c r="K65" s="83"/>
      <c r="L65" s="85"/>
      <c r="M65" s="85"/>
      <c r="N65" s="85"/>
      <c r="O65" s="2"/>
      <c r="P65" s="92" t="n">
        <v>62</v>
      </c>
      <c r="Q65" s="93" t="n">
        <v>1341.058650733</v>
      </c>
      <c r="R65" s="93" t="n">
        <v>0.372802431248834</v>
      </c>
      <c r="S65" s="93" t="n">
        <v>0.0558833395158789</v>
      </c>
      <c r="T65" s="94" t="n">
        <v>0.0226566144445631</v>
      </c>
      <c r="U65" s="29"/>
      <c r="V65" s="29"/>
      <c r="W65" s="29"/>
      <c r="X65" s="29"/>
      <c r="Y65" s="29"/>
      <c r="Z65" s="75"/>
    </row>
    <row r="66" customFormat="false" ht="12.75" hidden="false" customHeight="true" outlineLevel="0" collapsed="false">
      <c r="A66" s="2"/>
      <c r="B66" s="2"/>
      <c r="C66" s="145"/>
      <c r="D66" s="145"/>
      <c r="E66" s="145"/>
      <c r="F66" s="145"/>
      <c r="G66" s="145"/>
      <c r="H66" s="145"/>
      <c r="I66" s="2"/>
      <c r="J66" s="83"/>
      <c r="K66" s="83"/>
      <c r="L66" s="85"/>
      <c r="M66" s="85"/>
      <c r="N66" s="85"/>
      <c r="O66" s="2"/>
      <c r="P66" s="92" t="n">
        <v>63</v>
      </c>
      <c r="Q66" s="93" t="n">
        <v>1363.224911349</v>
      </c>
      <c r="R66" s="93" t="n">
        <v>0.371901418777004</v>
      </c>
      <c r="S66" s="93" t="n">
        <v>0.0600569582345515</v>
      </c>
      <c r="T66" s="94" t="n">
        <v>0.0222702150193614</v>
      </c>
      <c r="U66" s="29"/>
      <c r="V66" s="29"/>
      <c r="W66" s="29"/>
      <c r="X66" s="29"/>
      <c r="Y66" s="29"/>
      <c r="Z66" s="75"/>
    </row>
    <row r="67" customFormat="false" ht="12.75" hidden="false" customHeight="true" outlineLevel="0" collapsed="false">
      <c r="A67" s="2"/>
      <c r="B67" s="2"/>
      <c r="C67" s="145"/>
      <c r="D67" s="145"/>
      <c r="E67" s="145"/>
      <c r="F67" s="145"/>
      <c r="G67" s="145"/>
      <c r="H67" s="145"/>
      <c r="I67" s="2"/>
      <c r="J67" s="83"/>
      <c r="K67" s="83"/>
      <c r="L67" s="85"/>
      <c r="M67" s="85"/>
      <c r="N67" s="85"/>
      <c r="O67" s="2"/>
      <c r="P67" s="92" t="n">
        <v>64</v>
      </c>
      <c r="Q67" s="93" t="n">
        <v>1385.300336193</v>
      </c>
      <c r="R67" s="93" t="n">
        <v>0.36993695298477</v>
      </c>
      <c r="S67" s="93" t="n">
        <v>0.0653092629237665</v>
      </c>
      <c r="T67" s="94" t="n">
        <v>0.0215980636847969</v>
      </c>
      <c r="U67" s="29"/>
      <c r="V67" s="29"/>
      <c r="W67" s="29"/>
      <c r="X67" s="29"/>
      <c r="Y67" s="29"/>
      <c r="Z67" s="75"/>
    </row>
    <row r="68" customFormat="false" ht="12.75" hidden="false" customHeight="tru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83"/>
      <c r="K68" s="83"/>
      <c r="L68" s="85"/>
      <c r="M68" s="85"/>
      <c r="N68" s="85"/>
      <c r="O68" s="2"/>
      <c r="P68" s="92" t="n">
        <v>65</v>
      </c>
      <c r="Q68" s="93" t="n">
        <v>1407.678180594</v>
      </c>
      <c r="R68" s="93" t="n">
        <v>0.367475008988146</v>
      </c>
      <c r="S68" s="93" t="n">
        <v>0.0743659957913445</v>
      </c>
      <c r="T68" s="94" t="n">
        <v>0.0209303519857237</v>
      </c>
      <c r="U68" s="29"/>
      <c r="V68" s="29"/>
      <c r="W68" s="29"/>
      <c r="X68" s="29"/>
      <c r="Y68" s="29"/>
      <c r="Z68" s="75"/>
    </row>
    <row r="69" customFormat="false" ht="12.75" hidden="false" customHeight="true" outlineLevel="0" collapsed="false">
      <c r="A69" s="2"/>
      <c r="B69" s="2"/>
      <c r="C69" s="75"/>
      <c r="D69" s="75"/>
      <c r="E69" s="75"/>
      <c r="F69" s="75"/>
      <c r="G69" s="75"/>
      <c r="H69" s="75"/>
      <c r="I69" s="2"/>
      <c r="J69" s="83"/>
      <c r="K69" s="83"/>
      <c r="L69" s="85"/>
      <c r="M69" s="85"/>
      <c r="N69" s="85"/>
      <c r="O69" s="2"/>
      <c r="P69" s="92" t="n">
        <v>66</v>
      </c>
      <c r="Q69" s="93" t="n">
        <v>1429.684977355</v>
      </c>
      <c r="R69" s="93" t="n">
        <v>0.363980213744471</v>
      </c>
      <c r="S69" s="93" t="n">
        <v>0.0764838011661559</v>
      </c>
      <c r="T69" s="94" t="n">
        <v>0.0209586367015664</v>
      </c>
      <c r="U69" s="29"/>
      <c r="V69" s="29"/>
      <c r="W69" s="29"/>
      <c r="X69" s="29"/>
      <c r="Y69" s="29"/>
      <c r="Z69" s="75"/>
    </row>
    <row r="70" customFormat="false" ht="12.75" hidden="false" customHeight="true" outlineLevel="0" collapsed="false">
      <c r="A70" s="2"/>
      <c r="B70" s="2"/>
      <c r="C70" s="75"/>
      <c r="D70" s="75"/>
      <c r="E70" s="75"/>
      <c r="F70" s="75"/>
      <c r="G70" s="75"/>
      <c r="H70" s="75"/>
      <c r="I70" s="2"/>
      <c r="J70" s="83"/>
      <c r="K70" s="83"/>
      <c r="L70" s="85"/>
      <c r="M70" s="85"/>
      <c r="N70" s="85"/>
      <c r="O70" s="2"/>
      <c r="P70" s="92" t="n">
        <v>67</v>
      </c>
      <c r="Q70" s="93" t="n">
        <v>1451.569997597</v>
      </c>
      <c r="R70" s="93" t="n">
        <v>0.359587892453818</v>
      </c>
      <c r="S70" s="93" t="n">
        <v>0.0835100595675716</v>
      </c>
      <c r="T70" s="94" t="n">
        <v>0.0186693924069263</v>
      </c>
      <c r="U70" s="29"/>
      <c r="V70" s="29"/>
      <c r="W70" s="29"/>
      <c r="X70" s="29"/>
      <c r="Y70" s="29"/>
      <c r="Z70" s="75"/>
    </row>
    <row r="71" customFormat="false" ht="12.75" hidden="false" customHeight="true" outlineLevel="0" collapsed="false">
      <c r="A71" s="2"/>
      <c r="B71" s="2"/>
      <c r="C71" s="75"/>
      <c r="D71" s="75"/>
      <c r="E71" s="75"/>
      <c r="F71" s="75"/>
      <c r="G71" s="75"/>
      <c r="H71" s="75"/>
      <c r="I71" s="2"/>
      <c r="J71" s="83"/>
      <c r="K71" s="83"/>
      <c r="L71" s="85"/>
      <c r="M71" s="85"/>
      <c r="N71" s="85"/>
      <c r="O71" s="2"/>
      <c r="P71" s="92" t="n">
        <v>68</v>
      </c>
      <c r="Q71" s="93" t="n">
        <v>1473.976598651</v>
      </c>
      <c r="R71" s="93" t="n">
        <v>0.355084678038395</v>
      </c>
      <c r="S71" s="93" t="n">
        <v>0.0922878860954492</v>
      </c>
      <c r="T71" s="94" t="n">
        <v>0.0156719872125525</v>
      </c>
      <c r="U71" s="29"/>
      <c r="V71" s="29"/>
      <c r="W71" s="29"/>
      <c r="X71" s="29"/>
      <c r="Y71" s="29"/>
      <c r="Z71" s="75"/>
    </row>
    <row r="72" customFormat="false" ht="12.75" hidden="false" customHeight="true" outlineLevel="0" collapsed="false">
      <c r="A72" s="2"/>
      <c r="B72" s="2"/>
      <c r="C72" s="75"/>
      <c r="D72" s="75"/>
      <c r="E72" s="75"/>
      <c r="F72" s="75"/>
      <c r="G72" s="75"/>
      <c r="H72" s="75"/>
      <c r="I72" s="2"/>
      <c r="J72" s="83"/>
      <c r="K72" s="83"/>
      <c r="L72" s="85"/>
      <c r="M72" s="85"/>
      <c r="N72" s="85"/>
      <c r="O72" s="2"/>
      <c r="P72" s="92" t="n">
        <v>69</v>
      </c>
      <c r="Q72" s="93" t="n">
        <v>1495.842491</v>
      </c>
      <c r="R72" s="93" t="n">
        <v>0.350645455126811</v>
      </c>
      <c r="S72" s="93" t="n">
        <v>0.0928996954269226</v>
      </c>
      <c r="T72" s="94" t="n">
        <v>0.0142116021879876</v>
      </c>
      <c r="U72" s="29"/>
      <c r="V72" s="29"/>
      <c r="W72" s="29"/>
      <c r="X72" s="29"/>
      <c r="Y72" s="29"/>
      <c r="Z72" s="75"/>
    </row>
    <row r="73" customFormat="false" ht="12.75" hidden="false" customHeight="true" outlineLevel="0" collapsed="false">
      <c r="A73" s="2"/>
      <c r="B73" s="2"/>
      <c r="C73" s="75"/>
      <c r="D73" s="75"/>
      <c r="E73" s="75"/>
      <c r="F73" s="75"/>
      <c r="G73" s="75"/>
      <c r="H73" s="75"/>
      <c r="I73" s="2"/>
      <c r="J73" s="83"/>
      <c r="K73" s="83"/>
      <c r="L73" s="85"/>
      <c r="M73" s="85"/>
      <c r="N73" s="85"/>
      <c r="O73" s="2"/>
      <c r="P73" s="92" t="n">
        <v>70</v>
      </c>
      <c r="Q73" s="93" t="n">
        <v>1518.4529493</v>
      </c>
      <c r="R73" s="93" t="n">
        <v>0.34702015416225</v>
      </c>
      <c r="S73" s="93" t="n">
        <v>0.103463434769176</v>
      </c>
      <c r="T73" s="94" t="n">
        <v>0.0121305792235296</v>
      </c>
      <c r="U73" s="29"/>
      <c r="V73" s="29"/>
      <c r="W73" s="29"/>
      <c r="X73" s="29"/>
      <c r="Y73" s="29"/>
      <c r="Z73" s="75"/>
    </row>
    <row r="74" customFormat="false" ht="12.75" hidden="false" customHeight="true" outlineLevel="0" collapsed="false">
      <c r="A74" s="2"/>
      <c r="B74" s="2"/>
      <c r="C74" s="75"/>
      <c r="D74" s="75"/>
      <c r="E74" s="75"/>
      <c r="F74" s="75"/>
      <c r="G74" s="75"/>
      <c r="H74" s="75"/>
      <c r="I74" s="2"/>
      <c r="J74" s="83"/>
      <c r="K74" s="83"/>
      <c r="L74" s="85"/>
      <c r="M74" s="85"/>
      <c r="N74" s="85"/>
      <c r="O74" s="2"/>
      <c r="P74" s="92" t="n">
        <v>71</v>
      </c>
      <c r="Q74" s="93" t="n">
        <v>1540.506599445</v>
      </c>
      <c r="R74" s="93" t="n">
        <v>0.343723163717782</v>
      </c>
      <c r="S74" s="93" t="n">
        <v>0.105366307065691</v>
      </c>
      <c r="T74" s="94" t="n">
        <v>0.0108335698852837</v>
      </c>
      <c r="U74" s="29"/>
      <c r="V74" s="29"/>
      <c r="W74" s="29"/>
      <c r="X74" s="29"/>
      <c r="Y74" s="29"/>
      <c r="Z74" s="75"/>
    </row>
    <row r="75" customFormat="false" ht="12.75" hidden="false" customHeight="true" outlineLevel="0" collapsed="false">
      <c r="A75" s="2"/>
      <c r="B75" s="2"/>
      <c r="C75" s="75"/>
      <c r="D75" s="75"/>
      <c r="E75" s="75"/>
      <c r="F75" s="75"/>
      <c r="G75" s="75"/>
      <c r="H75" s="75"/>
      <c r="I75" s="2"/>
      <c r="J75" s="83"/>
      <c r="K75" s="83"/>
      <c r="L75" s="85"/>
      <c r="M75" s="85"/>
      <c r="N75" s="85"/>
      <c r="O75" s="2"/>
      <c r="P75" s="92" t="n">
        <v>72</v>
      </c>
      <c r="Q75" s="93" t="n">
        <v>1562.885967406</v>
      </c>
      <c r="R75" s="93" t="n">
        <v>0.341220327596043</v>
      </c>
      <c r="S75" s="93" t="n">
        <v>0.115377027820131</v>
      </c>
      <c r="T75" s="94" t="n">
        <v>0.0086913526362107</v>
      </c>
      <c r="U75" s="29"/>
      <c r="V75" s="29"/>
      <c r="W75" s="29"/>
      <c r="X75" s="29"/>
      <c r="Y75" s="29"/>
      <c r="Z75" s="75"/>
    </row>
    <row r="76" customFormat="false" ht="12.75" hidden="false" customHeight="true" outlineLevel="0" collapsed="false">
      <c r="A76" s="2"/>
      <c r="B76" s="2"/>
      <c r="C76" s="75"/>
      <c r="D76" s="75"/>
      <c r="E76" s="75"/>
      <c r="F76" s="75"/>
      <c r="G76" s="75"/>
      <c r="H76" s="75"/>
      <c r="I76" s="2"/>
      <c r="J76" s="83"/>
      <c r="K76" s="83"/>
      <c r="L76" s="85"/>
      <c r="M76" s="85"/>
      <c r="N76" s="85"/>
      <c r="O76" s="2"/>
      <c r="P76" s="92" t="n">
        <v>73</v>
      </c>
      <c r="Q76" s="93" t="n">
        <v>1584.498525956</v>
      </c>
      <c r="R76" s="93" t="n">
        <v>0.339329863391948</v>
      </c>
      <c r="S76" s="93" t="n">
        <v>0.115764820945579</v>
      </c>
      <c r="T76" s="94" t="n">
        <v>0.00754631920694791</v>
      </c>
      <c r="U76" s="29"/>
      <c r="V76" s="29"/>
      <c r="W76" s="29"/>
      <c r="X76" s="29"/>
      <c r="Y76" s="29"/>
      <c r="Z76" s="75"/>
    </row>
    <row r="77" customFormat="false" ht="12.75" hidden="false" customHeight="true" outlineLevel="0" collapsed="false">
      <c r="A77" s="2"/>
      <c r="B77" s="2"/>
      <c r="C77" s="75"/>
      <c r="D77" s="75"/>
      <c r="E77" s="75"/>
      <c r="F77" s="75"/>
      <c r="G77" s="75"/>
      <c r="H77" s="75"/>
      <c r="I77" s="2"/>
      <c r="J77" s="83"/>
      <c r="K77" s="83"/>
      <c r="L77" s="85"/>
      <c r="M77" s="85"/>
      <c r="N77" s="85"/>
      <c r="O77" s="2"/>
      <c r="P77" s="92" t="n">
        <v>74</v>
      </c>
      <c r="Q77" s="93" t="n">
        <v>1606.853706535</v>
      </c>
      <c r="R77" s="93" t="n">
        <v>0.336750165889267</v>
      </c>
      <c r="S77" s="93" t="n">
        <v>0.117018960864104</v>
      </c>
      <c r="T77" s="94" t="n">
        <v>0.0050919853865548</v>
      </c>
      <c r="U77" s="29"/>
      <c r="V77" s="29"/>
      <c r="W77" s="29"/>
      <c r="X77" s="29"/>
      <c r="Y77" s="29"/>
      <c r="Z77" s="75"/>
    </row>
    <row r="78" customFormat="false" ht="12.75" hidden="false" customHeight="true" outlineLevel="0" collapsed="false">
      <c r="A78" s="2"/>
      <c r="B78" s="2"/>
      <c r="C78" s="75"/>
      <c r="D78" s="75"/>
      <c r="E78" s="75"/>
      <c r="F78" s="75"/>
      <c r="G78" s="75"/>
      <c r="H78" s="75"/>
      <c r="I78" s="2"/>
      <c r="J78" s="83"/>
      <c r="K78" s="83"/>
      <c r="L78" s="85"/>
      <c r="M78" s="85"/>
      <c r="N78" s="85"/>
      <c r="O78" s="2"/>
      <c r="P78" s="92" t="n">
        <v>75</v>
      </c>
      <c r="Q78" s="93" t="n">
        <v>1629.013502389</v>
      </c>
      <c r="R78" s="93" t="n">
        <v>0.334010947853876</v>
      </c>
      <c r="S78" s="93" t="n">
        <v>0.114762865133772</v>
      </c>
      <c r="T78" s="94" t="n">
        <v>0.00336501924953337</v>
      </c>
      <c r="U78" s="29"/>
      <c r="V78" s="29"/>
      <c r="W78" s="29"/>
      <c r="X78" s="29"/>
      <c r="Y78" s="29"/>
      <c r="Z78" s="75"/>
    </row>
    <row r="79" customFormat="false" ht="12.75" hidden="false" customHeight="true" outlineLevel="0" collapsed="false">
      <c r="A79" s="2"/>
      <c r="B79" s="2"/>
      <c r="C79" s="75"/>
      <c r="D79" s="75"/>
      <c r="E79" s="75"/>
      <c r="F79" s="75"/>
      <c r="G79" s="75"/>
      <c r="H79" s="75"/>
      <c r="I79" s="2"/>
      <c r="J79" s="83"/>
      <c r="K79" s="83"/>
      <c r="L79" s="85"/>
      <c r="M79" s="85"/>
      <c r="N79" s="85"/>
      <c r="O79" s="2"/>
      <c r="P79" s="92" t="n">
        <v>76</v>
      </c>
      <c r="Q79" s="93" t="n">
        <v>1651.191016243</v>
      </c>
      <c r="R79" s="93" t="n">
        <v>0.331474440020908</v>
      </c>
      <c r="S79" s="93" t="n">
        <v>0.110298601874921</v>
      </c>
      <c r="T79" s="94" t="n">
        <v>0.00142088658506937</v>
      </c>
      <c r="U79" s="29"/>
      <c r="V79" s="29"/>
      <c r="W79" s="29"/>
      <c r="X79" s="29"/>
      <c r="Y79" s="29"/>
      <c r="Z79" s="75"/>
    </row>
    <row r="80" customFormat="false" ht="12.75" hidden="false" customHeight="true" outlineLevel="0" collapsed="false">
      <c r="A80" s="2"/>
      <c r="B80" s="2"/>
      <c r="C80" s="75"/>
      <c r="D80" s="75"/>
      <c r="E80" s="75"/>
      <c r="F80" s="75"/>
      <c r="G80" s="75"/>
      <c r="H80" s="75"/>
      <c r="I80" s="2"/>
      <c r="J80" s="83"/>
      <c r="K80" s="83"/>
      <c r="L80" s="85"/>
      <c r="M80" s="85"/>
      <c r="N80" s="85"/>
      <c r="O80" s="2"/>
      <c r="P80" s="92" t="n">
        <v>77</v>
      </c>
      <c r="Q80" s="93" t="n">
        <v>1673.556386408</v>
      </c>
      <c r="R80" s="93" t="n">
        <v>0.329213288355134</v>
      </c>
      <c r="S80" s="93" t="n">
        <v>0.103039807123902</v>
      </c>
      <c r="T80" s="94" t="n">
        <v>-0.000573168754973217</v>
      </c>
      <c r="U80" s="29"/>
      <c r="V80" s="29"/>
      <c r="W80" s="29"/>
      <c r="X80" s="29"/>
      <c r="Y80" s="29"/>
      <c r="Z80" s="75"/>
    </row>
    <row r="81" customFormat="false" ht="12.75" hidden="false" customHeight="true" outlineLevel="0" collapsed="false">
      <c r="A81" s="2"/>
      <c r="B81" s="2"/>
      <c r="C81" s="75"/>
      <c r="D81" s="75"/>
      <c r="E81" s="75"/>
      <c r="F81" s="75"/>
      <c r="G81" s="75"/>
      <c r="H81" s="75"/>
      <c r="I81" s="2"/>
      <c r="J81" s="83"/>
      <c r="K81" s="83"/>
      <c r="L81" s="85"/>
      <c r="M81" s="85"/>
      <c r="N81" s="85"/>
      <c r="O81" s="2"/>
      <c r="P81" s="92" t="n">
        <v>78</v>
      </c>
      <c r="Q81" s="93" t="n">
        <v>1695.806568815</v>
      </c>
      <c r="R81" s="93" t="n">
        <v>0.327649187073196</v>
      </c>
      <c r="S81" s="93" t="n">
        <v>0.0956548493560951</v>
      </c>
      <c r="T81" s="94" t="n">
        <v>-0.002952086107208</v>
      </c>
      <c r="U81" s="29"/>
      <c r="V81" s="29"/>
      <c r="W81" s="29"/>
      <c r="X81" s="29"/>
      <c r="Y81" s="29"/>
      <c r="Z81" s="75"/>
    </row>
    <row r="82" customFormat="false" ht="12.75" hidden="false" customHeight="true" outlineLevel="0" collapsed="false">
      <c r="A82" s="2"/>
      <c r="B82" s="2"/>
      <c r="C82" s="75"/>
      <c r="D82" s="75"/>
      <c r="E82" s="75"/>
      <c r="F82" s="75"/>
      <c r="G82" s="75"/>
      <c r="H82" s="75"/>
      <c r="I82" s="2"/>
      <c r="J82" s="83"/>
      <c r="K82" s="83"/>
      <c r="L82" s="85"/>
      <c r="M82" s="85"/>
      <c r="N82" s="85"/>
      <c r="O82" s="2"/>
      <c r="P82" s="92" t="n">
        <v>79</v>
      </c>
      <c r="Q82" s="93" t="n">
        <v>1718.186994404</v>
      </c>
      <c r="R82" s="93" t="n">
        <v>0.326728642793936</v>
      </c>
      <c r="S82" s="93" t="n">
        <v>0.0861778121977775</v>
      </c>
      <c r="T82" s="94" t="n">
        <v>-0.00490436101357187</v>
      </c>
      <c r="U82" s="29"/>
      <c r="V82" s="29"/>
      <c r="W82" s="29"/>
      <c r="X82" s="29"/>
      <c r="Y82" s="29"/>
      <c r="Z82" s="75"/>
    </row>
    <row r="83" customFormat="false" ht="12.75" hidden="false" customHeight="true" outlineLevel="0" collapsed="false">
      <c r="A83" s="2"/>
      <c r="B83" s="2"/>
      <c r="C83" s="75"/>
      <c r="D83" s="75"/>
      <c r="E83" s="75"/>
      <c r="F83" s="75"/>
      <c r="G83" s="75"/>
      <c r="H83" s="75"/>
      <c r="I83" s="2"/>
      <c r="J83" s="83"/>
      <c r="K83" s="83"/>
      <c r="L83" s="85"/>
      <c r="M83" s="85"/>
      <c r="N83" s="85"/>
      <c r="O83" s="2"/>
      <c r="P83" s="92" t="n">
        <v>80</v>
      </c>
      <c r="Q83" s="93" t="n">
        <v>1740.40745796</v>
      </c>
      <c r="R83" s="93" t="n">
        <v>0.326781404936704</v>
      </c>
      <c r="S83" s="93" t="n">
        <v>0.0770039154275554</v>
      </c>
      <c r="T83" s="94" t="n">
        <v>-0.00595038947754041</v>
      </c>
      <c r="U83" s="29"/>
      <c r="V83" s="29"/>
      <c r="W83" s="29"/>
      <c r="X83" s="29"/>
      <c r="Y83" s="29"/>
      <c r="Z83" s="75"/>
    </row>
    <row r="84" customFormat="false" ht="12.75" hidden="false" customHeight="true" outlineLevel="0" collapsed="false">
      <c r="A84" s="2"/>
      <c r="B84" s="2"/>
      <c r="C84" s="75"/>
      <c r="D84" s="75"/>
      <c r="E84" s="75"/>
      <c r="F84" s="75"/>
      <c r="G84" s="75"/>
      <c r="H84" s="75"/>
      <c r="I84" s="2"/>
      <c r="J84" s="83"/>
      <c r="K84" s="83"/>
      <c r="L84" s="85"/>
      <c r="M84" s="85"/>
      <c r="N84" s="85"/>
      <c r="O84" s="2"/>
      <c r="P84" s="92" t="n">
        <v>81</v>
      </c>
      <c r="Q84" s="93" t="n">
        <v>1762.87001974</v>
      </c>
      <c r="R84" s="93" t="n">
        <v>0.327046668034484</v>
      </c>
      <c r="S84" s="93" t="n">
        <v>0.0700848685660243</v>
      </c>
      <c r="T84" s="94" t="n">
        <v>-0.00567229851931705</v>
      </c>
      <c r="U84" s="29"/>
      <c r="V84" s="29"/>
      <c r="W84" s="29"/>
      <c r="X84" s="29"/>
      <c r="Y84" s="29"/>
      <c r="Z84" s="75"/>
    </row>
    <row r="85" customFormat="false" ht="12.75" hidden="false" customHeight="true" outlineLevel="0" collapsed="false">
      <c r="A85" s="2"/>
      <c r="B85" s="2"/>
      <c r="C85" s="75"/>
      <c r="D85" s="75"/>
      <c r="E85" s="75"/>
      <c r="F85" s="75"/>
      <c r="G85" s="75"/>
      <c r="H85" s="75"/>
      <c r="I85" s="2"/>
      <c r="J85" s="83"/>
      <c r="K85" s="83"/>
      <c r="L85" s="85"/>
      <c r="M85" s="85"/>
      <c r="N85" s="85"/>
      <c r="O85" s="2"/>
      <c r="P85" s="92" t="n">
        <v>82</v>
      </c>
      <c r="Q85" s="93" t="n">
        <v>1784.990118147</v>
      </c>
      <c r="R85" s="93" t="n">
        <v>0.327038914116986</v>
      </c>
      <c r="S85" s="93" t="n">
        <v>0.0649458253849674</v>
      </c>
      <c r="T85" s="94" t="n">
        <v>-0.00406595908127663</v>
      </c>
      <c r="U85" s="29"/>
      <c r="V85" s="29"/>
      <c r="W85" s="29"/>
      <c r="X85" s="29"/>
      <c r="Y85" s="29"/>
      <c r="Z85" s="75"/>
    </row>
    <row r="86" customFormat="false" ht="12.75" hidden="false" customHeight="true" outlineLevel="0" collapsed="false">
      <c r="A86" s="2"/>
      <c r="B86" s="2"/>
      <c r="C86" s="75"/>
      <c r="D86" s="75"/>
      <c r="E86" s="75"/>
      <c r="F86" s="75"/>
      <c r="G86" s="75"/>
      <c r="H86" s="75"/>
      <c r="I86" s="2"/>
      <c r="J86" s="83"/>
      <c r="K86" s="83"/>
      <c r="L86" s="85"/>
      <c r="M86" s="85"/>
      <c r="N86" s="85"/>
      <c r="O86" s="2"/>
      <c r="P86" s="92" t="n">
        <v>83</v>
      </c>
      <c r="Q86" s="93" t="n">
        <v>1807.274951109</v>
      </c>
      <c r="R86" s="93" t="n">
        <v>0.326627377526782</v>
      </c>
      <c r="S86" s="93" t="n">
        <v>0.0639408474518798</v>
      </c>
      <c r="T86" s="94" t="n">
        <v>-0.00140563720581094</v>
      </c>
      <c r="U86" s="29"/>
      <c r="V86" s="29"/>
      <c r="W86" s="29"/>
      <c r="X86" s="29"/>
      <c r="Y86" s="29"/>
      <c r="Z86" s="75"/>
    </row>
    <row r="87" customFormat="false" ht="12.75" hidden="false" customHeight="true" outlineLevel="0" collapsed="false">
      <c r="A87" s="2"/>
      <c r="B87" s="2"/>
      <c r="C87" s="75"/>
      <c r="D87" s="75"/>
      <c r="E87" s="75"/>
      <c r="F87" s="75"/>
      <c r="G87" s="75"/>
      <c r="H87" s="75"/>
      <c r="I87" s="2"/>
      <c r="J87" s="83"/>
      <c r="K87" s="83"/>
      <c r="L87" s="85"/>
      <c r="M87" s="85"/>
      <c r="N87" s="85"/>
      <c r="O87" s="2"/>
      <c r="P87" s="92" t="n">
        <v>84</v>
      </c>
      <c r="Q87" s="93" t="n">
        <v>1829.295806711</v>
      </c>
      <c r="R87" s="93" t="n">
        <v>0.326104816829902</v>
      </c>
      <c r="S87" s="93" t="n">
        <v>0.0633235231282458</v>
      </c>
      <c r="T87" s="94" t="n">
        <v>0.00146715452478154</v>
      </c>
      <c r="U87" s="29"/>
      <c r="V87" s="29"/>
      <c r="W87" s="29"/>
      <c r="X87" s="29"/>
      <c r="Y87" s="29"/>
      <c r="Z87" s="75"/>
    </row>
    <row r="88" customFormat="false" ht="12.75" hidden="false" customHeight="true" outlineLevel="0" collapsed="false">
      <c r="A88" s="2"/>
      <c r="B88" s="2"/>
      <c r="C88" s="75"/>
      <c r="D88" s="75"/>
      <c r="E88" s="75"/>
      <c r="F88" s="75"/>
      <c r="G88" s="75"/>
      <c r="H88" s="75"/>
      <c r="I88" s="2"/>
      <c r="J88" s="83"/>
      <c r="K88" s="83"/>
      <c r="L88" s="85"/>
      <c r="M88" s="85"/>
      <c r="N88" s="85"/>
      <c r="O88" s="2"/>
      <c r="P88" s="92" t="n">
        <v>85</v>
      </c>
      <c r="Q88" s="93" t="n">
        <v>1851.36936382</v>
      </c>
      <c r="R88" s="93" t="n">
        <v>0.325763774815855</v>
      </c>
      <c r="S88" s="93" t="n">
        <v>0.0644082687130454</v>
      </c>
      <c r="T88" s="94" t="n">
        <v>0.00471000269359448</v>
      </c>
      <c r="U88" s="29"/>
      <c r="V88" s="29"/>
      <c r="W88" s="29"/>
      <c r="X88" s="29"/>
      <c r="Y88" s="29"/>
      <c r="Z88" s="75"/>
    </row>
    <row r="89" customFormat="false" ht="12.75" hidden="false" customHeight="true" outlineLevel="0" collapsed="false">
      <c r="A89" s="2"/>
      <c r="B89" s="2"/>
      <c r="C89" s="75"/>
      <c r="D89" s="75"/>
      <c r="E89" s="75"/>
      <c r="F89" s="75"/>
      <c r="G89" s="75"/>
      <c r="H89" s="75"/>
      <c r="I89" s="2"/>
      <c r="J89" s="83"/>
      <c r="K89" s="83"/>
      <c r="L89" s="85"/>
      <c r="M89" s="85"/>
      <c r="N89" s="85"/>
      <c r="O89" s="2"/>
      <c r="P89" s="92" t="n">
        <v>86</v>
      </c>
      <c r="Q89" s="93" t="n">
        <v>1873.5487286</v>
      </c>
      <c r="R89" s="93" t="n">
        <v>0.324780084382681</v>
      </c>
      <c r="S89" s="93" t="n">
        <v>0.064472853241948</v>
      </c>
      <c r="T89" s="94" t="n">
        <v>0.00778108239604934</v>
      </c>
      <c r="U89" s="29"/>
      <c r="V89" s="29"/>
      <c r="W89" s="29"/>
      <c r="X89" s="29"/>
      <c r="Y89" s="29"/>
      <c r="Z89" s="75"/>
    </row>
    <row r="90" customFormat="false" ht="12.75" hidden="false" customHeight="true" outlineLevel="0" collapsed="false">
      <c r="A90" s="2"/>
      <c r="B90" s="2"/>
      <c r="C90" s="75"/>
      <c r="D90" s="75"/>
      <c r="E90" s="75"/>
      <c r="F90" s="75"/>
      <c r="G90" s="75"/>
      <c r="H90" s="75"/>
      <c r="I90" s="2"/>
      <c r="J90" s="83"/>
      <c r="K90" s="83"/>
      <c r="L90" s="85"/>
      <c r="M90" s="85"/>
      <c r="N90" s="85"/>
      <c r="O90" s="2"/>
      <c r="P90" s="92" t="n">
        <v>87</v>
      </c>
      <c r="Q90" s="93" t="n">
        <v>1895.78244702</v>
      </c>
      <c r="R90" s="93" t="n">
        <v>0.323755593226916</v>
      </c>
      <c r="S90" s="93" t="n">
        <v>0.0641276834664925</v>
      </c>
      <c r="T90" s="94" t="n">
        <v>0.0107826772479965</v>
      </c>
      <c r="U90" s="29"/>
      <c r="V90" s="29"/>
      <c r="W90" s="29"/>
      <c r="X90" s="29"/>
      <c r="Y90" s="29"/>
      <c r="Z90" s="75"/>
    </row>
    <row r="91" customFormat="false" ht="12.75" hidden="false" customHeight="true" outlineLevel="0" collapsed="false">
      <c r="A91" s="2"/>
      <c r="B91" s="2"/>
      <c r="C91" s="75"/>
      <c r="D91" s="75"/>
      <c r="E91" s="75"/>
      <c r="F91" s="75"/>
      <c r="G91" s="75"/>
      <c r="H91" s="75"/>
      <c r="I91" s="2"/>
      <c r="J91" s="83"/>
      <c r="K91" s="83"/>
      <c r="L91" s="85"/>
      <c r="M91" s="85"/>
      <c r="N91" s="85"/>
      <c r="O91" s="2"/>
      <c r="P91" s="92" t="n">
        <v>88</v>
      </c>
      <c r="Q91" s="93" t="n">
        <v>1917.346013729</v>
      </c>
      <c r="R91" s="93" t="n">
        <v>0.321762285910006</v>
      </c>
      <c r="S91" s="93" t="n">
        <v>0.0639616097759756</v>
      </c>
      <c r="T91" s="94" t="n">
        <v>0.0131274376878569</v>
      </c>
      <c r="U91" s="29"/>
      <c r="V91" s="29"/>
      <c r="W91" s="29"/>
      <c r="X91" s="29"/>
      <c r="Y91" s="29"/>
      <c r="Z91" s="75"/>
    </row>
    <row r="92" customFormat="false" ht="12.75" hidden="false" customHeight="true" outlineLevel="0" collapsed="false">
      <c r="A92" s="2"/>
      <c r="B92" s="2"/>
      <c r="C92" s="75"/>
      <c r="D92" s="75"/>
      <c r="E92" s="75"/>
      <c r="F92" s="75"/>
      <c r="G92" s="75"/>
      <c r="H92" s="75"/>
      <c r="I92" s="2"/>
      <c r="J92" s="83"/>
      <c r="K92" s="83"/>
      <c r="L92" s="85"/>
      <c r="M92" s="85"/>
      <c r="N92" s="85"/>
      <c r="O92" s="2"/>
      <c r="P92" s="92" t="n">
        <v>89</v>
      </c>
      <c r="Q92" s="93" t="n">
        <v>1939.07719162</v>
      </c>
      <c r="R92" s="93" t="n">
        <v>0.31998209705677</v>
      </c>
      <c r="S92" s="93" t="n">
        <v>0.0647820744856357</v>
      </c>
      <c r="T92" s="94" t="n">
        <v>0.0159507071600741</v>
      </c>
      <c r="U92" s="29"/>
      <c r="V92" s="29"/>
      <c r="W92" s="29"/>
      <c r="X92" s="29"/>
      <c r="Y92" s="29"/>
      <c r="Z92" s="75"/>
    </row>
    <row r="93" customFormat="false" ht="12.75" hidden="false" customHeight="true" outlineLevel="0" collapsed="false">
      <c r="A93" s="2"/>
      <c r="B93" s="2"/>
      <c r="C93" s="75"/>
      <c r="D93" s="75"/>
      <c r="E93" s="75"/>
      <c r="F93" s="75"/>
      <c r="G93" s="75"/>
      <c r="H93" s="75"/>
      <c r="I93" s="2"/>
      <c r="J93" s="83"/>
      <c r="K93" s="83"/>
      <c r="L93" s="85"/>
      <c r="M93" s="85"/>
      <c r="N93" s="85"/>
      <c r="O93" s="2"/>
      <c r="P93" s="92" t="n">
        <v>90</v>
      </c>
      <c r="Q93" s="93" t="n">
        <v>1960.67653885</v>
      </c>
      <c r="R93" s="93" t="n">
        <v>0.318359039892047</v>
      </c>
      <c r="S93" s="93" t="n">
        <v>0.0632624010897656</v>
      </c>
      <c r="T93" s="94" t="n">
        <v>0.0165936238362903</v>
      </c>
      <c r="U93" s="29"/>
      <c r="V93" s="29"/>
      <c r="W93" s="29"/>
      <c r="X93" s="29"/>
      <c r="Y93" s="29"/>
      <c r="Z93" s="75"/>
    </row>
    <row r="94" customFormat="false" ht="12.75" hidden="false" customHeight="true" outlineLevel="0" collapsed="false">
      <c r="A94" s="2"/>
      <c r="B94" s="2"/>
      <c r="C94" s="75"/>
      <c r="D94" s="75"/>
      <c r="E94" s="75"/>
      <c r="F94" s="75"/>
      <c r="G94" s="75"/>
      <c r="H94" s="75"/>
      <c r="I94" s="2"/>
      <c r="J94" s="83"/>
      <c r="K94" s="83"/>
      <c r="L94" s="85"/>
      <c r="M94" s="85"/>
      <c r="N94" s="85"/>
      <c r="O94" s="2"/>
      <c r="P94" s="92" t="n">
        <v>91</v>
      </c>
      <c r="Q94" s="93" t="n">
        <v>1982.845263378</v>
      </c>
      <c r="R94" s="93" t="n">
        <v>0.317175409741141</v>
      </c>
      <c r="S94" s="93" t="n">
        <v>0.0629670785605467</v>
      </c>
      <c r="T94" s="94" t="n">
        <v>0.0188351038593281</v>
      </c>
      <c r="U94" s="29"/>
      <c r="V94" s="29"/>
      <c r="W94" s="29"/>
      <c r="X94" s="29"/>
      <c r="Y94" s="29"/>
      <c r="Z94" s="75"/>
    </row>
    <row r="95" customFormat="false" ht="12.75" hidden="false" customHeight="true" outlineLevel="0" collapsed="false">
      <c r="A95" s="2"/>
      <c r="B95" s="2"/>
      <c r="C95" s="75"/>
      <c r="D95" s="75"/>
      <c r="E95" s="75"/>
      <c r="F95" s="75"/>
      <c r="G95" s="75"/>
      <c r="H95" s="75"/>
      <c r="I95" s="2"/>
      <c r="J95" s="83"/>
      <c r="K95" s="83"/>
      <c r="L95" s="85"/>
      <c r="M95" s="85"/>
      <c r="N95" s="85"/>
      <c r="O95" s="2"/>
      <c r="P95" s="92" t="n">
        <v>92</v>
      </c>
      <c r="Q95" s="93" t="n">
        <v>2004.862482132</v>
      </c>
      <c r="R95" s="93" t="n">
        <v>0.316120987756762</v>
      </c>
      <c r="S95" s="93" t="n">
        <v>0.0654425517306625</v>
      </c>
      <c r="T95" s="94" t="n">
        <v>0.0200761227211853</v>
      </c>
      <c r="U95" s="29"/>
      <c r="V95" s="29"/>
      <c r="W95" s="29"/>
      <c r="X95" s="29"/>
      <c r="Y95" s="29"/>
      <c r="Z95" s="75"/>
    </row>
    <row r="96" customFormat="false" ht="12.75" hidden="false" customHeight="true" outlineLevel="0" collapsed="false">
      <c r="A96" s="2"/>
      <c r="B96" s="2"/>
      <c r="C96" s="75"/>
      <c r="D96" s="75"/>
      <c r="E96" s="75"/>
      <c r="F96" s="75"/>
      <c r="G96" s="75"/>
      <c r="H96" s="75"/>
      <c r="I96" s="2"/>
      <c r="J96" s="83"/>
      <c r="K96" s="83"/>
      <c r="L96" s="85"/>
      <c r="M96" s="85"/>
      <c r="N96" s="85"/>
      <c r="O96" s="2"/>
      <c r="P96" s="92" t="n">
        <v>93</v>
      </c>
      <c r="Q96" s="93" t="n">
        <v>2027.072136777</v>
      </c>
      <c r="R96" s="93" t="n">
        <v>0.316307961705522</v>
      </c>
      <c r="S96" s="93" t="n">
        <v>0.0727729870771846</v>
      </c>
      <c r="T96" s="94" t="n">
        <v>0.0210484825396981</v>
      </c>
      <c r="U96" s="29"/>
      <c r="V96" s="29"/>
      <c r="W96" s="29"/>
      <c r="X96" s="29"/>
      <c r="Y96" s="29"/>
      <c r="Z96" s="75"/>
    </row>
    <row r="97" customFormat="false" ht="12.75" hidden="false" customHeight="true" outlineLevel="0" collapsed="false">
      <c r="A97" s="2"/>
      <c r="B97" s="2"/>
      <c r="C97" s="75"/>
      <c r="D97" s="75"/>
      <c r="E97" s="75"/>
      <c r="F97" s="75"/>
      <c r="G97" s="75"/>
      <c r="H97" s="75"/>
      <c r="I97" s="2"/>
      <c r="J97" s="83"/>
      <c r="K97" s="83"/>
      <c r="L97" s="85"/>
      <c r="M97" s="85"/>
      <c r="N97" s="85"/>
      <c r="O97" s="2"/>
      <c r="P97" s="92" t="n">
        <v>94</v>
      </c>
      <c r="Q97" s="93" t="n">
        <v>2048.656325129</v>
      </c>
      <c r="R97" s="93" t="n">
        <v>0.316541210291788</v>
      </c>
      <c r="S97" s="93" t="n">
        <v>0.0725966399454006</v>
      </c>
      <c r="T97" s="94" t="n">
        <v>0.0206050105644709</v>
      </c>
      <c r="U97" s="29"/>
      <c r="V97" s="29"/>
      <c r="W97" s="29"/>
      <c r="X97" s="29"/>
      <c r="Y97" s="29"/>
      <c r="Z97" s="75"/>
    </row>
    <row r="98" customFormat="false" ht="12.75" hidden="false" customHeight="true" outlineLevel="0" collapsed="false">
      <c r="A98" s="2"/>
      <c r="B98" s="2"/>
      <c r="C98" s="75"/>
      <c r="D98" s="75"/>
      <c r="E98" s="75"/>
      <c r="F98" s="75"/>
      <c r="G98" s="75"/>
      <c r="H98" s="75"/>
      <c r="I98" s="2"/>
      <c r="J98" s="83"/>
      <c r="K98" s="83"/>
      <c r="L98" s="85"/>
      <c r="M98" s="85"/>
      <c r="N98" s="85"/>
      <c r="O98" s="2"/>
      <c r="P98" s="92" t="n">
        <v>95</v>
      </c>
      <c r="Q98" s="93" t="n">
        <v>2071.044763856</v>
      </c>
      <c r="R98" s="93" t="n">
        <v>0.31711485128192</v>
      </c>
      <c r="S98" s="93" t="n">
        <v>0.0846408952797611</v>
      </c>
      <c r="T98" s="94" t="n">
        <v>0.0189248866589701</v>
      </c>
      <c r="U98" s="29"/>
      <c r="V98" s="29"/>
      <c r="W98" s="29"/>
      <c r="X98" s="29"/>
      <c r="Y98" s="29"/>
      <c r="Z98" s="75"/>
    </row>
    <row r="99" customFormat="false" ht="12.75" hidden="false" customHeight="true" outlineLevel="0" collapsed="false">
      <c r="A99" s="2"/>
      <c r="B99" s="2"/>
      <c r="C99" s="75"/>
      <c r="D99" s="75"/>
      <c r="E99" s="75"/>
      <c r="F99" s="75"/>
      <c r="G99" s="75"/>
      <c r="H99" s="75"/>
      <c r="I99" s="2"/>
      <c r="J99" s="83"/>
      <c r="K99" s="83"/>
      <c r="L99" s="85"/>
      <c r="M99" s="85"/>
      <c r="N99" s="85"/>
      <c r="O99" s="2"/>
      <c r="P99" s="92" t="n">
        <v>96</v>
      </c>
      <c r="Q99" s="93" t="n">
        <v>2092.754641394</v>
      </c>
      <c r="R99" s="93" t="n">
        <v>0.318987576549948</v>
      </c>
      <c r="S99" s="93" t="n">
        <v>0.0846502917234498</v>
      </c>
      <c r="T99" s="94" t="n">
        <v>0.0187951841594461</v>
      </c>
      <c r="U99" s="29"/>
      <c r="V99" s="29"/>
      <c r="W99" s="29"/>
      <c r="X99" s="29"/>
      <c r="Y99" s="29"/>
      <c r="Z99" s="75"/>
    </row>
    <row r="100" customFormat="false" ht="12.75" hidden="false" customHeight="true" outlineLevel="0" collapsed="false">
      <c r="A100" s="2"/>
      <c r="B100" s="2"/>
      <c r="C100" s="75"/>
      <c r="D100" s="75"/>
      <c r="E100" s="75"/>
      <c r="F100" s="75"/>
      <c r="G100" s="75"/>
      <c r="H100" s="75"/>
      <c r="I100" s="2"/>
      <c r="J100" s="83"/>
      <c r="K100" s="83"/>
      <c r="L100" s="85"/>
      <c r="M100" s="85"/>
      <c r="N100" s="85"/>
      <c r="O100" s="2"/>
      <c r="P100" s="92" t="n">
        <v>97</v>
      </c>
      <c r="Q100" s="93" t="n">
        <v>2115.371531721</v>
      </c>
      <c r="R100" s="93" t="n">
        <v>0.320960882468755</v>
      </c>
      <c r="S100" s="93" t="n">
        <v>0.0918092237832207</v>
      </c>
      <c r="T100" s="94" t="n">
        <v>0.0159938078470229</v>
      </c>
      <c r="U100" s="29"/>
      <c r="V100" s="29"/>
      <c r="W100" s="29"/>
      <c r="X100" s="29"/>
      <c r="Y100" s="29"/>
      <c r="Z100" s="75"/>
    </row>
    <row r="101" customFormat="false" ht="12.75" hidden="false" customHeight="true" outlineLevel="0" collapsed="false">
      <c r="A101" s="2"/>
      <c r="B101" s="2"/>
      <c r="C101" s="75"/>
      <c r="D101" s="75"/>
      <c r="E101" s="75"/>
      <c r="F101" s="75"/>
      <c r="G101" s="75"/>
      <c r="H101" s="75"/>
      <c r="I101" s="2"/>
      <c r="J101" s="83"/>
      <c r="K101" s="83"/>
      <c r="L101" s="85"/>
      <c r="M101" s="85"/>
      <c r="N101" s="85"/>
      <c r="O101" s="2"/>
      <c r="P101" s="92" t="n">
        <v>98</v>
      </c>
      <c r="Q101" s="93" t="n">
        <v>2137.643848444</v>
      </c>
      <c r="R101" s="93" t="n">
        <v>0.3225739609998</v>
      </c>
      <c r="S101" s="93" t="n">
        <v>0.0942130301430726</v>
      </c>
      <c r="T101" s="94" t="n">
        <v>0.015217626321408</v>
      </c>
      <c r="U101" s="29"/>
      <c r="V101" s="29"/>
      <c r="W101" s="29"/>
      <c r="X101" s="29"/>
      <c r="Y101" s="29"/>
      <c r="Z101" s="75"/>
    </row>
    <row r="102" customFormat="false" ht="12.75" hidden="false" customHeight="true" outlineLevel="0" collapsed="false">
      <c r="A102" s="2"/>
      <c r="B102" s="2"/>
      <c r="C102" s="75"/>
      <c r="D102" s="75"/>
      <c r="E102" s="75"/>
      <c r="F102" s="75"/>
      <c r="G102" s="75"/>
      <c r="H102" s="75"/>
      <c r="I102" s="2"/>
      <c r="J102" s="83"/>
      <c r="K102" s="83"/>
      <c r="L102" s="85"/>
      <c r="M102" s="85"/>
      <c r="N102" s="85"/>
      <c r="O102" s="2"/>
      <c r="P102" s="92" t="n">
        <v>99</v>
      </c>
      <c r="Q102" s="93" t="n">
        <v>2159.707407976</v>
      </c>
      <c r="R102" s="93" t="n">
        <v>0.323261604795177</v>
      </c>
      <c r="S102" s="93" t="n">
        <v>0.0951017247659254</v>
      </c>
      <c r="T102" s="94" t="n">
        <v>0.0130782174517084</v>
      </c>
      <c r="U102" s="29"/>
      <c r="V102" s="29"/>
      <c r="W102" s="29"/>
      <c r="X102" s="29"/>
      <c r="Y102" s="29"/>
      <c r="Z102" s="75"/>
    </row>
    <row r="103" customFormat="false" ht="12.75" hidden="false" customHeight="true" outlineLevel="0" collapsed="false">
      <c r="A103" s="2"/>
      <c r="B103" s="2"/>
      <c r="C103" s="75"/>
      <c r="D103" s="75"/>
      <c r="E103" s="75"/>
      <c r="F103" s="75"/>
      <c r="G103" s="75"/>
      <c r="H103" s="75"/>
      <c r="I103" s="2"/>
      <c r="J103" s="83"/>
      <c r="K103" s="83"/>
      <c r="L103" s="85"/>
      <c r="M103" s="85"/>
      <c r="N103" s="85"/>
      <c r="O103" s="2"/>
      <c r="P103" s="92" t="n">
        <v>100</v>
      </c>
      <c r="Q103" s="93" t="n">
        <v>2182.447576039</v>
      </c>
      <c r="R103" s="93" t="n">
        <v>0.323703761837036</v>
      </c>
      <c r="S103" s="93" t="n">
        <v>0.0937894512511692</v>
      </c>
      <c r="T103" s="94" t="n">
        <v>0.0114435002086076</v>
      </c>
      <c r="U103" s="29"/>
      <c r="V103" s="29"/>
      <c r="W103" s="29"/>
      <c r="X103" s="29"/>
      <c r="Y103" s="29"/>
      <c r="Z103" s="75"/>
    </row>
    <row r="104" customFormat="false" ht="12.75" hidden="false" customHeight="true" outlineLevel="0" collapsed="false">
      <c r="A104" s="2"/>
      <c r="B104" s="2"/>
      <c r="C104" s="75"/>
      <c r="D104" s="75"/>
      <c r="E104" s="75"/>
      <c r="F104" s="75"/>
      <c r="G104" s="75"/>
      <c r="H104" s="75"/>
      <c r="I104" s="2"/>
      <c r="J104" s="83"/>
      <c r="K104" s="83"/>
      <c r="L104" s="85"/>
      <c r="M104" s="85"/>
      <c r="N104" s="85"/>
      <c r="O104" s="2"/>
      <c r="P104" s="92" t="n">
        <v>101</v>
      </c>
      <c r="Q104" s="93" t="n">
        <v>2204.38546677</v>
      </c>
      <c r="R104" s="93" t="n">
        <v>0.323220024162169</v>
      </c>
      <c r="S104" s="93" t="n">
        <v>0.0926207953423178</v>
      </c>
      <c r="T104" s="94" t="n">
        <v>0.0102243255655205</v>
      </c>
      <c r="U104" s="29"/>
      <c r="V104" s="29"/>
      <c r="W104" s="29"/>
      <c r="X104" s="29"/>
      <c r="Y104" s="29"/>
      <c r="Z104" s="75"/>
    </row>
    <row r="105" customFormat="false" ht="12.75" hidden="false" customHeight="true" outlineLevel="0" collapsed="false">
      <c r="A105" s="2"/>
      <c r="B105" s="2"/>
      <c r="C105" s="75"/>
      <c r="D105" s="75"/>
      <c r="E105" s="75"/>
      <c r="F105" s="75"/>
      <c r="G105" s="75"/>
      <c r="H105" s="75"/>
      <c r="I105" s="2"/>
      <c r="J105" s="83"/>
      <c r="K105" s="83"/>
      <c r="L105" s="85"/>
      <c r="M105" s="85"/>
      <c r="N105" s="85"/>
      <c r="O105" s="2"/>
      <c r="P105" s="92" t="n">
        <v>102</v>
      </c>
      <c r="Q105" s="93" t="n">
        <v>2226.812727535</v>
      </c>
      <c r="R105" s="93" t="n">
        <v>0.321661252831774</v>
      </c>
      <c r="S105" s="93" t="n">
        <v>0.0852376615837334</v>
      </c>
      <c r="T105" s="94" t="n">
        <v>0.00830367423093831</v>
      </c>
      <c r="U105" s="29"/>
      <c r="V105" s="29"/>
      <c r="W105" s="29"/>
      <c r="X105" s="29"/>
      <c r="Y105" s="29"/>
      <c r="Z105" s="75"/>
    </row>
    <row r="106" customFormat="false" ht="12.75" hidden="false" customHeight="true" outlineLevel="0" collapsed="false">
      <c r="A106" s="2"/>
      <c r="B106" s="2"/>
      <c r="C106" s="75"/>
      <c r="D106" s="75"/>
      <c r="E106" s="75"/>
      <c r="F106" s="75"/>
      <c r="G106" s="75"/>
      <c r="H106" s="75"/>
      <c r="I106" s="2"/>
      <c r="J106" s="83"/>
      <c r="K106" s="83"/>
      <c r="L106" s="85"/>
      <c r="M106" s="85"/>
      <c r="N106" s="85"/>
      <c r="O106" s="2"/>
      <c r="P106" s="92" t="n">
        <v>103</v>
      </c>
      <c r="Q106" s="93" t="n">
        <v>2248.762324918</v>
      </c>
      <c r="R106" s="93" t="n">
        <v>0.319202884999802</v>
      </c>
      <c r="S106" s="93" t="n">
        <v>0.0862882763499441</v>
      </c>
      <c r="T106" s="94" t="n">
        <v>0.00709644708123711</v>
      </c>
      <c r="U106" s="29"/>
      <c r="V106" s="29"/>
      <c r="W106" s="29"/>
      <c r="X106" s="29"/>
      <c r="Y106" s="29"/>
      <c r="Z106" s="75"/>
    </row>
    <row r="107" customFormat="false" ht="12.75" hidden="false" customHeight="true" outlineLevel="0" collapsed="false">
      <c r="A107" s="2"/>
      <c r="B107" s="2"/>
      <c r="C107" s="75"/>
      <c r="D107" s="75"/>
      <c r="E107" s="75"/>
      <c r="F107" s="75"/>
      <c r="G107" s="75"/>
      <c r="H107" s="75"/>
      <c r="I107" s="2"/>
      <c r="J107" s="83"/>
      <c r="K107" s="83"/>
      <c r="L107" s="85"/>
      <c r="M107" s="85"/>
      <c r="N107" s="85"/>
      <c r="O107" s="2"/>
      <c r="P107" s="92" t="n">
        <v>104</v>
      </c>
      <c r="Q107" s="93" t="n">
        <v>2270.71203796</v>
      </c>
      <c r="R107" s="93" t="n">
        <v>0.316217246457553</v>
      </c>
      <c r="S107" s="93" t="n">
        <v>0.0880032212848585</v>
      </c>
      <c r="T107" s="94" t="n">
        <v>0.00561622799607848</v>
      </c>
      <c r="U107" s="29"/>
      <c r="V107" s="29"/>
      <c r="W107" s="29"/>
      <c r="X107" s="29"/>
      <c r="Y107" s="29"/>
      <c r="Z107" s="75"/>
    </row>
    <row r="108" customFormat="false" ht="12.75" hidden="false" customHeight="true" outlineLevel="0" collapsed="false">
      <c r="A108" s="2"/>
      <c r="B108" s="2"/>
      <c r="C108" s="75"/>
      <c r="D108" s="75"/>
      <c r="E108" s="75"/>
      <c r="F108" s="75"/>
      <c r="G108" s="75"/>
      <c r="H108" s="75"/>
      <c r="I108" s="2"/>
      <c r="J108" s="83"/>
      <c r="K108" s="83"/>
      <c r="L108" s="85"/>
      <c r="M108" s="85"/>
      <c r="N108" s="85"/>
      <c r="O108" s="2"/>
      <c r="P108" s="92" t="n">
        <v>105</v>
      </c>
      <c r="Q108" s="93" t="n">
        <v>2293.038398449</v>
      </c>
      <c r="R108" s="93" t="n">
        <v>0.311683227575974</v>
      </c>
      <c r="S108" s="93" t="n">
        <v>0.0852026302370261</v>
      </c>
      <c r="T108" s="94" t="n">
        <v>0.00563266310656758</v>
      </c>
      <c r="U108" s="29"/>
      <c r="V108" s="29"/>
      <c r="W108" s="29"/>
      <c r="X108" s="29"/>
      <c r="Y108" s="29"/>
      <c r="Z108" s="75"/>
    </row>
    <row r="109" customFormat="false" ht="12.75" hidden="false" customHeight="true" outlineLevel="0" collapsed="false">
      <c r="A109" s="2"/>
      <c r="B109" s="2"/>
      <c r="C109" s="75"/>
      <c r="D109" s="75"/>
      <c r="E109" s="75"/>
      <c r="F109" s="75"/>
      <c r="G109" s="75"/>
      <c r="H109" s="75"/>
      <c r="I109" s="2"/>
      <c r="J109" s="83"/>
      <c r="K109" s="83"/>
      <c r="L109" s="85"/>
      <c r="M109" s="85"/>
      <c r="N109" s="85"/>
      <c r="O109" s="2"/>
      <c r="P109" s="92" t="n">
        <v>106</v>
      </c>
      <c r="Q109" s="93" t="n">
        <v>2314.396704574</v>
      </c>
      <c r="R109" s="93" t="n">
        <v>0.308901747469219</v>
      </c>
      <c r="S109" s="93" t="n">
        <v>0.0839086727104573</v>
      </c>
      <c r="T109" s="94" t="n">
        <v>0.00507055497227829</v>
      </c>
      <c r="U109" s="29"/>
      <c r="V109" s="29"/>
      <c r="W109" s="29"/>
      <c r="X109" s="29"/>
      <c r="Y109" s="29"/>
      <c r="Z109" s="75"/>
    </row>
    <row r="110" customFormat="false" ht="12.75" hidden="false" customHeight="true" outlineLevel="0" collapsed="false">
      <c r="A110" s="2"/>
      <c r="B110" s="2"/>
      <c r="C110" s="75"/>
      <c r="D110" s="75"/>
      <c r="E110" s="75"/>
      <c r="F110" s="75"/>
      <c r="G110" s="75"/>
      <c r="H110" s="75"/>
      <c r="I110" s="2"/>
      <c r="J110" s="83"/>
      <c r="K110" s="83"/>
      <c r="L110" s="85"/>
      <c r="M110" s="85"/>
      <c r="N110" s="85"/>
      <c r="O110" s="2"/>
      <c r="P110" s="92" t="n">
        <v>107</v>
      </c>
      <c r="Q110" s="93" t="n">
        <v>2336.769166914</v>
      </c>
      <c r="R110" s="93" t="n">
        <v>0.305064258449856</v>
      </c>
      <c r="S110" s="93" t="n">
        <v>0.07563865777548</v>
      </c>
      <c r="T110" s="94" t="n">
        <v>0.00643038325957271</v>
      </c>
      <c r="U110" s="29"/>
      <c r="V110" s="29"/>
      <c r="W110" s="29"/>
      <c r="X110" s="29"/>
      <c r="Y110" s="29"/>
      <c r="Z110" s="75"/>
    </row>
    <row r="111" customFormat="false" ht="12.75" hidden="false" customHeight="true" outlineLevel="0" collapsed="false">
      <c r="A111" s="2"/>
      <c r="B111" s="2"/>
      <c r="C111" s="75"/>
      <c r="D111" s="75"/>
      <c r="E111" s="75"/>
      <c r="F111" s="75"/>
      <c r="G111" s="75"/>
      <c r="H111" s="75"/>
      <c r="I111" s="2"/>
      <c r="J111" s="83"/>
      <c r="K111" s="83"/>
      <c r="L111" s="85"/>
      <c r="M111" s="85"/>
      <c r="N111" s="85"/>
      <c r="O111" s="2"/>
      <c r="P111" s="92" t="n">
        <v>108</v>
      </c>
      <c r="Q111" s="93" t="n">
        <v>2358.988263253</v>
      </c>
      <c r="R111" s="93" t="n">
        <v>0.302388753038176</v>
      </c>
      <c r="S111" s="93" t="n">
        <v>0.0738415181234701</v>
      </c>
      <c r="T111" s="94" t="n">
        <v>0.00576639567497756</v>
      </c>
      <c r="U111" s="29"/>
      <c r="V111" s="29"/>
      <c r="W111" s="29"/>
      <c r="X111" s="29"/>
      <c r="Y111" s="29"/>
      <c r="Z111" s="75"/>
    </row>
    <row r="112" customFormat="false" ht="12.75" hidden="false" customHeight="true" outlineLevel="0" collapsed="false">
      <c r="A112" s="2"/>
      <c r="B112" s="2"/>
      <c r="C112" s="75"/>
      <c r="D112" s="75"/>
      <c r="E112" s="75"/>
      <c r="F112" s="75"/>
      <c r="G112" s="75"/>
      <c r="H112" s="75"/>
      <c r="I112" s="2"/>
      <c r="J112" s="83"/>
      <c r="K112" s="83"/>
      <c r="L112" s="85"/>
      <c r="M112" s="85"/>
      <c r="N112" s="85"/>
      <c r="O112" s="2"/>
      <c r="P112" s="92" t="n">
        <v>109</v>
      </c>
      <c r="Q112" s="93" t="n">
        <v>2381.036463661</v>
      </c>
      <c r="R112" s="93" t="n">
        <v>0.298133681757474</v>
      </c>
      <c r="S112" s="93" t="n">
        <v>0.0709039792240899</v>
      </c>
      <c r="T112" s="94" t="n">
        <v>0.00617818554959174</v>
      </c>
      <c r="U112" s="29"/>
      <c r="V112" s="29"/>
      <c r="W112" s="29"/>
      <c r="X112" s="29"/>
      <c r="Y112" s="29"/>
      <c r="Z112" s="75"/>
    </row>
    <row r="113" customFormat="false" ht="12.75" hidden="false" customHeight="true" outlineLevel="0" collapsed="false">
      <c r="A113" s="2"/>
      <c r="B113" s="2"/>
      <c r="C113" s="75"/>
      <c r="D113" s="75"/>
      <c r="E113" s="75"/>
      <c r="F113" s="75"/>
      <c r="G113" s="75"/>
      <c r="H113" s="75"/>
      <c r="I113" s="2"/>
      <c r="J113" s="83"/>
      <c r="K113" s="83"/>
      <c r="L113" s="85"/>
      <c r="M113" s="85"/>
      <c r="N113" s="85"/>
      <c r="O113" s="2"/>
      <c r="P113" s="92" t="n">
        <v>110</v>
      </c>
      <c r="Q113" s="93" t="n">
        <v>2403.41181903</v>
      </c>
      <c r="R113" s="93" t="n">
        <v>0.29444134941857</v>
      </c>
      <c r="S113" s="93" t="n">
        <v>0.0653271852936848</v>
      </c>
      <c r="T113" s="94" t="n">
        <v>0.00661049836367326</v>
      </c>
      <c r="U113" s="29"/>
      <c r="V113" s="29"/>
      <c r="W113" s="29"/>
      <c r="X113" s="29"/>
      <c r="Y113" s="29"/>
      <c r="Z113" s="75"/>
    </row>
    <row r="114" customFormat="false" ht="12.75" hidden="false" customHeight="true" outlineLevel="0" collapsed="false">
      <c r="A114" s="2"/>
      <c r="B114" s="2"/>
      <c r="C114" s="75"/>
      <c r="D114" s="75"/>
      <c r="E114" s="75"/>
      <c r="F114" s="75"/>
      <c r="G114" s="75"/>
      <c r="H114" s="75"/>
      <c r="I114" s="2"/>
      <c r="J114" s="83"/>
      <c r="K114" s="83"/>
      <c r="L114" s="85"/>
      <c r="M114" s="85"/>
      <c r="N114" s="85"/>
      <c r="O114" s="2"/>
      <c r="P114" s="92" t="n">
        <v>111</v>
      </c>
      <c r="Q114" s="93" t="n">
        <v>2425.040984479</v>
      </c>
      <c r="R114" s="93" t="n">
        <v>0.29302811075856</v>
      </c>
      <c r="S114" s="93" t="n">
        <v>0.0635605017657557</v>
      </c>
      <c r="T114" s="94" t="n">
        <v>0.00689918131612314</v>
      </c>
      <c r="U114" s="29"/>
      <c r="V114" s="29"/>
      <c r="W114" s="29"/>
      <c r="X114" s="29"/>
      <c r="Y114" s="29"/>
      <c r="Z114" s="75"/>
    </row>
    <row r="115" customFormat="false" ht="12.75" hidden="false" customHeight="true" outlineLevel="0" collapsed="false">
      <c r="A115" s="2"/>
      <c r="B115" s="2"/>
      <c r="C115" s="75"/>
      <c r="D115" s="75"/>
      <c r="E115" s="75"/>
      <c r="F115" s="75"/>
      <c r="G115" s="75"/>
      <c r="H115" s="75"/>
      <c r="I115" s="2"/>
      <c r="J115" s="83"/>
      <c r="K115" s="83"/>
      <c r="L115" s="85"/>
      <c r="M115" s="85"/>
      <c r="N115" s="85"/>
      <c r="O115" s="2"/>
      <c r="P115" s="92" t="n">
        <v>112</v>
      </c>
      <c r="Q115" s="93" t="n">
        <v>2447.655420946</v>
      </c>
      <c r="R115" s="93" t="n">
        <v>0.289596914169656</v>
      </c>
      <c r="S115" s="93" t="n">
        <v>0.0542561634371657</v>
      </c>
      <c r="T115" s="94" t="n">
        <v>0.00736698687432105</v>
      </c>
      <c r="U115" s="29"/>
      <c r="V115" s="29"/>
      <c r="W115" s="29"/>
      <c r="X115" s="29"/>
      <c r="Y115" s="29"/>
      <c r="Z115" s="75"/>
    </row>
    <row r="116" customFormat="false" ht="12.75" hidden="false" customHeight="true" outlineLevel="0" collapsed="false">
      <c r="A116" s="2"/>
      <c r="B116" s="2"/>
      <c r="C116" s="75"/>
      <c r="D116" s="75"/>
      <c r="E116" s="75"/>
      <c r="F116" s="75"/>
      <c r="G116" s="75"/>
      <c r="H116" s="75"/>
      <c r="I116" s="2"/>
      <c r="J116" s="83"/>
      <c r="K116" s="83"/>
      <c r="L116" s="85"/>
      <c r="M116" s="85"/>
      <c r="N116" s="85"/>
      <c r="O116" s="2"/>
      <c r="P116" s="92" t="n">
        <v>113</v>
      </c>
      <c r="Q116" s="93" t="n">
        <v>2469.461605377</v>
      </c>
      <c r="R116" s="93" t="n">
        <v>0.288664523873325</v>
      </c>
      <c r="S116" s="93" t="n">
        <v>0.0528997990009932</v>
      </c>
      <c r="T116" s="94" t="n">
        <v>0.00812409606188228</v>
      </c>
      <c r="U116" s="29"/>
      <c r="V116" s="29"/>
      <c r="W116" s="29"/>
      <c r="X116" s="29"/>
      <c r="Y116" s="29"/>
      <c r="Z116" s="75"/>
    </row>
    <row r="117" customFormat="false" ht="12.75" hidden="false" customHeight="true" outlineLevel="0" collapsed="false">
      <c r="A117" s="2"/>
      <c r="B117" s="2"/>
      <c r="C117" s="75"/>
      <c r="D117" s="75"/>
      <c r="E117" s="75"/>
      <c r="F117" s="75"/>
      <c r="G117" s="75"/>
      <c r="H117" s="75"/>
      <c r="I117" s="2"/>
      <c r="J117" s="83"/>
      <c r="K117" s="83"/>
      <c r="L117" s="85"/>
      <c r="M117" s="85"/>
      <c r="N117" s="85"/>
      <c r="O117" s="2"/>
      <c r="P117" s="92" t="n">
        <v>114</v>
      </c>
      <c r="Q117" s="93" t="n">
        <v>2491.826955046</v>
      </c>
      <c r="R117" s="93" t="n">
        <v>0.286721200555232</v>
      </c>
      <c r="S117" s="93" t="n">
        <v>0.0454611066311092</v>
      </c>
      <c r="T117" s="94" t="n">
        <v>0.00794377954708451</v>
      </c>
      <c r="U117" s="29"/>
      <c r="V117" s="29"/>
      <c r="W117" s="29"/>
      <c r="X117" s="29"/>
      <c r="Y117" s="29"/>
      <c r="Z117" s="75"/>
    </row>
    <row r="118" customFormat="false" ht="12.75" hidden="false" customHeight="tru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83"/>
      <c r="K118" s="83"/>
      <c r="L118" s="85"/>
      <c r="M118" s="85"/>
      <c r="N118" s="85"/>
      <c r="O118" s="2"/>
      <c r="P118" s="92" t="n">
        <v>115</v>
      </c>
      <c r="Q118" s="93" t="n">
        <v>2514.369832545</v>
      </c>
      <c r="R118" s="93" t="n">
        <v>0.286523239333823</v>
      </c>
      <c r="S118" s="93" t="n">
        <v>0.0401506452374823</v>
      </c>
      <c r="T118" s="94" t="n">
        <v>0.00955236951965274</v>
      </c>
      <c r="U118" s="29"/>
      <c r="V118" s="29"/>
      <c r="W118" s="29"/>
      <c r="X118" s="29"/>
      <c r="Y118" s="29"/>
      <c r="Z118" s="75"/>
    </row>
    <row r="119" customFormat="false" ht="12.75" hidden="false" customHeight="tru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83"/>
      <c r="K119" s="83"/>
      <c r="L119" s="85"/>
      <c r="M119" s="85"/>
      <c r="N119" s="85"/>
      <c r="O119" s="2"/>
      <c r="P119" s="92" t="n">
        <v>116</v>
      </c>
      <c r="Q119" s="93" t="n">
        <v>2536.38304388</v>
      </c>
      <c r="R119" s="93" t="n">
        <v>0.286733465828436</v>
      </c>
      <c r="S119" s="93" t="n">
        <v>0.0330835039186262</v>
      </c>
      <c r="T119" s="94" t="n">
        <v>0.0101016711610315</v>
      </c>
      <c r="U119" s="29"/>
      <c r="V119" s="29"/>
      <c r="W119" s="29"/>
      <c r="X119" s="29"/>
      <c r="Y119" s="29"/>
      <c r="Z119" s="75"/>
    </row>
    <row r="120" customFormat="false" ht="12.75" hidden="false" customHeight="tru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83"/>
      <c r="K120" s="83"/>
      <c r="L120" s="85"/>
      <c r="M120" s="85"/>
      <c r="N120" s="85"/>
      <c r="O120" s="2"/>
      <c r="P120" s="92" t="n">
        <v>117</v>
      </c>
      <c r="Q120" s="93" t="n">
        <v>2558.516124652</v>
      </c>
      <c r="R120" s="93" t="n">
        <v>0.28699887868804</v>
      </c>
      <c r="S120" s="93" t="n">
        <v>0.0271371984728776</v>
      </c>
      <c r="T120" s="94" t="n">
        <v>0.0113422850389672</v>
      </c>
      <c r="U120" s="29"/>
      <c r="V120" s="29"/>
      <c r="W120" s="29"/>
      <c r="X120" s="29"/>
      <c r="Y120" s="29"/>
      <c r="Z120" s="75"/>
    </row>
    <row r="121" customFormat="false" ht="12.75" hidden="false" customHeight="tru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83"/>
      <c r="K121" s="83"/>
      <c r="L121" s="85"/>
      <c r="M121" s="85"/>
      <c r="N121" s="85"/>
      <c r="O121" s="2"/>
      <c r="P121" s="92" t="n">
        <v>118</v>
      </c>
      <c r="Q121" s="93" t="n">
        <v>2580.798900091</v>
      </c>
      <c r="R121" s="93" t="n">
        <v>0.287664116603019</v>
      </c>
      <c r="S121" s="93" t="n">
        <v>0.0208039932101588</v>
      </c>
      <c r="T121" s="94" t="n">
        <v>0.0114145279982401</v>
      </c>
      <c r="U121" s="29"/>
      <c r="V121" s="29"/>
      <c r="W121" s="29"/>
      <c r="X121" s="29"/>
      <c r="Y121" s="29"/>
      <c r="Z121" s="75"/>
    </row>
    <row r="122" customFormat="false" ht="12.75" hidden="false" customHeight="tru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83"/>
      <c r="K122" s="83"/>
      <c r="L122" s="85"/>
      <c r="M122" s="85"/>
      <c r="N122" s="85"/>
      <c r="O122" s="2"/>
      <c r="P122" s="92" t="n">
        <v>119</v>
      </c>
      <c r="Q122" s="93" t="n">
        <v>2603.322787791</v>
      </c>
      <c r="R122" s="93" t="n">
        <v>0.288764486954923</v>
      </c>
      <c r="S122" s="93" t="n">
        <v>0.0133928397694156</v>
      </c>
      <c r="T122" s="94" t="n">
        <v>0.0117130282365516</v>
      </c>
      <c r="U122" s="29"/>
      <c r="V122" s="29"/>
      <c r="W122" s="29"/>
      <c r="X122" s="29"/>
      <c r="Y122" s="29"/>
      <c r="Z122" s="75"/>
    </row>
    <row r="123" customFormat="false" ht="12.75" hidden="false" customHeight="tru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83"/>
      <c r="K123" s="83"/>
      <c r="L123" s="85"/>
      <c r="M123" s="85"/>
      <c r="N123" s="85"/>
      <c r="O123" s="2"/>
      <c r="P123" s="92" t="n">
        <v>120</v>
      </c>
      <c r="Q123" s="93" t="n">
        <v>2625.398184878</v>
      </c>
      <c r="R123" s="93" t="n">
        <v>0.289584831727476</v>
      </c>
      <c r="S123" s="93" t="n">
        <v>0.00909556590582536</v>
      </c>
      <c r="T123" s="94" t="n">
        <v>0.0121804409871051</v>
      </c>
      <c r="U123" s="29"/>
      <c r="V123" s="29"/>
      <c r="W123" s="29"/>
      <c r="X123" s="29"/>
      <c r="Y123" s="29"/>
      <c r="Z123" s="75"/>
    </row>
    <row r="124" customFormat="false" ht="12.75" hidden="false" customHeight="tru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83"/>
      <c r="K124" s="83"/>
      <c r="L124" s="85"/>
      <c r="M124" s="85"/>
      <c r="N124" s="85"/>
      <c r="O124" s="2"/>
      <c r="P124" s="92" t="n">
        <v>121</v>
      </c>
      <c r="Q124" s="93" t="n">
        <v>2648.113657093</v>
      </c>
      <c r="R124" s="93" t="n">
        <v>0.291015253150578</v>
      </c>
      <c r="S124" s="93" t="n">
        <v>0.000738689540945778</v>
      </c>
      <c r="T124" s="94" t="n">
        <v>0.0121029387514401</v>
      </c>
      <c r="U124" s="29"/>
      <c r="V124" s="29"/>
      <c r="W124" s="29"/>
      <c r="X124" s="29"/>
      <c r="Y124" s="29"/>
      <c r="Z124" s="75"/>
    </row>
    <row r="125" customFormat="false" ht="12.75" hidden="false" customHeight="tru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83"/>
      <c r="K125" s="83"/>
      <c r="L125" s="85"/>
      <c r="M125" s="85"/>
      <c r="N125" s="85"/>
      <c r="O125" s="2"/>
      <c r="P125" s="92" t="n">
        <v>122</v>
      </c>
      <c r="Q125" s="93" t="n">
        <v>2669.566538714</v>
      </c>
      <c r="R125" s="93" t="n">
        <v>0.291613037532074</v>
      </c>
      <c r="S125" s="93" t="n">
        <v>-0.00200219165282603</v>
      </c>
      <c r="T125" s="94" t="n">
        <v>0.0118767400332061</v>
      </c>
      <c r="U125" s="29"/>
      <c r="V125" s="29"/>
      <c r="W125" s="29"/>
      <c r="X125" s="29"/>
      <c r="Y125" s="29"/>
      <c r="Z125" s="75"/>
    </row>
    <row r="126" customFormat="false" ht="12.75" hidden="false" customHeight="tru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83"/>
      <c r="K126" s="83"/>
      <c r="L126" s="85"/>
      <c r="M126" s="85"/>
      <c r="N126" s="85"/>
      <c r="O126" s="2"/>
      <c r="P126" s="92" t="n">
        <v>123</v>
      </c>
      <c r="Q126" s="93" t="n">
        <v>2691.935677379</v>
      </c>
      <c r="R126" s="93" t="n">
        <v>0.292644354887652</v>
      </c>
      <c r="S126" s="93" t="n">
        <v>-0.00876919205160038</v>
      </c>
      <c r="T126" s="94" t="n">
        <v>0.0135010655533837</v>
      </c>
      <c r="U126" s="29"/>
      <c r="V126" s="29"/>
      <c r="W126" s="29"/>
      <c r="X126" s="29"/>
      <c r="Y126" s="29"/>
      <c r="Z126" s="75"/>
    </row>
    <row r="127" customFormat="false" ht="12.75" hidden="false" customHeight="true" outlineLevel="0" collapsed="false">
      <c r="A127" s="2"/>
      <c r="B127" s="2"/>
      <c r="C127" s="75"/>
      <c r="D127" s="75"/>
      <c r="E127" s="75"/>
      <c r="F127" s="75"/>
      <c r="G127" s="75"/>
      <c r="H127" s="75"/>
      <c r="I127" s="2"/>
      <c r="J127" s="83"/>
      <c r="K127" s="83"/>
      <c r="L127" s="85"/>
      <c r="M127" s="85"/>
      <c r="N127" s="85"/>
      <c r="O127" s="2"/>
      <c r="P127" s="92" t="n">
        <v>124</v>
      </c>
      <c r="Q127" s="93" t="n">
        <v>2713.665484362</v>
      </c>
      <c r="R127" s="93" t="n">
        <v>0.292590531755474</v>
      </c>
      <c r="S127" s="93" t="n">
        <v>-0.00974400809292937</v>
      </c>
      <c r="T127" s="94" t="n">
        <v>0.0117772765675269</v>
      </c>
      <c r="U127" s="29"/>
      <c r="V127" s="29"/>
      <c r="W127" s="29"/>
      <c r="X127" s="29"/>
      <c r="Y127" s="29"/>
      <c r="Z127" s="75"/>
    </row>
    <row r="128" customFormat="false" ht="12.75" hidden="false" customHeight="true" outlineLevel="0" collapsed="false">
      <c r="A128" s="2"/>
      <c r="B128" s="2"/>
      <c r="C128" s="75"/>
      <c r="D128" s="75"/>
      <c r="E128" s="75"/>
      <c r="F128" s="75"/>
      <c r="G128" s="75"/>
      <c r="H128" s="75"/>
      <c r="I128" s="2"/>
      <c r="J128" s="83"/>
      <c r="K128" s="83"/>
      <c r="L128" s="85"/>
      <c r="M128" s="85"/>
      <c r="N128" s="85"/>
      <c r="O128" s="2"/>
      <c r="P128" s="92" t="n">
        <v>125</v>
      </c>
      <c r="Q128" s="93" t="n">
        <v>2736.159402394</v>
      </c>
      <c r="R128" s="93" t="n">
        <v>0.292828467030202</v>
      </c>
      <c r="S128" s="93" t="n">
        <v>-0.00856163694708573</v>
      </c>
      <c r="T128" s="94" t="n">
        <v>0.0142855360754516</v>
      </c>
      <c r="U128" s="29"/>
      <c r="V128" s="29"/>
      <c r="W128" s="29"/>
      <c r="X128" s="29"/>
      <c r="Y128" s="29"/>
      <c r="Z128" s="75"/>
    </row>
    <row r="129" customFormat="false" ht="12.75" hidden="false" customHeight="true" outlineLevel="0" collapsed="false">
      <c r="A129" s="2"/>
      <c r="B129" s="2"/>
      <c r="C129" s="75"/>
      <c r="D129" s="75"/>
      <c r="E129" s="75"/>
      <c r="F129" s="75"/>
      <c r="G129" s="75"/>
      <c r="H129" s="75"/>
      <c r="I129" s="2"/>
      <c r="J129" s="83"/>
      <c r="K129" s="83"/>
      <c r="L129" s="85"/>
      <c r="M129" s="85"/>
      <c r="N129" s="85"/>
      <c r="O129" s="2"/>
      <c r="P129" s="92" t="n">
        <v>126</v>
      </c>
      <c r="Q129" s="93" t="n">
        <v>2758.109138519</v>
      </c>
      <c r="R129" s="93" t="n">
        <v>0.291951653004</v>
      </c>
      <c r="S129" s="93" t="n">
        <v>-0.00775230300353839</v>
      </c>
      <c r="T129" s="94" t="n">
        <v>0.0120033708520594</v>
      </c>
      <c r="U129" s="29"/>
      <c r="V129" s="29"/>
      <c r="W129" s="29"/>
      <c r="X129" s="29"/>
      <c r="Y129" s="29"/>
      <c r="Z129" s="75"/>
    </row>
    <row r="130" customFormat="false" ht="12.75" hidden="false" customHeight="true" outlineLevel="0" collapsed="false">
      <c r="A130" s="2"/>
      <c r="B130" s="2"/>
      <c r="C130" s="75"/>
      <c r="D130" s="75"/>
      <c r="E130" s="75"/>
      <c r="F130" s="75"/>
      <c r="G130" s="75"/>
      <c r="H130" s="75"/>
      <c r="I130" s="2"/>
      <c r="J130" s="83"/>
      <c r="K130" s="83"/>
      <c r="L130" s="85"/>
      <c r="M130" s="85"/>
      <c r="N130" s="85"/>
      <c r="O130" s="2"/>
      <c r="P130" s="92" t="n">
        <v>127</v>
      </c>
      <c r="Q130" s="93" t="n">
        <v>2780.614714387</v>
      </c>
      <c r="R130" s="93" t="n">
        <v>0.291771113358546</v>
      </c>
      <c r="S130" s="93" t="n">
        <v>0.000518032823508528</v>
      </c>
      <c r="T130" s="94" t="n">
        <v>0.0146485407129113</v>
      </c>
      <c r="U130" s="29"/>
      <c r="V130" s="29"/>
      <c r="W130" s="29"/>
      <c r="X130" s="29"/>
      <c r="Y130" s="29"/>
      <c r="Z130" s="75"/>
    </row>
    <row r="131" customFormat="false" ht="12.75" hidden="false" customHeight="true" outlineLevel="0" collapsed="false">
      <c r="A131" s="2"/>
      <c r="B131" s="2"/>
      <c r="C131" s="75"/>
      <c r="D131" s="75"/>
      <c r="E131" s="75"/>
      <c r="F131" s="75"/>
      <c r="G131" s="75"/>
      <c r="H131" s="75"/>
      <c r="I131" s="2"/>
      <c r="J131" s="83"/>
      <c r="K131" s="83"/>
      <c r="L131" s="85"/>
      <c r="M131" s="85"/>
      <c r="N131" s="85"/>
      <c r="O131" s="2"/>
      <c r="P131" s="92" t="n">
        <v>128</v>
      </c>
      <c r="Q131" s="93" t="n">
        <v>2802.458260983</v>
      </c>
      <c r="R131" s="93" t="n">
        <v>0.290196432632588</v>
      </c>
      <c r="S131" s="93" t="n">
        <v>0.0024111073327</v>
      </c>
      <c r="T131" s="94" t="n">
        <v>0.0131276799851347</v>
      </c>
      <c r="U131" s="29"/>
      <c r="V131" s="29"/>
      <c r="W131" s="29"/>
      <c r="X131" s="29"/>
      <c r="Y131" s="29"/>
      <c r="Z131" s="75"/>
    </row>
    <row r="132" customFormat="false" ht="12.75" hidden="false" customHeight="true" outlineLevel="0" collapsed="false">
      <c r="A132" s="2"/>
      <c r="B132" s="2"/>
      <c r="C132" s="75"/>
      <c r="D132" s="75"/>
      <c r="E132" s="75"/>
      <c r="F132" s="75"/>
      <c r="G132" s="75"/>
      <c r="H132" s="75"/>
      <c r="I132" s="2"/>
      <c r="J132" s="83"/>
      <c r="K132" s="83"/>
      <c r="L132" s="85"/>
      <c r="M132" s="85"/>
      <c r="N132" s="85"/>
      <c r="O132" s="2"/>
      <c r="P132" s="92" t="n">
        <v>129</v>
      </c>
      <c r="Q132" s="93" t="n">
        <v>2824.933352746</v>
      </c>
      <c r="R132" s="93" t="n">
        <v>0.289512302369504</v>
      </c>
      <c r="S132" s="93" t="n">
        <v>0.0115058713344322</v>
      </c>
      <c r="T132" s="94" t="n">
        <v>0.0145593620137753</v>
      </c>
      <c r="U132" s="29"/>
      <c r="V132" s="29"/>
      <c r="W132" s="29"/>
      <c r="X132" s="29"/>
      <c r="Y132" s="29"/>
      <c r="Z132" s="75"/>
    </row>
    <row r="133" customFormat="false" ht="12.75" hidden="false" customHeight="true" outlineLevel="0" collapsed="false">
      <c r="A133" s="2"/>
      <c r="B133" s="2"/>
      <c r="C133" s="75"/>
      <c r="D133" s="75"/>
      <c r="E133" s="75"/>
      <c r="F133" s="75"/>
      <c r="G133" s="75"/>
      <c r="H133" s="75"/>
      <c r="I133" s="2"/>
      <c r="J133" s="83"/>
      <c r="K133" s="83"/>
      <c r="L133" s="85"/>
      <c r="M133" s="85"/>
      <c r="N133" s="85"/>
      <c r="O133" s="2"/>
      <c r="P133" s="92" t="n">
        <v>130</v>
      </c>
      <c r="Q133" s="93" t="n">
        <v>2847.078450911</v>
      </c>
      <c r="R133" s="93" t="n">
        <v>0.288173315176854</v>
      </c>
      <c r="S133" s="93" t="n">
        <v>0.0161183369380564</v>
      </c>
      <c r="T133" s="94" t="n">
        <v>0.0135443503280767</v>
      </c>
      <c r="U133" s="29"/>
      <c r="V133" s="29"/>
      <c r="W133" s="29"/>
      <c r="X133" s="29"/>
      <c r="Y133" s="29"/>
      <c r="Z133" s="75"/>
    </row>
    <row r="134" customFormat="false" ht="12.75" hidden="false" customHeight="true" outlineLevel="0" collapsed="false">
      <c r="A134" s="2"/>
      <c r="B134" s="2"/>
      <c r="C134" s="75"/>
      <c r="D134" s="75"/>
      <c r="E134" s="75"/>
      <c r="F134" s="75"/>
      <c r="G134" s="75"/>
      <c r="H134" s="75"/>
      <c r="I134" s="2"/>
      <c r="J134" s="83"/>
      <c r="K134" s="83"/>
      <c r="L134" s="85"/>
      <c r="M134" s="85"/>
      <c r="N134" s="85"/>
      <c r="O134" s="2"/>
      <c r="P134" s="92" t="n">
        <v>131</v>
      </c>
      <c r="Q134" s="93" t="n">
        <v>2869.175503005</v>
      </c>
      <c r="R134" s="93" t="n">
        <v>0.287410336601616</v>
      </c>
      <c r="S134" s="93" t="n">
        <v>0.0227570620363328</v>
      </c>
      <c r="T134" s="94" t="n">
        <v>0.0131039511585627</v>
      </c>
      <c r="U134" s="29"/>
      <c r="V134" s="29"/>
      <c r="W134" s="29"/>
      <c r="X134" s="29"/>
      <c r="Y134" s="29"/>
      <c r="Z134" s="75"/>
    </row>
    <row r="135" customFormat="false" ht="12.75" hidden="false" customHeight="true" outlineLevel="0" collapsed="false">
      <c r="A135" s="2"/>
      <c r="B135" s="2"/>
      <c r="C135" s="75"/>
      <c r="D135" s="75"/>
      <c r="E135" s="75"/>
      <c r="F135" s="75"/>
      <c r="G135" s="75"/>
      <c r="H135" s="75"/>
      <c r="I135" s="2"/>
      <c r="J135" s="83"/>
      <c r="K135" s="83"/>
      <c r="L135" s="85"/>
      <c r="M135" s="85"/>
      <c r="N135" s="85"/>
      <c r="O135" s="2"/>
      <c r="P135" s="92" t="n">
        <v>132</v>
      </c>
      <c r="Q135" s="93" t="n">
        <v>2891.446462579</v>
      </c>
      <c r="R135" s="93" t="n">
        <v>0.286366784005304</v>
      </c>
      <c r="S135" s="93" t="n">
        <v>0.0277544509060426</v>
      </c>
      <c r="T135" s="94" t="n">
        <v>0.0114353102444533</v>
      </c>
      <c r="U135" s="29"/>
      <c r="V135" s="29"/>
      <c r="W135" s="29"/>
      <c r="X135" s="29"/>
      <c r="Y135" s="29"/>
      <c r="Z135" s="75"/>
    </row>
    <row r="136" customFormat="false" ht="12.75" hidden="false" customHeight="true" outlineLevel="0" collapsed="false">
      <c r="A136" s="2"/>
      <c r="B136" s="2"/>
      <c r="C136" s="75"/>
      <c r="D136" s="75"/>
      <c r="E136" s="75"/>
      <c r="F136" s="75"/>
      <c r="G136" s="75"/>
      <c r="H136" s="75"/>
      <c r="I136" s="2"/>
      <c r="J136" s="83"/>
      <c r="K136" s="83"/>
      <c r="L136" s="85"/>
      <c r="M136" s="85"/>
      <c r="N136" s="85"/>
      <c r="O136" s="2"/>
      <c r="P136" s="92" t="n">
        <v>133</v>
      </c>
      <c r="Q136" s="93" t="n">
        <v>2913.543497802</v>
      </c>
      <c r="R136" s="93" t="n">
        <v>0.28579505623293</v>
      </c>
      <c r="S136" s="93" t="n">
        <v>0.0322952010989644</v>
      </c>
      <c r="T136" s="94" t="n">
        <v>0.0102748746596821</v>
      </c>
      <c r="U136" s="29"/>
      <c r="V136" s="29"/>
      <c r="W136" s="29"/>
      <c r="X136" s="29"/>
      <c r="Y136" s="29"/>
      <c r="Z136" s="75"/>
    </row>
    <row r="137" customFormat="false" ht="12.75" hidden="false" customHeight="true" outlineLevel="0" collapsed="false">
      <c r="A137" s="2"/>
      <c r="B137" s="2"/>
      <c r="C137" s="75"/>
      <c r="D137" s="75"/>
      <c r="E137" s="75"/>
      <c r="F137" s="75"/>
      <c r="G137" s="75"/>
      <c r="H137" s="75"/>
      <c r="I137" s="2"/>
      <c r="J137" s="83"/>
      <c r="K137" s="83"/>
      <c r="L137" s="85"/>
      <c r="M137" s="85"/>
      <c r="N137" s="85"/>
      <c r="O137" s="2"/>
      <c r="P137" s="92" t="n">
        <v>134</v>
      </c>
      <c r="Q137" s="93" t="n">
        <v>2935.817598757</v>
      </c>
      <c r="R137" s="93" t="n">
        <v>0.285209548059461</v>
      </c>
      <c r="S137" s="93" t="n">
        <v>0.0372040863411552</v>
      </c>
      <c r="T137" s="94" t="n">
        <v>0.00882441883806807</v>
      </c>
      <c r="U137" s="29"/>
      <c r="V137" s="29"/>
      <c r="W137" s="29"/>
      <c r="X137" s="29"/>
      <c r="Y137" s="29"/>
      <c r="Z137" s="75"/>
    </row>
    <row r="138" customFormat="false" ht="12.75" hidden="false" customHeight="true" outlineLevel="0" collapsed="false">
      <c r="A138" s="2"/>
      <c r="B138" s="2"/>
      <c r="C138" s="75"/>
      <c r="D138" s="75"/>
      <c r="E138" s="75"/>
      <c r="F138" s="75"/>
      <c r="G138" s="75"/>
      <c r="H138" s="75"/>
      <c r="I138" s="2"/>
      <c r="J138" s="83"/>
      <c r="K138" s="83"/>
      <c r="L138" s="85"/>
      <c r="M138" s="85"/>
      <c r="N138" s="85"/>
      <c r="O138" s="2"/>
      <c r="P138" s="92" t="n">
        <v>135</v>
      </c>
      <c r="Q138" s="93" t="n">
        <v>2957.89996452</v>
      </c>
      <c r="R138" s="93" t="n">
        <v>0.285113703391887</v>
      </c>
      <c r="S138" s="93" t="n">
        <v>0.04116115548332</v>
      </c>
      <c r="T138" s="94" t="n">
        <v>0.00854913667580347</v>
      </c>
      <c r="U138" s="29"/>
      <c r="V138" s="29"/>
      <c r="W138" s="29"/>
      <c r="X138" s="29"/>
      <c r="Y138" s="29"/>
      <c r="Z138" s="75"/>
    </row>
    <row r="139" customFormat="false" ht="12.75" hidden="false" customHeight="true" outlineLevel="0" collapsed="false">
      <c r="A139" s="2"/>
      <c r="B139" s="2"/>
      <c r="C139" s="75"/>
      <c r="D139" s="75"/>
      <c r="E139" s="75"/>
      <c r="F139" s="75"/>
      <c r="G139" s="75"/>
      <c r="H139" s="75"/>
      <c r="I139" s="2"/>
      <c r="J139" s="83"/>
      <c r="K139" s="83"/>
      <c r="L139" s="85"/>
      <c r="M139" s="85"/>
      <c r="N139" s="85"/>
      <c r="O139" s="2"/>
      <c r="P139" s="92" t="n">
        <v>136</v>
      </c>
      <c r="Q139" s="93" t="n">
        <v>2980.398102886</v>
      </c>
      <c r="R139" s="93" t="n">
        <v>0.284614532338362</v>
      </c>
      <c r="S139" s="93" t="n">
        <v>0.0471530221653858</v>
      </c>
      <c r="T139" s="94" t="n">
        <v>0.00827285775567625</v>
      </c>
      <c r="U139" s="29"/>
      <c r="V139" s="29"/>
      <c r="W139" s="29"/>
      <c r="X139" s="29"/>
      <c r="Y139" s="29"/>
      <c r="Z139" s="75"/>
    </row>
    <row r="140" customFormat="false" ht="12.75" hidden="false" customHeight="true" outlineLevel="0" collapsed="false">
      <c r="A140" s="2"/>
      <c r="B140" s="2"/>
      <c r="C140" s="75"/>
      <c r="D140" s="75"/>
      <c r="E140" s="75"/>
      <c r="F140" s="75"/>
      <c r="G140" s="75"/>
      <c r="H140" s="75"/>
      <c r="I140" s="2"/>
      <c r="J140" s="83"/>
      <c r="K140" s="83"/>
      <c r="L140" s="85"/>
      <c r="M140" s="85"/>
      <c r="N140" s="85"/>
      <c r="O140" s="2"/>
      <c r="P140" s="92" t="n">
        <v>137</v>
      </c>
      <c r="Q140" s="93" t="n">
        <v>3002.641811413</v>
      </c>
      <c r="R140" s="93" t="n">
        <v>0.284494778891549</v>
      </c>
      <c r="S140" s="93" t="n">
        <v>0.0500814917775219</v>
      </c>
      <c r="T140" s="94" t="n">
        <v>0.0101036878941833</v>
      </c>
      <c r="U140" s="29"/>
      <c r="V140" s="29"/>
      <c r="W140" s="29"/>
      <c r="X140" s="29"/>
      <c r="Y140" s="29"/>
      <c r="Z140" s="75"/>
    </row>
    <row r="141" customFormat="false" ht="12.75" hidden="false" customHeight="true" outlineLevel="0" collapsed="false">
      <c r="A141" s="2"/>
      <c r="B141" s="2"/>
      <c r="C141" s="75"/>
      <c r="D141" s="75"/>
      <c r="E141" s="75"/>
      <c r="F141" s="75"/>
      <c r="G141" s="75"/>
      <c r="H141" s="75"/>
      <c r="I141" s="2"/>
      <c r="J141" s="83"/>
      <c r="K141" s="83"/>
      <c r="L141" s="85"/>
      <c r="M141" s="85"/>
      <c r="N141" s="85"/>
      <c r="O141" s="2"/>
      <c r="P141" s="92" t="n">
        <v>138</v>
      </c>
      <c r="Q141" s="93" t="n">
        <v>3024.535585408</v>
      </c>
      <c r="R141" s="93" t="n">
        <v>0.282850600096631</v>
      </c>
      <c r="S141" s="93" t="n">
        <v>0.0577305089636282</v>
      </c>
      <c r="T141" s="94" t="n">
        <v>0.0110108025309992</v>
      </c>
      <c r="U141" s="29"/>
      <c r="V141" s="29"/>
      <c r="W141" s="29"/>
      <c r="X141" s="29"/>
      <c r="Y141" s="29"/>
      <c r="Z141" s="75"/>
    </row>
    <row r="142" customFormat="false" ht="12.75" hidden="false" customHeight="true" outlineLevel="0" collapsed="false">
      <c r="A142" s="2"/>
      <c r="B142" s="2"/>
      <c r="C142" s="75"/>
      <c r="D142" s="75"/>
      <c r="E142" s="75"/>
      <c r="F142" s="75"/>
      <c r="G142" s="75"/>
      <c r="H142" s="75"/>
      <c r="I142" s="2"/>
      <c r="J142" s="83"/>
      <c r="K142" s="83"/>
      <c r="L142" s="85"/>
      <c r="M142" s="85"/>
      <c r="N142" s="85"/>
      <c r="O142" s="2"/>
      <c r="P142" s="92" t="n">
        <v>139</v>
      </c>
      <c r="Q142" s="93" t="n">
        <v>3046.306219774</v>
      </c>
      <c r="R142" s="93" t="n">
        <v>0.282822872230309</v>
      </c>
      <c r="S142" s="93" t="n">
        <v>0.060160712543494</v>
      </c>
      <c r="T142" s="94" t="n">
        <v>0.0124958957661421</v>
      </c>
      <c r="U142" s="29"/>
      <c r="V142" s="29"/>
      <c r="W142" s="29"/>
      <c r="X142" s="29"/>
      <c r="Y142" s="29"/>
      <c r="Z142" s="75"/>
    </row>
    <row r="143" customFormat="false" ht="12.75" hidden="false" customHeight="true" outlineLevel="0" collapsed="false">
      <c r="A143" s="2"/>
      <c r="B143" s="2"/>
      <c r="C143" s="75"/>
      <c r="D143" s="75"/>
      <c r="E143" s="75"/>
      <c r="F143" s="75"/>
      <c r="G143" s="75"/>
      <c r="H143" s="75"/>
      <c r="I143" s="2"/>
      <c r="J143" s="83"/>
      <c r="K143" s="83"/>
      <c r="L143" s="85"/>
      <c r="M143" s="85"/>
      <c r="N143" s="85"/>
      <c r="O143" s="2"/>
      <c r="P143" s="92" t="n">
        <v>140</v>
      </c>
      <c r="Q143" s="93" t="n">
        <v>3068.582945356</v>
      </c>
      <c r="R143" s="93" t="n">
        <v>0.280901914049771</v>
      </c>
      <c r="S143" s="93" t="n">
        <v>0.0654433434579889</v>
      </c>
      <c r="T143" s="94" t="n">
        <v>0.0137974268819422</v>
      </c>
      <c r="U143" s="29"/>
      <c r="V143" s="29"/>
      <c r="W143" s="29"/>
      <c r="X143" s="29"/>
      <c r="Y143" s="29"/>
      <c r="Z143" s="75"/>
    </row>
    <row r="144" customFormat="false" ht="12.75" hidden="false" customHeight="true" outlineLevel="0" collapsed="false">
      <c r="A144" s="2"/>
      <c r="B144" s="2"/>
      <c r="C144" s="75"/>
      <c r="D144" s="75"/>
      <c r="E144" s="75"/>
      <c r="F144" s="75"/>
      <c r="G144" s="75"/>
      <c r="H144" s="75"/>
      <c r="I144" s="2"/>
      <c r="J144" s="83"/>
      <c r="K144" s="83"/>
      <c r="L144" s="85"/>
      <c r="M144" s="85"/>
      <c r="N144" s="85"/>
      <c r="O144" s="2"/>
      <c r="P144" s="92" t="n">
        <v>141</v>
      </c>
      <c r="Q144" s="93" t="n">
        <v>3090.3373255</v>
      </c>
      <c r="R144" s="93" t="n">
        <v>0.280682585588956</v>
      </c>
      <c r="S144" s="93" t="n">
        <v>0.0666734568154075</v>
      </c>
      <c r="T144" s="94" t="n">
        <v>0.0141361084665315</v>
      </c>
      <c r="U144" s="29"/>
      <c r="V144" s="29"/>
      <c r="W144" s="29"/>
      <c r="X144" s="29"/>
      <c r="Y144" s="29"/>
      <c r="Z144" s="75"/>
    </row>
    <row r="145" customFormat="false" ht="12.75" hidden="false" customHeight="true" outlineLevel="0" collapsed="false">
      <c r="A145" s="2"/>
      <c r="B145" s="2"/>
      <c r="C145" s="75"/>
      <c r="D145" s="75"/>
      <c r="E145" s="75"/>
      <c r="F145" s="75"/>
      <c r="G145" s="75"/>
      <c r="H145" s="75"/>
      <c r="I145" s="2"/>
      <c r="J145" s="83"/>
      <c r="K145" s="83"/>
      <c r="L145" s="85"/>
      <c r="M145" s="85"/>
      <c r="N145" s="85"/>
      <c r="O145" s="2"/>
      <c r="P145" s="92" t="n">
        <v>142</v>
      </c>
      <c r="Q145" s="93" t="n">
        <v>3112.585042803</v>
      </c>
      <c r="R145" s="93" t="n">
        <v>0.278121402640088</v>
      </c>
      <c r="S145" s="93" t="n">
        <v>0.0679618623111808</v>
      </c>
      <c r="T145" s="94" t="n">
        <v>0.0152113017130712</v>
      </c>
      <c r="U145" s="29"/>
      <c r="V145" s="29"/>
      <c r="W145" s="29"/>
      <c r="X145" s="29"/>
      <c r="Y145" s="29"/>
      <c r="Z145" s="75"/>
    </row>
    <row r="146" customFormat="false" ht="12.75" hidden="false" customHeight="true" outlineLevel="0" collapsed="false">
      <c r="A146" s="2"/>
      <c r="B146" s="2"/>
      <c r="C146" s="75"/>
      <c r="D146" s="75"/>
      <c r="E146" s="75"/>
      <c r="F146" s="75"/>
      <c r="G146" s="75"/>
      <c r="H146" s="75"/>
      <c r="I146" s="2"/>
      <c r="J146" s="83"/>
      <c r="K146" s="83"/>
      <c r="L146" s="85"/>
      <c r="M146" s="85"/>
      <c r="N146" s="85"/>
      <c r="O146" s="2"/>
      <c r="P146" s="92" t="n">
        <v>143</v>
      </c>
      <c r="Q146" s="93" t="n">
        <v>3134.481782378</v>
      </c>
      <c r="R146" s="93" t="n">
        <v>0.277354059856609</v>
      </c>
      <c r="S146" s="93" t="n">
        <v>0.0683219583028489</v>
      </c>
      <c r="T146" s="94" t="n">
        <v>0.0158722814097788</v>
      </c>
      <c r="U146" s="29"/>
      <c r="V146" s="29"/>
      <c r="W146" s="29"/>
      <c r="X146" s="29"/>
      <c r="Y146" s="29"/>
      <c r="Z146" s="75"/>
    </row>
    <row r="147" customFormat="false" ht="12.75" hidden="false" customHeight="true" outlineLevel="0" collapsed="false">
      <c r="A147" s="2"/>
      <c r="B147" s="2"/>
      <c r="C147" s="75"/>
      <c r="D147" s="75"/>
      <c r="E147" s="75"/>
      <c r="F147" s="75"/>
      <c r="G147" s="75"/>
      <c r="H147" s="75"/>
      <c r="I147" s="2"/>
      <c r="J147" s="83"/>
      <c r="K147" s="83"/>
      <c r="L147" s="85"/>
      <c r="M147" s="85"/>
      <c r="N147" s="85"/>
      <c r="O147" s="2"/>
      <c r="P147" s="92" t="n">
        <v>144</v>
      </c>
      <c r="Q147" s="93" t="n">
        <v>3156.297329197</v>
      </c>
      <c r="R147" s="93" t="n">
        <v>0.277009520130253</v>
      </c>
      <c r="S147" s="93" t="n">
        <v>0.0666413646106726</v>
      </c>
      <c r="T147" s="94" t="n">
        <v>0.0160014569616347</v>
      </c>
      <c r="U147" s="29"/>
      <c r="V147" s="29"/>
      <c r="W147" s="29"/>
      <c r="X147" s="29"/>
      <c r="Y147" s="29"/>
      <c r="Z147" s="75"/>
    </row>
    <row r="148" customFormat="false" ht="12.75" hidden="false" customHeight="true" outlineLevel="0" collapsed="false">
      <c r="A148" s="2"/>
      <c r="B148" s="2"/>
      <c r="C148" s="75"/>
      <c r="D148" s="75"/>
      <c r="E148" s="75"/>
      <c r="F148" s="75"/>
      <c r="G148" s="75"/>
      <c r="H148" s="75"/>
      <c r="I148" s="2"/>
      <c r="J148" s="83"/>
      <c r="K148" s="83"/>
      <c r="L148" s="85"/>
      <c r="M148" s="85"/>
      <c r="N148" s="85"/>
      <c r="O148" s="2"/>
      <c r="P148" s="92" t="n">
        <v>145</v>
      </c>
      <c r="Q148" s="93" t="n">
        <v>3178.655312574</v>
      </c>
      <c r="R148" s="93" t="n">
        <v>0.276347676140751</v>
      </c>
      <c r="S148" s="93" t="n">
        <v>0.0610579182429229</v>
      </c>
      <c r="T148" s="94" t="n">
        <v>0.0173353925327886</v>
      </c>
      <c r="U148" s="29"/>
      <c r="V148" s="29"/>
      <c r="W148" s="29"/>
      <c r="X148" s="29"/>
      <c r="Y148" s="29"/>
      <c r="Z148" s="75"/>
    </row>
    <row r="149" customFormat="false" ht="12.75" hidden="false" customHeight="true" outlineLevel="0" collapsed="false">
      <c r="A149" s="2"/>
      <c r="B149" s="2"/>
      <c r="C149" s="75"/>
      <c r="D149" s="75"/>
      <c r="E149" s="75"/>
      <c r="F149" s="75"/>
      <c r="G149" s="75"/>
      <c r="H149" s="75"/>
      <c r="I149" s="2"/>
      <c r="J149" s="83"/>
      <c r="K149" s="83"/>
      <c r="L149" s="85"/>
      <c r="M149" s="85"/>
      <c r="N149" s="85"/>
      <c r="O149" s="2"/>
      <c r="P149" s="92" t="n">
        <v>146</v>
      </c>
      <c r="Q149" s="93" t="n">
        <v>3201.25298902</v>
      </c>
      <c r="R149" s="93" t="n">
        <v>0.277775477364995</v>
      </c>
      <c r="S149" s="93" t="n">
        <v>0.0508151128024712</v>
      </c>
      <c r="T149" s="94" t="n">
        <v>0.0181353584281612</v>
      </c>
      <c r="U149" s="29"/>
      <c r="V149" s="29"/>
      <c r="W149" s="29"/>
      <c r="X149" s="29"/>
      <c r="Y149" s="29"/>
      <c r="Z149" s="75"/>
    </row>
    <row r="150" customFormat="false" ht="12.75" hidden="false" customHeight="true" outlineLevel="0" collapsed="false">
      <c r="A150" s="2"/>
      <c r="B150" s="2"/>
      <c r="C150" s="75"/>
      <c r="D150" s="75"/>
      <c r="E150" s="75"/>
      <c r="F150" s="75"/>
      <c r="G150" s="75"/>
      <c r="H150" s="75"/>
      <c r="I150" s="2"/>
      <c r="J150" s="83"/>
      <c r="K150" s="83"/>
      <c r="L150" s="85"/>
      <c r="M150" s="85"/>
      <c r="N150" s="85"/>
      <c r="O150" s="2"/>
      <c r="P150" s="92" t="n">
        <v>147</v>
      </c>
      <c r="Q150" s="93" t="n">
        <v>3223.237160832</v>
      </c>
      <c r="R150" s="93" t="n">
        <v>0.278345613888478</v>
      </c>
      <c r="S150" s="93" t="n">
        <v>0.0465696243485242</v>
      </c>
      <c r="T150" s="94" t="n">
        <v>0.0182797747838069</v>
      </c>
      <c r="U150" s="29"/>
      <c r="V150" s="29"/>
      <c r="W150" s="29"/>
      <c r="X150" s="29"/>
      <c r="Y150" s="29"/>
      <c r="Z150" s="75"/>
    </row>
    <row r="151" customFormat="false" ht="12.75" hidden="false" customHeight="true" outlineLevel="0" collapsed="false">
      <c r="A151" s="2"/>
      <c r="B151" s="2"/>
      <c r="C151" s="75"/>
      <c r="D151" s="75"/>
      <c r="E151" s="75"/>
      <c r="F151" s="75"/>
      <c r="G151" s="75"/>
      <c r="H151" s="75"/>
      <c r="I151" s="2"/>
      <c r="J151" s="83"/>
      <c r="K151" s="83"/>
      <c r="L151" s="85"/>
      <c r="M151" s="85"/>
      <c r="N151" s="85"/>
      <c r="O151" s="2"/>
      <c r="P151" s="92" t="n">
        <v>148</v>
      </c>
      <c r="Q151" s="93" t="n">
        <v>3245.914404143</v>
      </c>
      <c r="R151" s="93" t="n">
        <v>0.277441011258777</v>
      </c>
      <c r="S151" s="93" t="n">
        <v>0.0325024174906213</v>
      </c>
      <c r="T151" s="94" t="n">
        <v>0.018982763945429</v>
      </c>
      <c r="U151" s="29"/>
      <c r="V151" s="29"/>
      <c r="W151" s="29"/>
      <c r="X151" s="29"/>
      <c r="Y151" s="29"/>
      <c r="Z151" s="75"/>
    </row>
    <row r="152" customFormat="false" ht="12.75" hidden="false" customHeight="true" outlineLevel="0" collapsed="false">
      <c r="A152" s="2"/>
      <c r="B152" s="2"/>
      <c r="C152" s="75"/>
      <c r="D152" s="75"/>
      <c r="E152" s="75"/>
      <c r="F152" s="75"/>
      <c r="G152" s="75"/>
      <c r="H152" s="75"/>
      <c r="I152" s="2"/>
      <c r="J152" s="83"/>
      <c r="K152" s="83"/>
      <c r="L152" s="85"/>
      <c r="M152" s="85"/>
      <c r="N152" s="85"/>
      <c r="O152" s="2"/>
      <c r="P152" s="92" t="n">
        <v>149</v>
      </c>
      <c r="Q152" s="93" t="n">
        <v>3267.854261262</v>
      </c>
      <c r="R152" s="93" t="n">
        <v>0.278821240288687</v>
      </c>
      <c r="S152" s="93" t="n">
        <v>0.0285068034596098</v>
      </c>
      <c r="T152" s="94" t="n">
        <v>0.0205655910317485</v>
      </c>
      <c r="U152" s="29"/>
      <c r="V152" s="29"/>
      <c r="W152" s="29"/>
      <c r="X152" s="29"/>
      <c r="Y152" s="29"/>
      <c r="Z152" s="75"/>
    </row>
    <row r="153" customFormat="false" ht="12.75" hidden="false" customHeight="true" outlineLevel="0" collapsed="false">
      <c r="A153" s="2"/>
      <c r="B153" s="2"/>
      <c r="C153" s="75"/>
      <c r="D153" s="75"/>
      <c r="E153" s="75"/>
      <c r="F153" s="75"/>
      <c r="G153" s="75"/>
      <c r="H153" s="75"/>
      <c r="I153" s="2"/>
      <c r="J153" s="83"/>
      <c r="K153" s="83"/>
      <c r="L153" s="85"/>
      <c r="M153" s="85"/>
      <c r="N153" s="85"/>
      <c r="O153" s="2"/>
      <c r="P153" s="92" t="n">
        <v>150</v>
      </c>
      <c r="Q153" s="93" t="n">
        <v>3290.073674231</v>
      </c>
      <c r="R153" s="93" t="n">
        <v>0.278693177671639</v>
      </c>
      <c r="S153" s="93" t="n">
        <v>0.0168878208768926</v>
      </c>
      <c r="T153" s="94" t="n">
        <v>0.0213162119907463</v>
      </c>
      <c r="U153" s="29"/>
      <c r="V153" s="29"/>
      <c r="W153" s="29"/>
      <c r="X153" s="29"/>
      <c r="Y153" s="29"/>
      <c r="Z153" s="75"/>
    </row>
    <row r="154" customFormat="false" ht="12.75" hidden="false" customHeight="true" outlineLevel="0" collapsed="false">
      <c r="A154" s="2"/>
      <c r="B154" s="2"/>
      <c r="C154" s="75"/>
      <c r="D154" s="75"/>
      <c r="E154" s="75"/>
      <c r="F154" s="75"/>
      <c r="G154" s="75"/>
      <c r="H154" s="75"/>
      <c r="I154" s="2"/>
      <c r="J154" s="83"/>
      <c r="K154" s="83"/>
      <c r="L154" s="85"/>
      <c r="M154" s="85"/>
      <c r="N154" s="85"/>
      <c r="O154" s="2"/>
      <c r="P154" s="92" t="n">
        <v>151</v>
      </c>
      <c r="Q154" s="93" t="n">
        <v>3311.834516511</v>
      </c>
      <c r="R154" s="93" t="n">
        <v>0.279317825373515</v>
      </c>
      <c r="S154" s="93" t="n">
        <v>0.0148095528147595</v>
      </c>
      <c r="T154" s="94" t="n">
        <v>0.0223235919096136</v>
      </c>
      <c r="U154" s="29"/>
      <c r="V154" s="29"/>
      <c r="W154" s="29"/>
      <c r="X154" s="29"/>
      <c r="Y154" s="29"/>
      <c r="Z154" s="75"/>
    </row>
    <row r="155" customFormat="false" ht="12.75" hidden="false" customHeight="true" outlineLevel="0" collapsed="false">
      <c r="A155" s="2"/>
      <c r="B155" s="2"/>
      <c r="C155" s="75"/>
      <c r="D155" s="75"/>
      <c r="E155" s="75"/>
      <c r="F155" s="75"/>
      <c r="G155" s="75"/>
      <c r="H155" s="75"/>
      <c r="I155" s="2"/>
      <c r="J155" s="83"/>
      <c r="K155" s="83"/>
      <c r="L155" s="85"/>
      <c r="M155" s="85"/>
      <c r="N155" s="85"/>
      <c r="O155" s="2"/>
      <c r="P155" s="92" t="n">
        <v>152</v>
      </c>
      <c r="Q155" s="93" t="n">
        <v>3333.994077347</v>
      </c>
      <c r="R155" s="93" t="n">
        <v>0.278481835958288</v>
      </c>
      <c r="S155" s="93" t="n">
        <v>0.0109161783030763</v>
      </c>
      <c r="T155" s="94" t="n">
        <v>0.023131081224016</v>
      </c>
      <c r="U155" s="29"/>
      <c r="V155" s="29"/>
      <c r="W155" s="29"/>
      <c r="X155" s="29"/>
      <c r="Y155" s="29"/>
      <c r="Z155" s="75"/>
    </row>
    <row r="156" customFormat="false" ht="12.75" hidden="false" customHeight="true" outlineLevel="0" collapsed="false">
      <c r="A156" s="2"/>
      <c r="B156" s="2"/>
      <c r="C156" s="75"/>
      <c r="D156" s="75"/>
      <c r="E156" s="75"/>
      <c r="F156" s="75"/>
      <c r="G156" s="75"/>
      <c r="H156" s="75"/>
      <c r="I156" s="2"/>
      <c r="J156" s="83"/>
      <c r="K156" s="83"/>
      <c r="L156" s="85"/>
      <c r="M156" s="85"/>
      <c r="N156" s="85"/>
      <c r="O156" s="2"/>
      <c r="P156" s="92" t="n">
        <v>153</v>
      </c>
      <c r="Q156" s="93" t="n">
        <v>3355.945812642</v>
      </c>
      <c r="R156" s="93" t="n">
        <v>0.278090137581909</v>
      </c>
      <c r="S156" s="93" t="n">
        <v>0.0107720205598985</v>
      </c>
      <c r="T156" s="94" t="n">
        <v>0.0231764574152911</v>
      </c>
      <c r="U156" s="29"/>
      <c r="V156" s="29"/>
      <c r="W156" s="29"/>
      <c r="X156" s="29"/>
      <c r="Y156" s="29"/>
      <c r="Z156" s="75"/>
    </row>
    <row r="157" customFormat="false" ht="12.75" hidden="false" customHeight="true" outlineLevel="0" collapsed="false">
      <c r="A157" s="2"/>
      <c r="B157" s="2"/>
      <c r="C157" s="75"/>
      <c r="D157" s="75"/>
      <c r="E157" s="75"/>
      <c r="F157" s="75"/>
      <c r="G157" s="75"/>
      <c r="H157" s="75"/>
      <c r="I157" s="2"/>
      <c r="J157" s="83"/>
      <c r="K157" s="83"/>
      <c r="L157" s="85"/>
      <c r="M157" s="85"/>
      <c r="N157" s="85"/>
      <c r="O157" s="2"/>
      <c r="P157" s="92" t="n">
        <v>154</v>
      </c>
      <c r="Q157" s="93" t="n">
        <v>3378.708299939</v>
      </c>
      <c r="R157" s="93" t="n">
        <v>0.276861164765228</v>
      </c>
      <c r="S157" s="93" t="n">
        <v>0.0128209546610215</v>
      </c>
      <c r="T157" s="94" t="n">
        <v>0.0234626928261521</v>
      </c>
      <c r="U157" s="29"/>
      <c r="V157" s="29"/>
      <c r="W157" s="29"/>
      <c r="X157" s="29"/>
      <c r="Y157" s="29"/>
      <c r="Z157" s="75"/>
    </row>
    <row r="158" customFormat="false" ht="12.75" hidden="false" customHeight="true" outlineLevel="0" collapsed="false">
      <c r="A158" s="2"/>
      <c r="B158" s="2"/>
      <c r="C158" s="75"/>
      <c r="D158" s="75"/>
      <c r="E158" s="75"/>
      <c r="F158" s="75"/>
      <c r="G158" s="75"/>
      <c r="H158" s="75"/>
      <c r="I158" s="2"/>
      <c r="J158" s="83"/>
      <c r="K158" s="83"/>
      <c r="L158" s="85"/>
      <c r="M158" s="85"/>
      <c r="N158" s="85"/>
      <c r="O158" s="2"/>
      <c r="P158" s="92" t="n">
        <v>155</v>
      </c>
      <c r="Q158" s="93" t="n">
        <v>3400.406007848</v>
      </c>
      <c r="R158" s="93" t="n">
        <v>0.275817459662075</v>
      </c>
      <c r="S158" s="93" t="n">
        <v>0.0141328444093007</v>
      </c>
      <c r="T158" s="94" t="n">
        <v>0.0234324738571585</v>
      </c>
      <c r="U158" s="29"/>
      <c r="V158" s="29"/>
      <c r="W158" s="29"/>
      <c r="X158" s="29"/>
      <c r="Y158" s="29"/>
      <c r="Z158" s="75"/>
    </row>
    <row r="159" customFormat="false" ht="12.75" hidden="false" customHeight="true" outlineLevel="0" collapsed="false">
      <c r="A159" s="2"/>
      <c r="B159" s="2"/>
      <c r="C159" s="75"/>
      <c r="D159" s="75"/>
      <c r="E159" s="75"/>
      <c r="F159" s="75"/>
      <c r="G159" s="75"/>
      <c r="H159" s="75"/>
      <c r="I159" s="2"/>
      <c r="J159" s="83"/>
      <c r="K159" s="83"/>
      <c r="L159" s="85"/>
      <c r="M159" s="85"/>
      <c r="N159" s="85"/>
      <c r="O159" s="2"/>
      <c r="P159" s="92" t="n">
        <v>156</v>
      </c>
      <c r="Q159" s="93" t="n">
        <v>3422.532273301</v>
      </c>
      <c r="R159" s="93" t="n">
        <v>0.274830935701855</v>
      </c>
      <c r="S159" s="93" t="n">
        <v>0.0167026012879714</v>
      </c>
      <c r="T159" s="94" t="n">
        <v>0.0243706502517253</v>
      </c>
      <c r="U159" s="29"/>
      <c r="V159" s="29"/>
      <c r="W159" s="29"/>
      <c r="X159" s="29"/>
      <c r="Y159" s="29"/>
      <c r="Z159" s="75"/>
    </row>
    <row r="160" customFormat="false" ht="12.75" hidden="false" customHeight="true" outlineLevel="0" collapsed="false">
      <c r="A160" s="2"/>
      <c r="B160" s="2"/>
      <c r="C160" s="75"/>
      <c r="D160" s="75"/>
      <c r="E160" s="75"/>
      <c r="F160" s="75"/>
      <c r="G160" s="75"/>
      <c r="H160" s="75"/>
      <c r="I160" s="2"/>
      <c r="J160" s="83"/>
      <c r="K160" s="83"/>
      <c r="L160" s="85"/>
      <c r="M160" s="85"/>
      <c r="N160" s="85"/>
      <c r="O160" s="2"/>
      <c r="P160" s="92" t="n">
        <v>157</v>
      </c>
      <c r="Q160" s="93" t="n">
        <v>3445.372175748</v>
      </c>
      <c r="R160" s="93" t="n">
        <v>0.273570926036186</v>
      </c>
      <c r="S160" s="93" t="n">
        <v>0.0243854208130847</v>
      </c>
      <c r="T160" s="94" t="n">
        <v>0.0256747840572433</v>
      </c>
      <c r="U160" s="29"/>
      <c r="V160" s="29"/>
      <c r="W160" s="29"/>
      <c r="X160" s="29"/>
      <c r="Y160" s="29"/>
      <c r="Z160" s="75"/>
    </row>
    <row r="161" customFormat="false" ht="12.75" hidden="false" customHeight="true" outlineLevel="0" collapsed="false">
      <c r="A161" s="2"/>
      <c r="B161" s="2"/>
      <c r="C161" s="75"/>
      <c r="D161" s="75"/>
      <c r="E161" s="75"/>
      <c r="F161" s="75"/>
      <c r="G161" s="75"/>
      <c r="H161" s="75"/>
      <c r="I161" s="2"/>
      <c r="J161" s="83"/>
      <c r="K161" s="83"/>
      <c r="L161" s="85"/>
      <c r="M161" s="85"/>
      <c r="N161" s="85"/>
      <c r="O161" s="2"/>
      <c r="P161" s="92" t="n">
        <v>158</v>
      </c>
      <c r="Q161" s="93" t="n">
        <v>3466.82731292</v>
      </c>
      <c r="R161" s="93" t="n">
        <v>0.272554247816581</v>
      </c>
      <c r="S161" s="93" t="n">
        <v>0.0248904044161796</v>
      </c>
      <c r="T161" s="94" t="n">
        <v>0.0248196235021028</v>
      </c>
      <c r="U161" s="29"/>
      <c r="V161" s="29"/>
      <c r="W161" s="29"/>
      <c r="X161" s="29"/>
      <c r="Y161" s="29"/>
      <c r="Z161" s="75"/>
    </row>
    <row r="162" customFormat="false" ht="12.75" hidden="false" customHeight="true" outlineLevel="0" collapsed="false">
      <c r="A162" s="2"/>
      <c r="B162" s="2"/>
      <c r="C162" s="75"/>
      <c r="D162" s="75"/>
      <c r="E162" s="75"/>
      <c r="F162" s="75"/>
      <c r="G162" s="75"/>
      <c r="H162" s="75"/>
      <c r="I162" s="2"/>
      <c r="J162" s="83"/>
      <c r="K162" s="83"/>
      <c r="L162" s="85"/>
      <c r="M162" s="85"/>
      <c r="N162" s="85"/>
      <c r="O162" s="2"/>
      <c r="P162" s="92" t="n">
        <v>159</v>
      </c>
      <c r="Q162" s="93" t="n">
        <v>3489.682558916</v>
      </c>
      <c r="R162" s="93" t="n">
        <v>0.272803687795429</v>
      </c>
      <c r="S162" s="93" t="n">
        <v>0.0259362329833693</v>
      </c>
      <c r="T162" s="94" t="n">
        <v>0.0257107230806836</v>
      </c>
      <c r="U162" s="29"/>
      <c r="V162" s="29"/>
      <c r="W162" s="29"/>
      <c r="X162" s="29"/>
      <c r="Y162" s="29"/>
      <c r="Z162" s="75"/>
    </row>
    <row r="163" customFormat="false" ht="12.75" hidden="false" customHeight="true" outlineLevel="0" collapsed="false">
      <c r="A163" s="2"/>
      <c r="B163" s="2"/>
      <c r="C163" s="75"/>
      <c r="D163" s="75"/>
      <c r="E163" s="75"/>
      <c r="F163" s="75"/>
      <c r="G163" s="75"/>
      <c r="H163" s="75"/>
      <c r="I163" s="2"/>
      <c r="J163" s="83"/>
      <c r="K163" s="83"/>
      <c r="L163" s="85"/>
      <c r="M163" s="85"/>
      <c r="N163" s="85"/>
      <c r="O163" s="2"/>
      <c r="P163" s="92" t="n">
        <v>160</v>
      </c>
      <c r="Q163" s="93" t="n">
        <v>3511.901565539</v>
      </c>
      <c r="R163" s="93" t="n">
        <v>0.271907540648267</v>
      </c>
      <c r="S163" s="93" t="n">
        <v>0.0244962510475948</v>
      </c>
      <c r="T163" s="94" t="n">
        <v>0.0251498782051899</v>
      </c>
      <c r="U163" s="29"/>
      <c r="V163" s="29"/>
      <c r="W163" s="29"/>
      <c r="X163" s="29"/>
      <c r="Y163" s="29"/>
      <c r="Z163" s="75"/>
    </row>
    <row r="164" customFormat="false" ht="12.75" hidden="false" customHeight="true" outlineLevel="0" collapsed="false">
      <c r="A164" s="2"/>
      <c r="B164" s="2"/>
      <c r="C164" s="75"/>
      <c r="D164" s="75"/>
      <c r="E164" s="75"/>
      <c r="F164" s="75"/>
      <c r="G164" s="75"/>
      <c r="H164" s="75"/>
      <c r="I164" s="2"/>
      <c r="J164" s="83"/>
      <c r="K164" s="83"/>
      <c r="L164" s="85"/>
      <c r="M164" s="85"/>
      <c r="N164" s="85"/>
      <c r="O164" s="2"/>
      <c r="P164" s="92" t="n">
        <v>161</v>
      </c>
      <c r="Q164" s="93" t="n">
        <v>3534.744907856</v>
      </c>
      <c r="R164" s="93" t="n">
        <v>0.272142823159021</v>
      </c>
      <c r="S164" s="93" t="n">
        <v>0.0195593311969818</v>
      </c>
      <c r="T164" s="94" t="n">
        <v>0.0256256480355942</v>
      </c>
      <c r="U164" s="29"/>
      <c r="V164" s="29"/>
      <c r="W164" s="29"/>
      <c r="X164" s="29"/>
      <c r="Y164" s="29"/>
      <c r="Z164" s="75"/>
    </row>
    <row r="165" customFormat="false" ht="12.75" hidden="false" customHeight="true" outlineLevel="0" collapsed="false">
      <c r="A165" s="2"/>
      <c r="B165" s="2"/>
      <c r="C165" s="75"/>
      <c r="D165" s="75"/>
      <c r="E165" s="75"/>
      <c r="F165" s="75"/>
      <c r="G165" s="75"/>
      <c r="H165" s="75"/>
      <c r="I165" s="2"/>
      <c r="J165" s="83"/>
      <c r="K165" s="83"/>
      <c r="L165" s="85"/>
      <c r="M165" s="85"/>
      <c r="N165" s="85"/>
      <c r="O165" s="2"/>
      <c r="P165" s="92" t="n">
        <v>162</v>
      </c>
      <c r="Q165" s="93" t="n">
        <v>3556.80805495</v>
      </c>
      <c r="R165" s="93" t="n">
        <v>0.271605064989031</v>
      </c>
      <c r="S165" s="93" t="n">
        <v>0.019302603046457</v>
      </c>
      <c r="T165" s="94" t="n">
        <v>0.0247547244612798</v>
      </c>
      <c r="U165" s="29"/>
      <c r="V165" s="29"/>
      <c r="W165" s="29"/>
      <c r="X165" s="29"/>
      <c r="Y165" s="29"/>
      <c r="Z165" s="75"/>
    </row>
    <row r="166" customFormat="false" ht="12.75" hidden="false" customHeight="true" outlineLevel="0" collapsed="false">
      <c r="A166" s="2"/>
      <c r="B166" s="2"/>
      <c r="C166" s="75"/>
      <c r="D166" s="75"/>
      <c r="E166" s="75"/>
      <c r="F166" s="75"/>
      <c r="G166" s="75"/>
      <c r="H166" s="75"/>
      <c r="I166" s="2"/>
      <c r="J166" s="83"/>
      <c r="K166" s="83"/>
      <c r="L166" s="85"/>
      <c r="M166" s="85"/>
      <c r="N166" s="85"/>
      <c r="O166" s="2"/>
      <c r="P166" s="92" t="n">
        <v>163</v>
      </c>
      <c r="Q166" s="93" t="n">
        <v>3579.52304748</v>
      </c>
      <c r="R166" s="93" t="n">
        <v>0.27225418342268</v>
      </c>
      <c r="S166" s="93" t="n">
        <v>0.0178296153347578</v>
      </c>
      <c r="T166" s="94" t="n">
        <v>0.0237804087193137</v>
      </c>
      <c r="U166" s="29"/>
      <c r="V166" s="29"/>
      <c r="W166" s="29"/>
      <c r="X166" s="29"/>
      <c r="Y166" s="29"/>
      <c r="Z166" s="75"/>
    </row>
    <row r="167" customFormat="false" ht="12.75" hidden="false" customHeight="true" outlineLevel="0" collapsed="false">
      <c r="A167" s="2"/>
      <c r="B167" s="2"/>
      <c r="C167" s="75"/>
      <c r="D167" s="75"/>
      <c r="E167" s="75"/>
      <c r="F167" s="75"/>
      <c r="G167" s="75"/>
      <c r="H167" s="75"/>
      <c r="I167" s="2"/>
      <c r="J167" s="83"/>
      <c r="K167" s="83"/>
      <c r="L167" s="85"/>
      <c r="M167" s="85"/>
      <c r="N167" s="85"/>
      <c r="O167" s="2"/>
      <c r="P167" s="92" t="n">
        <v>164</v>
      </c>
      <c r="Q167" s="93" t="n">
        <v>3601.341344609</v>
      </c>
      <c r="R167" s="93" t="n">
        <v>0.271495534091376</v>
      </c>
      <c r="S167" s="93" t="n">
        <v>0.0185691494587729</v>
      </c>
      <c r="T167" s="94" t="n">
        <v>0.0234327140778547</v>
      </c>
      <c r="U167" s="29"/>
      <c r="V167" s="29"/>
      <c r="W167" s="29"/>
      <c r="X167" s="29"/>
      <c r="Y167" s="29"/>
      <c r="Z167" s="75"/>
    </row>
    <row r="168" customFormat="false" ht="12.75" hidden="false" customHeight="true" outlineLevel="0" collapsed="false">
      <c r="A168" s="2"/>
      <c r="B168" s="2"/>
      <c r="C168" s="75"/>
      <c r="D168" s="75"/>
      <c r="E168" s="75"/>
      <c r="F168" s="75"/>
      <c r="G168" s="75"/>
      <c r="H168" s="75"/>
      <c r="I168" s="2"/>
      <c r="J168" s="83"/>
      <c r="K168" s="83"/>
      <c r="L168" s="85"/>
      <c r="M168" s="85"/>
      <c r="N168" s="85"/>
      <c r="O168" s="2"/>
      <c r="P168" s="92" t="n">
        <v>165</v>
      </c>
      <c r="Q168" s="93" t="n">
        <v>3624.078744401</v>
      </c>
      <c r="R168" s="93" t="n">
        <v>0.271035242910274</v>
      </c>
      <c r="S168" s="93" t="n">
        <v>0.019806302027436</v>
      </c>
      <c r="T168" s="94" t="n">
        <v>0.0224416380045477</v>
      </c>
      <c r="U168" s="29"/>
      <c r="V168" s="29"/>
      <c r="W168" s="29"/>
      <c r="X168" s="29"/>
      <c r="Y168" s="29"/>
      <c r="Z168" s="75"/>
    </row>
    <row r="169" customFormat="false" ht="12.75" hidden="false" customHeight="true" outlineLevel="0" collapsed="false">
      <c r="A169" s="2"/>
      <c r="B169" s="2"/>
      <c r="C169" s="75"/>
      <c r="D169" s="75"/>
      <c r="E169" s="75"/>
      <c r="F169" s="75"/>
      <c r="G169" s="75"/>
      <c r="H169" s="75"/>
      <c r="I169" s="2"/>
      <c r="J169" s="83"/>
      <c r="K169" s="83"/>
      <c r="L169" s="85"/>
      <c r="M169" s="85"/>
      <c r="N169" s="85"/>
      <c r="O169" s="2"/>
      <c r="P169" s="92" t="n">
        <v>166</v>
      </c>
      <c r="Q169" s="93" t="n">
        <v>3646.168190711</v>
      </c>
      <c r="R169" s="93" t="n">
        <v>0.270877697922988</v>
      </c>
      <c r="S169" s="93" t="n">
        <v>0.0206954558116743</v>
      </c>
      <c r="T169" s="94" t="n">
        <v>0.0228436485259254</v>
      </c>
      <c r="U169" s="29"/>
      <c r="V169" s="29"/>
      <c r="W169" s="29"/>
      <c r="X169" s="29"/>
      <c r="Y169" s="29"/>
      <c r="Z169" s="75"/>
    </row>
    <row r="170" customFormat="false" ht="12.75" hidden="false" customHeight="true" outlineLevel="0" collapsed="false">
      <c r="A170" s="2"/>
      <c r="B170" s="2"/>
      <c r="C170" s="75"/>
      <c r="D170" s="75"/>
      <c r="E170" s="75"/>
      <c r="F170" s="75"/>
      <c r="G170" s="75"/>
      <c r="H170" s="75"/>
      <c r="I170" s="2"/>
      <c r="J170" s="83"/>
      <c r="K170" s="83"/>
      <c r="L170" s="85"/>
      <c r="M170" s="85"/>
      <c r="N170" s="85"/>
      <c r="O170" s="2"/>
      <c r="P170" s="92" t="n">
        <v>167</v>
      </c>
      <c r="Q170" s="93" t="n">
        <v>3668.952934867</v>
      </c>
      <c r="R170" s="93" t="n">
        <v>0.271534453650117</v>
      </c>
      <c r="S170" s="93" t="n">
        <v>0.0211563720227231</v>
      </c>
      <c r="T170" s="94" t="n">
        <v>0.0205271602778797</v>
      </c>
      <c r="U170" s="29"/>
      <c r="V170" s="29"/>
      <c r="W170" s="29"/>
      <c r="X170" s="29"/>
      <c r="Y170" s="29"/>
      <c r="Z170" s="75"/>
    </row>
    <row r="171" customFormat="false" ht="12.75" hidden="false" customHeight="true" outlineLevel="0" collapsed="false">
      <c r="A171" s="2"/>
      <c r="B171" s="2"/>
      <c r="C171" s="75"/>
      <c r="D171" s="75"/>
      <c r="E171" s="75"/>
      <c r="F171" s="75"/>
      <c r="G171" s="75"/>
      <c r="H171" s="75"/>
      <c r="I171" s="2"/>
      <c r="J171" s="83"/>
      <c r="K171" s="83"/>
      <c r="L171" s="85"/>
      <c r="M171" s="85"/>
      <c r="N171" s="85"/>
      <c r="O171" s="2"/>
      <c r="P171" s="92" t="n">
        <v>168</v>
      </c>
      <c r="Q171" s="93" t="n">
        <v>3690.796273717</v>
      </c>
      <c r="R171" s="93" t="n">
        <v>0.272046277148442</v>
      </c>
      <c r="S171" s="93" t="n">
        <v>0.0217627414961899</v>
      </c>
      <c r="T171" s="94" t="n">
        <v>0.0215693574552919</v>
      </c>
      <c r="U171" s="29"/>
      <c r="V171" s="29"/>
      <c r="W171" s="29"/>
      <c r="X171" s="29"/>
      <c r="Y171" s="29"/>
      <c r="Z171" s="75"/>
    </row>
    <row r="172" customFormat="false" ht="12.75" hidden="false" customHeight="true" outlineLevel="0" collapsed="false">
      <c r="A172" s="2"/>
      <c r="B172" s="2"/>
      <c r="C172" s="75"/>
      <c r="D172" s="75"/>
      <c r="E172" s="75"/>
      <c r="F172" s="75"/>
      <c r="G172" s="75"/>
      <c r="H172" s="75"/>
      <c r="I172" s="2"/>
      <c r="J172" s="83"/>
      <c r="K172" s="83"/>
      <c r="L172" s="85"/>
      <c r="M172" s="85"/>
      <c r="N172" s="85"/>
      <c r="O172" s="2"/>
      <c r="P172" s="92" t="n">
        <v>169</v>
      </c>
      <c r="Q172" s="93" t="n">
        <v>3713.675537928</v>
      </c>
      <c r="R172" s="93" t="n">
        <v>0.272617140893009</v>
      </c>
      <c r="S172" s="93" t="n">
        <v>0.021561112272064</v>
      </c>
      <c r="T172" s="94" t="n">
        <v>0.0212405138409515</v>
      </c>
      <c r="U172" s="29"/>
      <c r="V172" s="29"/>
      <c r="W172" s="29"/>
      <c r="X172" s="29"/>
      <c r="Y172" s="29"/>
      <c r="Z172" s="75"/>
    </row>
    <row r="173" customFormat="false" ht="12.75" hidden="false" customHeight="true" outlineLevel="0" collapsed="false">
      <c r="A173" s="2"/>
      <c r="B173" s="2"/>
      <c r="C173" s="75"/>
      <c r="D173" s="75"/>
      <c r="E173" s="75"/>
      <c r="F173" s="75"/>
      <c r="G173" s="75"/>
      <c r="H173" s="75"/>
      <c r="I173" s="2"/>
      <c r="J173" s="83"/>
      <c r="K173" s="83"/>
      <c r="L173" s="85"/>
      <c r="M173" s="85"/>
      <c r="N173" s="85"/>
      <c r="O173" s="2"/>
      <c r="P173" s="92" t="n">
        <v>170</v>
      </c>
      <c r="Q173" s="93" t="n">
        <v>3735.635257431</v>
      </c>
      <c r="R173" s="93" t="n">
        <v>0.273446166378269</v>
      </c>
      <c r="S173" s="93" t="n">
        <v>0.0232189881312283</v>
      </c>
      <c r="T173" s="94" t="n">
        <v>0.0227001738923538</v>
      </c>
      <c r="U173" s="29"/>
      <c r="V173" s="29"/>
      <c r="W173" s="29"/>
      <c r="X173" s="29"/>
      <c r="Y173" s="29"/>
      <c r="Z173" s="75"/>
    </row>
    <row r="174" customFormat="false" ht="12.75" hidden="false" customHeight="true" outlineLevel="0" collapsed="false">
      <c r="A174" s="2"/>
      <c r="B174" s="2"/>
      <c r="C174" s="75"/>
      <c r="D174" s="75"/>
      <c r="E174" s="75"/>
      <c r="F174" s="75"/>
      <c r="G174" s="75"/>
      <c r="H174" s="75"/>
      <c r="I174" s="2"/>
      <c r="J174" s="83"/>
      <c r="K174" s="83"/>
      <c r="L174" s="85"/>
      <c r="M174" s="85"/>
      <c r="N174" s="85"/>
      <c r="O174" s="2"/>
      <c r="P174" s="92" t="n">
        <v>171</v>
      </c>
      <c r="Q174" s="93" t="n">
        <v>3758.465997873</v>
      </c>
      <c r="R174" s="93" t="n">
        <v>0.273833839566141</v>
      </c>
      <c r="S174" s="93" t="n">
        <v>0.0259751093819264</v>
      </c>
      <c r="T174" s="94" t="n">
        <v>0.0233802600293124</v>
      </c>
      <c r="U174" s="29"/>
      <c r="V174" s="29"/>
      <c r="W174" s="29"/>
      <c r="X174" s="29"/>
      <c r="Y174" s="29"/>
      <c r="Z174" s="75"/>
    </row>
    <row r="175" customFormat="false" ht="12.75" hidden="false" customHeight="true" outlineLevel="0" collapsed="false">
      <c r="A175" s="2"/>
      <c r="B175" s="2"/>
      <c r="C175" s="75"/>
      <c r="D175" s="75"/>
      <c r="E175" s="75"/>
      <c r="F175" s="75"/>
      <c r="G175" s="75"/>
      <c r="H175" s="75"/>
      <c r="I175" s="2"/>
      <c r="J175" s="83"/>
      <c r="K175" s="83"/>
      <c r="L175" s="85"/>
      <c r="M175" s="85"/>
      <c r="N175" s="85"/>
      <c r="O175" s="2"/>
      <c r="P175" s="92" t="n">
        <v>172</v>
      </c>
      <c r="Q175" s="93" t="n">
        <v>3780.3977419</v>
      </c>
      <c r="R175" s="93" t="n">
        <v>0.274504425095376</v>
      </c>
      <c r="S175" s="93" t="n">
        <v>0.028574152735495</v>
      </c>
      <c r="T175" s="94" t="n">
        <v>0.0250548258703116</v>
      </c>
      <c r="U175" s="29"/>
      <c r="V175" s="29"/>
      <c r="W175" s="29"/>
      <c r="X175" s="29"/>
      <c r="Y175" s="29"/>
      <c r="Z175" s="75"/>
    </row>
    <row r="176" customFormat="false" ht="12.75" hidden="false" customHeight="true" outlineLevel="0" collapsed="false">
      <c r="A176" s="2"/>
      <c r="B176" s="2"/>
      <c r="C176" s="75"/>
      <c r="D176" s="75"/>
      <c r="E176" s="75"/>
      <c r="F176" s="75"/>
      <c r="G176" s="75"/>
      <c r="H176" s="75"/>
      <c r="I176" s="2"/>
      <c r="J176" s="83"/>
      <c r="K176" s="83"/>
      <c r="L176" s="85"/>
      <c r="M176" s="85"/>
      <c r="N176" s="85"/>
      <c r="O176" s="2"/>
      <c r="P176" s="92" t="n">
        <v>173</v>
      </c>
      <c r="Q176" s="93" t="n">
        <v>3802.640787695</v>
      </c>
      <c r="R176" s="93" t="n">
        <v>0.274839076705775</v>
      </c>
      <c r="S176" s="93" t="n">
        <v>0.0339809845958889</v>
      </c>
      <c r="T176" s="94" t="n">
        <v>0.0262262416594772</v>
      </c>
      <c r="U176" s="29"/>
      <c r="V176" s="29"/>
      <c r="W176" s="29"/>
      <c r="X176" s="29"/>
      <c r="Y176" s="29"/>
      <c r="Z176" s="75"/>
    </row>
    <row r="177" customFormat="false" ht="12.75" hidden="false" customHeight="true" outlineLevel="0" collapsed="false">
      <c r="A177" s="2"/>
      <c r="B177" s="2"/>
      <c r="C177" s="75"/>
      <c r="D177" s="75"/>
      <c r="E177" s="75"/>
      <c r="F177" s="75"/>
      <c r="G177" s="75"/>
      <c r="H177" s="75"/>
      <c r="I177" s="2"/>
      <c r="J177" s="83"/>
      <c r="K177" s="83"/>
      <c r="L177" s="85"/>
      <c r="M177" s="85"/>
      <c r="N177" s="85"/>
      <c r="O177" s="2"/>
      <c r="P177" s="92" t="n">
        <v>174</v>
      </c>
      <c r="Q177" s="93" t="n">
        <v>3824.539377304</v>
      </c>
      <c r="R177" s="93" t="n">
        <v>0.27524963925272</v>
      </c>
      <c r="S177" s="93" t="n">
        <v>0.0357367203605651</v>
      </c>
      <c r="T177" s="94" t="n">
        <v>0.026767844888966</v>
      </c>
      <c r="U177" s="29"/>
      <c r="V177" s="29"/>
      <c r="W177" s="29"/>
      <c r="X177" s="29"/>
      <c r="Y177" s="29"/>
      <c r="Z177" s="75"/>
    </row>
    <row r="178" customFormat="false" ht="12.75" hidden="false" customHeight="true" outlineLevel="0" collapsed="false">
      <c r="A178" s="2"/>
      <c r="B178" s="2"/>
      <c r="C178" s="75"/>
      <c r="D178" s="75"/>
      <c r="E178" s="75"/>
      <c r="F178" s="75"/>
      <c r="G178" s="75"/>
      <c r="H178" s="75"/>
      <c r="I178" s="2"/>
      <c r="J178" s="83"/>
      <c r="K178" s="83"/>
      <c r="L178" s="85"/>
      <c r="M178" s="85"/>
      <c r="N178" s="85"/>
      <c r="O178" s="2"/>
      <c r="P178" s="92" t="n">
        <v>175</v>
      </c>
      <c r="Q178" s="93" t="n">
        <v>3847.557389683</v>
      </c>
      <c r="R178" s="93" t="n">
        <v>0.27555219722265</v>
      </c>
      <c r="S178" s="93" t="n">
        <v>0.0421126477621519</v>
      </c>
      <c r="T178" s="94" t="n">
        <v>0.0287897503153793</v>
      </c>
      <c r="U178" s="29"/>
      <c r="V178" s="29"/>
      <c r="W178" s="29"/>
      <c r="X178" s="29"/>
      <c r="Y178" s="29"/>
      <c r="Z178" s="75"/>
    </row>
    <row r="179" customFormat="false" ht="12.75" hidden="false" customHeight="true" outlineLevel="0" collapsed="false">
      <c r="A179" s="2"/>
      <c r="B179" s="2"/>
      <c r="C179" s="75"/>
      <c r="D179" s="75"/>
      <c r="E179" s="75"/>
      <c r="F179" s="75"/>
      <c r="G179" s="75"/>
      <c r="H179" s="75"/>
      <c r="I179" s="2"/>
      <c r="J179" s="83"/>
      <c r="K179" s="83"/>
      <c r="L179" s="85"/>
      <c r="M179" s="85"/>
      <c r="N179" s="85"/>
      <c r="O179" s="2"/>
      <c r="P179" s="92" t="n">
        <v>176</v>
      </c>
      <c r="Q179" s="93" t="n">
        <v>3869.394856389</v>
      </c>
      <c r="R179" s="93" t="n">
        <v>0.274956829242058</v>
      </c>
      <c r="S179" s="93" t="n">
        <v>0.0423577214792597</v>
      </c>
      <c r="T179" s="94" t="n">
        <v>0.0278386184315311</v>
      </c>
      <c r="U179" s="29"/>
      <c r="V179" s="29"/>
      <c r="W179" s="29"/>
      <c r="X179" s="29"/>
      <c r="Y179" s="29"/>
      <c r="Z179" s="75"/>
    </row>
    <row r="180" customFormat="false" ht="12.75" hidden="false" customHeight="true" outlineLevel="0" collapsed="false">
      <c r="A180" s="2"/>
      <c r="B180" s="2"/>
      <c r="C180" s="75"/>
      <c r="D180" s="75"/>
      <c r="E180" s="75"/>
      <c r="F180" s="75"/>
      <c r="G180" s="75"/>
      <c r="H180" s="75"/>
      <c r="I180" s="2"/>
      <c r="J180" s="83"/>
      <c r="K180" s="83"/>
      <c r="L180" s="85"/>
      <c r="M180" s="85"/>
      <c r="N180" s="85"/>
      <c r="O180" s="2"/>
      <c r="P180" s="92" t="n">
        <v>177</v>
      </c>
      <c r="Q180" s="93" t="n">
        <v>3892.038442503</v>
      </c>
      <c r="R180" s="93" t="n">
        <v>0.274401391601738</v>
      </c>
      <c r="S180" s="93" t="n">
        <v>0.0416636959367431</v>
      </c>
      <c r="T180" s="94" t="n">
        <v>0.0288026380638773</v>
      </c>
      <c r="U180" s="29"/>
      <c r="V180" s="29"/>
      <c r="W180" s="29"/>
      <c r="X180" s="29"/>
      <c r="Y180" s="29"/>
      <c r="Z180" s="75"/>
    </row>
    <row r="181" customFormat="false" ht="12.75" hidden="false" customHeight="true" outlineLevel="0" collapsed="false">
      <c r="A181" s="2"/>
      <c r="B181" s="2"/>
      <c r="C181" s="75"/>
      <c r="D181" s="75"/>
      <c r="E181" s="75"/>
      <c r="F181" s="75"/>
      <c r="G181" s="75"/>
      <c r="H181" s="75"/>
      <c r="I181" s="2"/>
      <c r="J181" s="83"/>
      <c r="K181" s="83"/>
      <c r="L181" s="85"/>
      <c r="M181" s="85"/>
      <c r="N181" s="85"/>
      <c r="O181" s="2"/>
      <c r="P181" s="92" t="n">
        <v>178</v>
      </c>
      <c r="Q181" s="93" t="n">
        <v>3914.307752301</v>
      </c>
      <c r="R181" s="93" t="n">
        <v>0.273219807567524</v>
      </c>
      <c r="S181" s="93" t="n">
        <v>0.0396024586993878</v>
      </c>
      <c r="T181" s="94" t="n">
        <v>0.0286395026424207</v>
      </c>
      <c r="U181" s="29"/>
      <c r="V181" s="29"/>
      <c r="W181" s="29"/>
      <c r="X181" s="29"/>
      <c r="Y181" s="29"/>
      <c r="Z181" s="75"/>
    </row>
    <row r="182" customFormat="false" ht="12.75" hidden="false" customHeight="true" outlineLevel="0" collapsed="false">
      <c r="A182" s="2"/>
      <c r="B182" s="2"/>
      <c r="C182" s="75"/>
      <c r="D182" s="75"/>
      <c r="E182" s="75"/>
      <c r="F182" s="75"/>
      <c r="G182" s="75"/>
      <c r="H182" s="75"/>
      <c r="I182" s="2"/>
      <c r="J182" s="83"/>
      <c r="K182" s="83"/>
      <c r="L182" s="85"/>
      <c r="M182" s="85"/>
      <c r="N182" s="85"/>
      <c r="O182" s="2"/>
      <c r="P182" s="92" t="n">
        <v>179</v>
      </c>
      <c r="Q182" s="93" t="n">
        <v>3936.961214889</v>
      </c>
      <c r="R182" s="93" t="n">
        <v>0.272461481562091</v>
      </c>
      <c r="S182" s="93" t="n">
        <v>0.0331923396991083</v>
      </c>
      <c r="T182" s="94" t="n">
        <v>0.0303465273599945</v>
      </c>
      <c r="U182" s="29"/>
      <c r="V182" s="29"/>
      <c r="W182" s="29"/>
      <c r="X182" s="29"/>
      <c r="Y182" s="29"/>
      <c r="Z182" s="75"/>
    </row>
    <row r="183" customFormat="false" ht="12.75" hidden="false" customHeight="true" outlineLevel="0" collapsed="false">
      <c r="A183" s="2"/>
      <c r="B183" s="2"/>
      <c r="C183" s="75"/>
      <c r="D183" s="75"/>
      <c r="E183" s="75"/>
      <c r="F183" s="75"/>
      <c r="G183" s="75"/>
      <c r="H183" s="75"/>
      <c r="I183" s="2"/>
      <c r="J183" s="83"/>
      <c r="K183" s="83"/>
      <c r="L183" s="85"/>
      <c r="M183" s="85"/>
      <c r="N183" s="85"/>
      <c r="O183" s="2"/>
      <c r="P183" s="92" t="n">
        <v>180</v>
      </c>
      <c r="Q183" s="93" t="n">
        <v>3958.968608924</v>
      </c>
      <c r="R183" s="93" t="n">
        <v>0.270954248193271</v>
      </c>
      <c r="S183" s="93" t="n">
        <v>0.0300579165617912</v>
      </c>
      <c r="T183" s="94" t="n">
        <v>0.0305760066019652</v>
      </c>
      <c r="U183" s="29"/>
      <c r="V183" s="29"/>
      <c r="W183" s="29"/>
      <c r="X183" s="29"/>
      <c r="Y183" s="29"/>
      <c r="Z183" s="75"/>
    </row>
    <row r="184" customFormat="false" ht="12.75" hidden="false" customHeight="true" outlineLevel="0" collapsed="false">
      <c r="A184" s="2"/>
      <c r="B184" s="2"/>
      <c r="C184" s="75"/>
      <c r="D184" s="75"/>
      <c r="E184" s="75"/>
      <c r="F184" s="75"/>
      <c r="G184" s="75"/>
      <c r="H184" s="75"/>
      <c r="I184" s="2"/>
      <c r="J184" s="83"/>
      <c r="K184" s="83"/>
      <c r="L184" s="85"/>
      <c r="M184" s="85"/>
      <c r="N184" s="85"/>
      <c r="O184" s="2"/>
      <c r="P184" s="92" t="n">
        <v>181</v>
      </c>
      <c r="Q184" s="93" t="n">
        <v>3981.958672573</v>
      </c>
      <c r="R184" s="93" t="n">
        <v>0.270092207127239</v>
      </c>
      <c r="S184" s="93" t="n">
        <v>0.0217206633808991</v>
      </c>
      <c r="T184" s="94" t="n">
        <v>0.0308786518715531</v>
      </c>
      <c r="U184" s="29"/>
      <c r="V184" s="29"/>
      <c r="W184" s="29"/>
      <c r="X184" s="29"/>
      <c r="Y184" s="29"/>
      <c r="Z184" s="75"/>
    </row>
    <row r="185" customFormat="false" ht="12.75" hidden="false" customHeight="true" outlineLevel="0" collapsed="false">
      <c r="A185" s="2"/>
      <c r="B185" s="2"/>
      <c r="C185" s="75"/>
      <c r="D185" s="75"/>
      <c r="E185" s="75"/>
      <c r="F185" s="75"/>
      <c r="G185" s="75"/>
      <c r="H185" s="75"/>
      <c r="I185" s="2"/>
      <c r="J185" s="83"/>
      <c r="K185" s="83"/>
      <c r="L185" s="85"/>
      <c r="M185" s="85"/>
      <c r="N185" s="85"/>
      <c r="O185" s="2"/>
      <c r="P185" s="92" t="n">
        <v>182</v>
      </c>
      <c r="Q185" s="93" t="n">
        <v>4004.249793351</v>
      </c>
      <c r="R185" s="93" t="n">
        <v>0.269407470805976</v>
      </c>
      <c r="S185" s="93" t="n">
        <v>0.0186507849447943</v>
      </c>
      <c r="T185" s="94" t="n">
        <v>0.0314732263232235</v>
      </c>
      <c r="U185" s="29"/>
      <c r="V185" s="29"/>
      <c r="W185" s="29"/>
      <c r="X185" s="29"/>
      <c r="Y185" s="29"/>
      <c r="Z185" s="75"/>
    </row>
    <row r="186" customFormat="false" ht="12.75" hidden="false" customHeight="true" outlineLevel="0" collapsed="false">
      <c r="A186" s="2"/>
      <c r="B186" s="2"/>
      <c r="C186" s="75"/>
      <c r="D186" s="75"/>
      <c r="E186" s="75"/>
      <c r="F186" s="75"/>
      <c r="G186" s="75"/>
      <c r="H186" s="75"/>
      <c r="I186" s="2"/>
      <c r="J186" s="83"/>
      <c r="K186" s="83"/>
      <c r="L186" s="85"/>
      <c r="M186" s="85"/>
      <c r="N186" s="85"/>
      <c r="O186" s="2"/>
      <c r="P186" s="92" t="n">
        <v>183</v>
      </c>
      <c r="Q186" s="93" t="n">
        <v>4026.818167726</v>
      </c>
      <c r="R186" s="93" t="n">
        <v>0.269264076451391</v>
      </c>
      <c r="S186" s="93" t="n">
        <v>0.0161829548305278</v>
      </c>
      <c r="T186" s="94" t="n">
        <v>0.0313838055461841</v>
      </c>
      <c r="U186" s="29"/>
      <c r="V186" s="29"/>
      <c r="W186" s="29"/>
      <c r="X186" s="29"/>
      <c r="Y186" s="29"/>
      <c r="Z186" s="75"/>
    </row>
    <row r="187" customFormat="false" ht="12.75" hidden="false" customHeight="true" outlineLevel="0" collapsed="false">
      <c r="A187" s="2"/>
      <c r="B187" s="2"/>
      <c r="C187" s="75"/>
      <c r="D187" s="75"/>
      <c r="E187" s="75"/>
      <c r="F187" s="75"/>
      <c r="G187" s="75"/>
      <c r="H187" s="75"/>
      <c r="I187" s="2"/>
      <c r="J187" s="83"/>
      <c r="K187" s="83"/>
      <c r="L187" s="85"/>
      <c r="M187" s="85"/>
      <c r="N187" s="85"/>
      <c r="O187" s="2"/>
      <c r="P187" s="92" t="n">
        <v>184</v>
      </c>
      <c r="Q187" s="93" t="n">
        <v>4049.550330125</v>
      </c>
      <c r="R187" s="93" t="n">
        <v>0.269431461111922</v>
      </c>
      <c r="S187" s="93" t="n">
        <v>0.015964082903135</v>
      </c>
      <c r="T187" s="94" t="n">
        <v>0.0307471286761945</v>
      </c>
      <c r="U187" s="29"/>
      <c r="V187" s="29"/>
      <c r="W187" s="29"/>
      <c r="X187" s="29"/>
      <c r="Y187" s="29"/>
      <c r="Z187" s="75"/>
    </row>
    <row r="188" customFormat="false" ht="12.75" hidden="false" customHeight="true" outlineLevel="0" collapsed="false">
      <c r="A188" s="2"/>
      <c r="B188" s="2"/>
      <c r="C188" s="75"/>
      <c r="D188" s="75"/>
      <c r="E188" s="75"/>
      <c r="F188" s="75"/>
      <c r="G188" s="75"/>
      <c r="H188" s="75"/>
      <c r="I188" s="2"/>
      <c r="J188" s="83"/>
      <c r="K188" s="83"/>
      <c r="L188" s="85"/>
      <c r="M188" s="85"/>
      <c r="N188" s="85"/>
      <c r="O188" s="2"/>
      <c r="P188" s="92" t="n">
        <v>185</v>
      </c>
      <c r="Q188" s="93" t="n">
        <v>4071.808222379</v>
      </c>
      <c r="R188" s="93" t="n">
        <v>0.269104712230866</v>
      </c>
      <c r="S188" s="93" t="n">
        <v>0.0174315879235123</v>
      </c>
      <c r="T188" s="94" t="n">
        <v>0.0304023374158739</v>
      </c>
      <c r="U188" s="29"/>
      <c r="V188" s="29"/>
      <c r="W188" s="29"/>
      <c r="X188" s="29"/>
      <c r="Y188" s="29"/>
      <c r="Z188" s="75"/>
    </row>
    <row r="189" customFormat="false" ht="12.75" hidden="false" customHeight="true" outlineLevel="0" collapsed="false">
      <c r="A189" s="2"/>
      <c r="B189" s="2"/>
      <c r="C189" s="75"/>
      <c r="D189" s="75"/>
      <c r="E189" s="75"/>
      <c r="F189" s="75"/>
      <c r="G189" s="75"/>
      <c r="H189" s="75"/>
      <c r="I189" s="2"/>
      <c r="J189" s="83"/>
      <c r="K189" s="83"/>
      <c r="L189" s="85"/>
      <c r="M189" s="85"/>
      <c r="N189" s="85"/>
      <c r="O189" s="2"/>
      <c r="P189" s="92" t="n">
        <v>186</v>
      </c>
      <c r="Q189" s="93" t="n">
        <v>4094.471777026</v>
      </c>
      <c r="R189" s="93" t="n">
        <v>0.269160375669604</v>
      </c>
      <c r="S189" s="93" t="n">
        <v>0.0219043754138007</v>
      </c>
      <c r="T189" s="94" t="n">
        <v>0.0299977576322325</v>
      </c>
      <c r="U189" s="29"/>
      <c r="V189" s="29"/>
      <c r="W189" s="29"/>
      <c r="X189" s="29"/>
      <c r="Y189" s="29"/>
      <c r="Z189" s="75"/>
    </row>
    <row r="190" customFormat="false" ht="12.75" hidden="false" customHeight="true" outlineLevel="0" collapsed="false">
      <c r="A190" s="2"/>
      <c r="B190" s="2"/>
      <c r="C190" s="75"/>
      <c r="D190" s="75"/>
      <c r="E190" s="75"/>
      <c r="F190" s="75"/>
      <c r="G190" s="75"/>
      <c r="H190" s="75"/>
      <c r="I190" s="2"/>
      <c r="J190" s="83"/>
      <c r="K190" s="83"/>
      <c r="L190" s="85"/>
      <c r="M190" s="85"/>
      <c r="N190" s="85"/>
      <c r="O190" s="2"/>
      <c r="P190" s="92" t="n">
        <v>187</v>
      </c>
      <c r="Q190" s="93" t="n">
        <v>4116.955632969</v>
      </c>
      <c r="R190" s="93" t="n">
        <v>0.269120930915874</v>
      </c>
      <c r="S190" s="93" t="n">
        <v>0.0261187302119049</v>
      </c>
      <c r="T190" s="94" t="n">
        <v>0.0304645172160262</v>
      </c>
      <c r="U190" s="29"/>
      <c r="V190" s="29"/>
      <c r="W190" s="29"/>
      <c r="X190" s="29"/>
      <c r="Y190" s="29"/>
      <c r="Z190" s="75"/>
    </row>
    <row r="191" customFormat="false" ht="12.75" hidden="false" customHeight="true" outlineLevel="0" collapsed="false">
      <c r="A191" s="2"/>
      <c r="B191" s="2"/>
      <c r="C191" s="75"/>
      <c r="D191" s="75"/>
      <c r="E191" s="75"/>
      <c r="F191" s="75"/>
      <c r="G191" s="75"/>
      <c r="H191" s="75"/>
      <c r="I191" s="2"/>
      <c r="J191" s="83"/>
      <c r="K191" s="83"/>
      <c r="L191" s="85"/>
      <c r="M191" s="85"/>
      <c r="N191" s="85"/>
      <c r="O191" s="2"/>
      <c r="P191" s="92" t="n">
        <v>188</v>
      </c>
      <c r="Q191" s="93" t="n">
        <v>4139.847245251</v>
      </c>
      <c r="R191" s="93" t="n">
        <v>0.268676909159892</v>
      </c>
      <c r="S191" s="93" t="n">
        <v>0.0334723516926672</v>
      </c>
      <c r="T191" s="94" t="n">
        <v>0.0308092895120361</v>
      </c>
      <c r="U191" s="29"/>
      <c r="V191" s="29"/>
      <c r="W191" s="29"/>
      <c r="X191" s="29"/>
      <c r="Y191" s="29"/>
      <c r="Z191" s="75"/>
    </row>
    <row r="192" customFormat="false" ht="12.75" hidden="false" customHeight="true" outlineLevel="0" collapsed="false">
      <c r="A192" s="2"/>
      <c r="B192" s="2"/>
      <c r="C192" s="75"/>
      <c r="D192" s="75"/>
      <c r="E192" s="75"/>
      <c r="F192" s="75"/>
      <c r="G192" s="75"/>
      <c r="H192" s="75"/>
      <c r="I192" s="2"/>
      <c r="J192" s="83"/>
      <c r="K192" s="83"/>
      <c r="L192" s="85"/>
      <c r="M192" s="85"/>
      <c r="N192" s="85"/>
      <c r="O192" s="2"/>
      <c r="P192" s="92" t="n">
        <v>189</v>
      </c>
      <c r="Q192" s="93" t="n">
        <v>4161.761067231</v>
      </c>
      <c r="R192" s="93" t="n">
        <v>0.269064284501131</v>
      </c>
      <c r="S192" s="93" t="n">
        <v>0.0363065454237359</v>
      </c>
      <c r="T192" s="94" t="n">
        <v>0.0315237625768081</v>
      </c>
      <c r="U192" s="29"/>
      <c r="V192" s="29"/>
      <c r="W192" s="29"/>
      <c r="X192" s="29"/>
      <c r="Y192" s="29"/>
      <c r="Z192" s="75"/>
    </row>
    <row r="193" customFormat="false" ht="12.75" hidden="false" customHeight="true" outlineLevel="0" collapsed="false">
      <c r="A193" s="2"/>
      <c r="B193" s="2"/>
      <c r="C193" s="75"/>
      <c r="D193" s="75"/>
      <c r="E193" s="75"/>
      <c r="F193" s="75"/>
      <c r="G193" s="75"/>
      <c r="H193" s="75"/>
      <c r="I193" s="2"/>
      <c r="J193" s="83"/>
      <c r="K193" s="83"/>
      <c r="L193" s="85"/>
      <c r="M193" s="85"/>
      <c r="N193" s="85"/>
      <c r="O193" s="2"/>
      <c r="P193" s="92" t="n">
        <v>190</v>
      </c>
      <c r="Q193" s="93" t="n">
        <v>4184.130602694</v>
      </c>
      <c r="R193" s="93" t="n">
        <v>0.269297972467607</v>
      </c>
      <c r="S193" s="93" t="n">
        <v>0.0403434160877085</v>
      </c>
      <c r="T193" s="94" t="n">
        <v>0.0321345324729137</v>
      </c>
      <c r="U193" s="29"/>
      <c r="V193" s="29"/>
      <c r="W193" s="29"/>
      <c r="X193" s="29"/>
      <c r="Y193" s="29"/>
      <c r="Z193" s="75"/>
    </row>
    <row r="194" customFormat="false" ht="12.75" hidden="false" customHeight="true" outlineLevel="0" collapsed="false">
      <c r="A194" s="2"/>
      <c r="B194" s="2"/>
      <c r="C194" s="75"/>
      <c r="D194" s="75"/>
      <c r="E194" s="75"/>
      <c r="F194" s="75"/>
      <c r="G194" s="75"/>
      <c r="H194" s="75"/>
      <c r="I194" s="2"/>
      <c r="J194" s="83"/>
      <c r="K194" s="83"/>
      <c r="L194" s="85"/>
      <c r="M194" s="85"/>
      <c r="N194" s="85"/>
      <c r="O194" s="2"/>
      <c r="P194" s="92" t="n">
        <v>191</v>
      </c>
      <c r="Q194" s="93" t="n">
        <v>4206.196888298</v>
      </c>
      <c r="R194" s="93" t="n">
        <v>0.268737604892452</v>
      </c>
      <c r="S194" s="93" t="n">
        <v>0.0447039131723148</v>
      </c>
      <c r="T194" s="94" t="n">
        <v>0.0321861255785225</v>
      </c>
      <c r="U194" s="29"/>
      <c r="V194" s="29"/>
      <c r="W194" s="29"/>
      <c r="X194" s="29"/>
      <c r="Y194" s="29"/>
      <c r="Z194" s="75"/>
    </row>
    <row r="195" customFormat="false" ht="12.75" hidden="false" customHeight="true" outlineLevel="0" collapsed="false">
      <c r="A195" s="2"/>
      <c r="B195" s="2"/>
      <c r="C195" s="75"/>
      <c r="D195" s="75"/>
      <c r="E195" s="75"/>
      <c r="F195" s="75"/>
      <c r="G195" s="75"/>
      <c r="H195" s="75"/>
      <c r="I195" s="2"/>
      <c r="J195" s="83"/>
      <c r="K195" s="83"/>
      <c r="L195" s="85"/>
      <c r="M195" s="85"/>
      <c r="N195" s="85"/>
      <c r="O195" s="2"/>
      <c r="P195" s="92" t="n">
        <v>192</v>
      </c>
      <c r="Q195" s="93" t="n">
        <v>4229.123267735</v>
      </c>
      <c r="R195" s="93" t="n">
        <v>0.268458075810894</v>
      </c>
      <c r="S195" s="93" t="n">
        <v>0.0533388853859283</v>
      </c>
      <c r="T195" s="94" t="n">
        <v>0.0323317673493693</v>
      </c>
      <c r="U195" s="29"/>
      <c r="V195" s="29"/>
      <c r="W195" s="29"/>
      <c r="X195" s="29"/>
      <c r="Y195" s="29"/>
      <c r="Z195" s="75"/>
    </row>
    <row r="196" customFormat="false" ht="12.75" hidden="false" customHeight="true" outlineLevel="0" collapsed="false">
      <c r="A196" s="2"/>
      <c r="B196" s="2"/>
      <c r="C196" s="75"/>
      <c r="D196" s="75"/>
      <c r="E196" s="75"/>
      <c r="F196" s="75"/>
      <c r="G196" s="75"/>
      <c r="H196" s="75"/>
      <c r="I196" s="2"/>
      <c r="J196" s="83"/>
      <c r="K196" s="83"/>
      <c r="L196" s="85"/>
      <c r="M196" s="85"/>
      <c r="N196" s="85"/>
      <c r="O196" s="2"/>
      <c r="P196" s="92" t="n">
        <v>193</v>
      </c>
      <c r="Q196" s="93" t="n">
        <v>4251.246874377</v>
      </c>
      <c r="R196" s="93" t="n">
        <v>0.26863859530992</v>
      </c>
      <c r="S196" s="93" t="n">
        <v>0.0565674221610343</v>
      </c>
      <c r="T196" s="94" t="n">
        <v>0.0311807691777465</v>
      </c>
      <c r="U196" s="29"/>
      <c r="V196" s="29"/>
      <c r="W196" s="29"/>
      <c r="X196" s="29"/>
      <c r="Y196" s="29"/>
      <c r="Z196" s="75"/>
    </row>
    <row r="197" customFormat="false" ht="12.75" hidden="false" customHeight="true" outlineLevel="0" collapsed="false">
      <c r="A197" s="2"/>
      <c r="B197" s="2"/>
      <c r="C197" s="75"/>
      <c r="D197" s="75"/>
      <c r="E197" s="75"/>
      <c r="F197" s="75"/>
      <c r="G197" s="75"/>
      <c r="H197" s="75"/>
      <c r="I197" s="2"/>
      <c r="J197" s="83"/>
      <c r="K197" s="83"/>
      <c r="L197" s="85"/>
      <c r="M197" s="85"/>
      <c r="N197" s="85"/>
      <c r="O197" s="2"/>
      <c r="P197" s="92" t="n">
        <v>194</v>
      </c>
      <c r="Q197" s="93" t="n">
        <v>4273.876440361</v>
      </c>
      <c r="R197" s="93" t="n">
        <v>0.269273703851752</v>
      </c>
      <c r="S197" s="93" t="n">
        <v>0.0632665110867022</v>
      </c>
      <c r="T197" s="94" t="n">
        <v>0.0303627718115016</v>
      </c>
      <c r="U197" s="29"/>
      <c r="V197" s="29"/>
      <c r="W197" s="29"/>
      <c r="X197" s="29"/>
      <c r="Y197" s="29"/>
      <c r="Z197" s="75"/>
    </row>
    <row r="198" customFormat="false" ht="12.75" hidden="false" customHeight="true" outlineLevel="0" collapsed="false">
      <c r="A198" s="2"/>
      <c r="B198" s="2"/>
      <c r="C198" s="75"/>
      <c r="D198" s="75"/>
      <c r="E198" s="75"/>
      <c r="F198" s="75"/>
      <c r="G198" s="75"/>
      <c r="H198" s="75"/>
      <c r="I198" s="2"/>
      <c r="J198" s="83"/>
      <c r="K198" s="83"/>
      <c r="L198" s="85"/>
      <c r="M198" s="85"/>
      <c r="N198" s="85"/>
      <c r="O198" s="2"/>
      <c r="P198" s="92" t="n">
        <v>195</v>
      </c>
      <c r="Q198" s="93" t="n">
        <v>4295.624951224</v>
      </c>
      <c r="R198" s="93" t="n">
        <v>0.269905946396996</v>
      </c>
      <c r="S198" s="93" t="n">
        <v>0.0651761125055828</v>
      </c>
      <c r="T198" s="94" t="n">
        <v>0.0285296411522751</v>
      </c>
      <c r="U198" s="29"/>
      <c r="V198" s="29"/>
      <c r="W198" s="29"/>
      <c r="X198" s="29"/>
      <c r="Y198" s="29"/>
      <c r="Z198" s="75"/>
    </row>
    <row r="199" customFormat="false" ht="12.75" hidden="false" customHeight="true" outlineLevel="0" collapsed="false">
      <c r="A199" s="2"/>
      <c r="B199" s="2"/>
      <c r="C199" s="75"/>
      <c r="D199" s="75"/>
      <c r="E199" s="75"/>
      <c r="F199" s="75"/>
      <c r="G199" s="75"/>
      <c r="H199" s="75"/>
      <c r="I199" s="2"/>
      <c r="J199" s="83"/>
      <c r="K199" s="83"/>
      <c r="L199" s="85"/>
      <c r="M199" s="85"/>
      <c r="N199" s="85"/>
      <c r="O199" s="2"/>
      <c r="P199" s="92" t="n">
        <v>196</v>
      </c>
      <c r="Q199" s="93" t="n">
        <v>4318.490598177</v>
      </c>
      <c r="R199" s="93" t="n">
        <v>0.270975313263199</v>
      </c>
      <c r="S199" s="93" t="n">
        <v>0.069362074128566</v>
      </c>
      <c r="T199" s="94" t="n">
        <v>0.027852454827405</v>
      </c>
      <c r="U199" s="29"/>
      <c r="V199" s="29"/>
      <c r="W199" s="29"/>
      <c r="X199" s="29"/>
      <c r="Y199" s="29"/>
      <c r="Z199" s="75"/>
    </row>
    <row r="200" customFormat="false" ht="12.75" hidden="false" customHeight="true" outlineLevel="0" collapsed="false">
      <c r="A200" s="2"/>
      <c r="B200" s="2"/>
      <c r="C200" s="75"/>
      <c r="D200" s="75"/>
      <c r="E200" s="75"/>
      <c r="F200" s="75"/>
      <c r="G200" s="75"/>
      <c r="H200" s="75"/>
      <c r="I200" s="2"/>
      <c r="J200" s="83"/>
      <c r="K200" s="83"/>
      <c r="L200" s="85"/>
      <c r="M200" s="85"/>
      <c r="N200" s="85"/>
      <c r="O200" s="2"/>
      <c r="P200" s="92" t="n">
        <v>197</v>
      </c>
      <c r="Q200" s="93" t="n">
        <v>4340.634098264</v>
      </c>
      <c r="R200" s="93" t="n">
        <v>0.271795847198608</v>
      </c>
      <c r="S200" s="93" t="n">
        <v>0.0710578181067731</v>
      </c>
      <c r="T200" s="94" t="n">
        <v>0.0257486022945391</v>
      </c>
      <c r="U200" s="29"/>
      <c r="V200" s="29"/>
      <c r="W200" s="29"/>
      <c r="X200" s="29"/>
      <c r="Y200" s="29"/>
      <c r="Z200" s="75"/>
    </row>
    <row r="201" customFormat="false" ht="12.75" hidden="false" customHeight="true" outlineLevel="0" collapsed="false">
      <c r="A201" s="2"/>
      <c r="B201" s="2"/>
      <c r="C201" s="75"/>
      <c r="D201" s="75"/>
      <c r="E201" s="75"/>
      <c r="F201" s="75"/>
      <c r="G201" s="75"/>
      <c r="H201" s="75"/>
      <c r="I201" s="2"/>
      <c r="J201" s="83"/>
      <c r="K201" s="83"/>
      <c r="L201" s="85"/>
      <c r="M201" s="85"/>
      <c r="N201" s="85"/>
      <c r="O201" s="2"/>
      <c r="P201" s="92" t="n">
        <v>198</v>
      </c>
      <c r="Q201" s="93" t="n">
        <v>4362.761743231</v>
      </c>
      <c r="R201" s="93" t="n">
        <v>0.273284536400973</v>
      </c>
      <c r="S201" s="93" t="n">
        <v>0.0749755583728727</v>
      </c>
      <c r="T201" s="94" t="n">
        <v>0.0246911536712752</v>
      </c>
      <c r="U201" s="29"/>
      <c r="V201" s="29"/>
      <c r="W201" s="29"/>
      <c r="X201" s="29"/>
      <c r="Y201" s="29"/>
      <c r="Z201" s="75"/>
    </row>
    <row r="202" customFormat="false" ht="12.75" hidden="false" customHeight="true" outlineLevel="0" collapsed="false">
      <c r="A202" s="2"/>
      <c r="B202" s="2"/>
      <c r="C202" s="75"/>
      <c r="D202" s="75"/>
      <c r="E202" s="75"/>
      <c r="F202" s="75"/>
      <c r="G202" s="75"/>
      <c r="H202" s="75"/>
      <c r="I202" s="2"/>
      <c r="J202" s="83"/>
      <c r="K202" s="83"/>
      <c r="L202" s="85"/>
      <c r="M202" s="85"/>
      <c r="N202" s="85"/>
      <c r="O202" s="2"/>
      <c r="P202" s="92" t="n">
        <v>199</v>
      </c>
      <c r="Q202" s="93" t="n">
        <v>4385.152648615</v>
      </c>
      <c r="R202" s="93" t="n">
        <v>0.273775864655747</v>
      </c>
      <c r="S202" s="93" t="n">
        <v>0.0809689499973113</v>
      </c>
      <c r="T202" s="94" t="n">
        <v>0.0247915631817682</v>
      </c>
      <c r="U202" s="29"/>
      <c r="V202" s="29"/>
      <c r="W202" s="29"/>
      <c r="X202" s="29"/>
      <c r="Y202" s="29"/>
      <c r="Z202" s="75"/>
    </row>
    <row r="203" customFormat="false" ht="12.75" hidden="false" customHeight="true" outlineLevel="0" collapsed="false">
      <c r="A203" s="2"/>
      <c r="B203" s="2"/>
      <c r="C203" s="75"/>
      <c r="D203" s="75"/>
      <c r="E203" s="75"/>
      <c r="F203" s="75"/>
      <c r="G203" s="75"/>
      <c r="H203" s="75"/>
      <c r="I203" s="2"/>
      <c r="J203" s="83"/>
      <c r="K203" s="83"/>
      <c r="L203" s="85"/>
      <c r="M203" s="85"/>
      <c r="N203" s="85"/>
      <c r="O203" s="2"/>
      <c r="P203" s="92" t="n">
        <v>200</v>
      </c>
      <c r="Q203" s="93" t="n">
        <v>4407.964521063</v>
      </c>
      <c r="R203" s="93" t="n">
        <v>0.273889101160441</v>
      </c>
      <c r="S203" s="93" t="n">
        <v>0.0884729438074925</v>
      </c>
      <c r="T203" s="94" t="n">
        <v>0.0248966318256444</v>
      </c>
      <c r="U203" s="29"/>
      <c r="V203" s="29"/>
      <c r="W203" s="29"/>
      <c r="X203" s="29"/>
      <c r="Y203" s="29"/>
      <c r="Z203" s="75"/>
    </row>
    <row r="204" customFormat="false" ht="12.75" hidden="false" customHeight="true" outlineLevel="0" collapsed="false">
      <c r="A204" s="2"/>
      <c r="B204" s="2"/>
      <c r="C204" s="75"/>
      <c r="D204" s="75"/>
      <c r="E204" s="75"/>
      <c r="F204" s="75"/>
      <c r="G204" s="75"/>
      <c r="H204" s="75"/>
      <c r="I204" s="2"/>
      <c r="J204" s="83"/>
      <c r="K204" s="83"/>
      <c r="L204" s="85"/>
      <c r="M204" s="85"/>
      <c r="N204" s="85"/>
      <c r="O204" s="2"/>
      <c r="P204" s="92" t="n">
        <v>201</v>
      </c>
      <c r="Q204" s="93" t="n">
        <v>4430.856523155</v>
      </c>
      <c r="R204" s="93" t="n">
        <v>0.274400015083395</v>
      </c>
      <c r="S204" s="93" t="n">
        <v>0.0932249540324581</v>
      </c>
      <c r="T204" s="94" t="n">
        <v>0.0245861182136712</v>
      </c>
      <c r="U204" s="29"/>
      <c r="V204" s="29"/>
      <c r="W204" s="29"/>
      <c r="X204" s="29"/>
      <c r="Y204" s="29"/>
      <c r="Z204" s="75"/>
    </row>
    <row r="205" customFormat="false" ht="12.75" hidden="false" customHeight="true" outlineLevel="0" collapsed="false">
      <c r="A205" s="2"/>
      <c r="B205" s="2"/>
      <c r="C205" s="75"/>
      <c r="D205" s="75"/>
      <c r="E205" s="75"/>
      <c r="F205" s="75"/>
      <c r="G205" s="75"/>
      <c r="H205" s="75"/>
      <c r="I205" s="2"/>
      <c r="J205" s="83"/>
      <c r="K205" s="83"/>
      <c r="L205" s="85"/>
      <c r="M205" s="85"/>
      <c r="N205" s="85"/>
      <c r="O205" s="2"/>
      <c r="P205" s="92" t="n">
        <v>202</v>
      </c>
      <c r="Q205" s="93" t="n">
        <v>4453.403224634</v>
      </c>
      <c r="R205" s="93" t="n">
        <v>0.274584285414132</v>
      </c>
      <c r="S205" s="93" t="n">
        <v>0.0960864772208203</v>
      </c>
      <c r="T205" s="94" t="n">
        <v>0.024691711517268</v>
      </c>
      <c r="U205" s="29"/>
      <c r="V205" s="29"/>
      <c r="W205" s="29"/>
      <c r="X205" s="29"/>
      <c r="Y205" s="29"/>
      <c r="Z205" s="75"/>
    </row>
    <row r="206" customFormat="false" ht="12.75" hidden="false" customHeight="true" outlineLevel="0" collapsed="false">
      <c r="A206" s="2"/>
      <c r="B206" s="2"/>
      <c r="C206" s="75"/>
      <c r="D206" s="75"/>
      <c r="E206" s="75"/>
      <c r="F206" s="75"/>
      <c r="G206" s="75"/>
      <c r="H206" s="75"/>
      <c r="I206" s="2"/>
      <c r="J206" s="83"/>
      <c r="K206" s="83"/>
      <c r="L206" s="85"/>
      <c r="M206" s="85"/>
      <c r="N206" s="85"/>
      <c r="O206" s="2"/>
      <c r="P206" s="92" t="n">
        <v>203</v>
      </c>
      <c r="Q206" s="93" t="n">
        <v>4476.22364953</v>
      </c>
      <c r="R206" s="93" t="n">
        <v>0.274520039317789</v>
      </c>
      <c r="S206" s="93" t="n">
        <v>0.0972918891104961</v>
      </c>
      <c r="T206" s="94" t="n">
        <v>0.0252611334806152</v>
      </c>
      <c r="U206" s="29"/>
      <c r="V206" s="29"/>
      <c r="W206" s="29"/>
      <c r="X206" s="29"/>
      <c r="Y206" s="29"/>
      <c r="Z206" s="75"/>
    </row>
    <row r="207" customFormat="false" ht="12.75" hidden="false" customHeight="true" outlineLevel="0" collapsed="false">
      <c r="A207" s="2"/>
      <c r="B207" s="2"/>
      <c r="C207" s="75"/>
      <c r="D207" s="75"/>
      <c r="E207" s="75"/>
      <c r="F207" s="75"/>
      <c r="G207" s="75"/>
      <c r="H207" s="75"/>
      <c r="I207" s="2"/>
      <c r="J207" s="83"/>
      <c r="K207" s="83"/>
      <c r="L207" s="85"/>
      <c r="M207" s="85"/>
      <c r="N207" s="85"/>
      <c r="O207" s="2"/>
      <c r="P207" s="92" t="n">
        <v>204</v>
      </c>
      <c r="Q207" s="93" t="n">
        <v>4498.658804068</v>
      </c>
      <c r="R207" s="93" t="n">
        <v>0.274168361032049</v>
      </c>
      <c r="S207" s="93" t="n">
        <v>0.0984773196232958</v>
      </c>
      <c r="T207" s="94" t="n">
        <v>0.0254495864583148</v>
      </c>
      <c r="U207" s="29"/>
      <c r="V207" s="29"/>
      <c r="W207" s="29"/>
      <c r="X207" s="29"/>
      <c r="Y207" s="29"/>
      <c r="Z207" s="75"/>
    </row>
    <row r="208" customFormat="false" ht="12.75" hidden="false" customHeight="true" outlineLevel="0" collapsed="false">
      <c r="A208" s="2"/>
      <c r="B208" s="2"/>
      <c r="C208" s="75"/>
      <c r="D208" s="75"/>
      <c r="E208" s="75"/>
      <c r="F208" s="75"/>
      <c r="G208" s="75"/>
      <c r="H208" s="75"/>
      <c r="I208" s="2"/>
      <c r="J208" s="83"/>
      <c r="K208" s="83"/>
      <c r="L208" s="85"/>
      <c r="M208" s="85"/>
      <c r="N208" s="85"/>
      <c r="O208" s="2"/>
      <c r="P208" s="92" t="n">
        <v>205</v>
      </c>
      <c r="Q208" s="93" t="n">
        <v>4521.480624195</v>
      </c>
      <c r="R208" s="93" t="n">
        <v>0.273699831732561</v>
      </c>
      <c r="S208" s="93" t="n">
        <v>0.095553998969739</v>
      </c>
      <c r="T208" s="94" t="n">
        <v>0.0254408457899092</v>
      </c>
      <c r="U208" s="29"/>
      <c r="V208" s="29"/>
      <c r="W208" s="29"/>
      <c r="X208" s="29"/>
      <c r="Y208" s="29"/>
      <c r="Z208" s="75"/>
    </row>
    <row r="209" customFormat="false" ht="12.75" hidden="false" customHeight="true" outlineLevel="0" collapsed="false">
      <c r="A209" s="2"/>
      <c r="B209" s="2"/>
      <c r="C209" s="75"/>
      <c r="D209" s="75"/>
      <c r="E209" s="75"/>
      <c r="F209" s="75"/>
      <c r="G209" s="75"/>
      <c r="H209" s="75"/>
      <c r="I209" s="2"/>
      <c r="J209" s="83"/>
      <c r="K209" s="83"/>
      <c r="L209" s="85"/>
      <c r="M209" s="85"/>
      <c r="N209" s="85"/>
      <c r="O209" s="2"/>
      <c r="P209" s="92" t="n">
        <v>206</v>
      </c>
      <c r="Q209" s="93" t="n">
        <v>4543.439953608</v>
      </c>
      <c r="R209" s="93" t="n">
        <v>0.272946365016359</v>
      </c>
      <c r="S209" s="93" t="n">
        <v>0.0943934987571671</v>
      </c>
      <c r="T209" s="94" t="n">
        <v>0.0257474987625236</v>
      </c>
      <c r="U209" s="29"/>
      <c r="V209" s="29"/>
      <c r="W209" s="29"/>
      <c r="X209" s="29"/>
      <c r="Y209" s="29"/>
      <c r="Z209" s="75"/>
    </row>
    <row r="210" customFormat="false" ht="12.75" hidden="false" customHeight="true" outlineLevel="0" collapsed="false">
      <c r="A210" s="2"/>
      <c r="B210" s="2"/>
      <c r="C210" s="75"/>
      <c r="D210" s="75"/>
      <c r="E210" s="75"/>
      <c r="F210" s="75"/>
      <c r="G210" s="75"/>
      <c r="H210" s="75"/>
      <c r="I210" s="2"/>
      <c r="J210" s="83"/>
      <c r="K210" s="83"/>
      <c r="L210" s="85"/>
      <c r="M210" s="85"/>
      <c r="N210" s="85"/>
      <c r="O210" s="2"/>
      <c r="P210" s="92" t="n">
        <v>207</v>
      </c>
      <c r="Q210" s="93" t="n">
        <v>4565.717163515</v>
      </c>
      <c r="R210" s="93" t="n">
        <v>0.272141845780264</v>
      </c>
      <c r="S210" s="93" t="n">
        <v>0.0900615747705721</v>
      </c>
      <c r="T210" s="94" t="n">
        <v>0.0247368443030853</v>
      </c>
      <c r="U210" s="29"/>
      <c r="V210" s="29"/>
      <c r="W210" s="29"/>
      <c r="X210" s="29"/>
      <c r="Y210" s="29"/>
      <c r="Z210" s="75"/>
    </row>
    <row r="211" customFormat="false" ht="12.75" hidden="false" customHeight="true" outlineLevel="0" collapsed="false">
      <c r="A211" s="2"/>
      <c r="B211" s="2"/>
      <c r="C211" s="75"/>
      <c r="D211" s="75"/>
      <c r="E211" s="75"/>
      <c r="F211" s="75"/>
      <c r="G211" s="75"/>
      <c r="H211" s="75"/>
      <c r="I211" s="2"/>
      <c r="J211" s="83"/>
      <c r="K211" s="83"/>
      <c r="L211" s="85"/>
      <c r="M211" s="85"/>
      <c r="N211" s="85"/>
      <c r="O211" s="2"/>
      <c r="P211" s="92" t="n">
        <v>208</v>
      </c>
      <c r="Q211" s="93" t="n">
        <v>4588.180707156</v>
      </c>
      <c r="R211" s="93" t="n">
        <v>0.272630145684988</v>
      </c>
      <c r="S211" s="93" t="n">
        <v>0.0808354997553331</v>
      </c>
      <c r="T211" s="94" t="n">
        <v>0.0246907130625094</v>
      </c>
      <c r="U211" s="29"/>
      <c r="V211" s="29"/>
      <c r="W211" s="29"/>
      <c r="X211" s="29"/>
      <c r="Y211" s="29"/>
      <c r="Z211" s="75"/>
    </row>
    <row r="212" customFormat="false" ht="12.75" hidden="false" customHeight="true" outlineLevel="0" collapsed="false">
      <c r="A212" s="2"/>
      <c r="B212" s="2"/>
      <c r="C212" s="75"/>
      <c r="D212" s="75"/>
      <c r="E212" s="75"/>
      <c r="F212" s="75"/>
      <c r="G212" s="75"/>
      <c r="H212" s="75"/>
      <c r="I212" s="2"/>
      <c r="J212" s="83"/>
      <c r="K212" s="83"/>
      <c r="L212" s="85"/>
      <c r="M212" s="85"/>
      <c r="N212" s="85"/>
      <c r="O212" s="2"/>
      <c r="P212" s="92" t="n">
        <v>209</v>
      </c>
      <c r="Q212" s="93" t="n">
        <v>4610.268385048</v>
      </c>
      <c r="R212" s="93" t="n">
        <v>0.271908961857148</v>
      </c>
      <c r="S212" s="93" t="n">
        <v>0.0772786087677055</v>
      </c>
      <c r="T212" s="94" t="n">
        <v>0.0245607536401834</v>
      </c>
      <c r="U212" s="29"/>
      <c r="V212" s="29"/>
      <c r="W212" s="29"/>
      <c r="X212" s="29"/>
      <c r="Y212" s="29"/>
      <c r="Z212" s="75"/>
    </row>
    <row r="213" customFormat="false" ht="12.75" hidden="false" customHeight="true" outlineLevel="0" collapsed="false">
      <c r="A213" s="2"/>
      <c r="B213" s="2"/>
      <c r="C213" s="75"/>
      <c r="D213" s="75"/>
      <c r="E213" s="75"/>
      <c r="F213" s="75"/>
      <c r="G213" s="75"/>
      <c r="H213" s="75"/>
      <c r="I213" s="2"/>
      <c r="J213" s="83"/>
      <c r="K213" s="83"/>
      <c r="L213" s="85"/>
      <c r="M213" s="85"/>
      <c r="N213" s="85"/>
      <c r="O213" s="2"/>
      <c r="P213" s="92" t="n">
        <v>210</v>
      </c>
      <c r="Q213" s="93" t="n">
        <v>4632.635376845</v>
      </c>
      <c r="R213" s="93" t="n">
        <v>0.272329453301934</v>
      </c>
      <c r="S213" s="93" t="n">
        <v>0.0682928773612405</v>
      </c>
      <c r="T213" s="94" t="n">
        <v>0.0233800429680558</v>
      </c>
      <c r="U213" s="29"/>
      <c r="V213" s="29"/>
      <c r="W213" s="29"/>
      <c r="X213" s="29"/>
      <c r="Y213" s="29"/>
      <c r="Z213" s="75"/>
    </row>
    <row r="214" customFormat="false" ht="12.75" hidden="false" customHeight="true" outlineLevel="0" collapsed="false">
      <c r="A214" s="2"/>
      <c r="B214" s="2"/>
      <c r="C214" s="75"/>
      <c r="D214" s="75"/>
      <c r="E214" s="75"/>
      <c r="F214" s="75"/>
      <c r="G214" s="75"/>
      <c r="H214" s="75"/>
      <c r="I214" s="2"/>
      <c r="J214" s="83"/>
      <c r="K214" s="83"/>
      <c r="L214" s="85"/>
      <c r="M214" s="85"/>
      <c r="N214" s="85"/>
      <c r="O214" s="2"/>
      <c r="P214" s="92" t="n">
        <v>211</v>
      </c>
      <c r="Q214" s="93" t="n">
        <v>4654.750629841</v>
      </c>
      <c r="R214" s="93" t="n">
        <v>0.271965275263036</v>
      </c>
      <c r="S214" s="93" t="n">
        <v>0.0644242730532156</v>
      </c>
      <c r="T214" s="94" t="n">
        <v>0.0229343753255627</v>
      </c>
      <c r="U214" s="29"/>
      <c r="V214" s="29"/>
      <c r="W214" s="29"/>
      <c r="X214" s="29"/>
      <c r="Y214" s="29"/>
      <c r="Z214" s="75"/>
    </row>
    <row r="215" customFormat="false" ht="12.75" hidden="false" customHeight="true" outlineLevel="0" collapsed="false">
      <c r="A215" s="2"/>
      <c r="B215" s="2"/>
      <c r="C215" s="75"/>
      <c r="D215" s="75"/>
      <c r="E215" s="75"/>
      <c r="F215" s="75"/>
      <c r="G215" s="75"/>
      <c r="H215" s="75"/>
      <c r="I215" s="2"/>
      <c r="J215" s="83"/>
      <c r="K215" s="83"/>
      <c r="L215" s="85"/>
      <c r="M215" s="85"/>
      <c r="N215" s="85"/>
      <c r="O215" s="2"/>
      <c r="P215" s="92" t="n">
        <v>212</v>
      </c>
      <c r="Q215" s="93" t="n">
        <v>4676.982845392</v>
      </c>
      <c r="R215" s="93" t="n">
        <v>0.272875715647255</v>
      </c>
      <c r="S215" s="93" t="n">
        <v>0.0594036041187224</v>
      </c>
      <c r="T215" s="94" t="n">
        <v>0.0222820709118536</v>
      </c>
      <c r="U215" s="29"/>
      <c r="V215" s="29"/>
      <c r="W215" s="29"/>
      <c r="X215" s="29"/>
      <c r="Y215" s="29"/>
      <c r="Z215" s="75"/>
    </row>
    <row r="216" customFormat="false" ht="12.75" hidden="false" customHeight="true" outlineLevel="0" collapsed="false">
      <c r="A216" s="2"/>
      <c r="B216" s="2"/>
      <c r="C216" s="75"/>
      <c r="D216" s="75"/>
      <c r="E216" s="75"/>
      <c r="F216" s="75"/>
      <c r="G216" s="75"/>
      <c r="H216" s="75"/>
      <c r="I216" s="2"/>
      <c r="J216" s="83"/>
      <c r="K216" s="83"/>
      <c r="L216" s="85"/>
      <c r="M216" s="85"/>
      <c r="N216" s="85"/>
      <c r="O216" s="2"/>
      <c r="P216" s="92" t="n">
        <v>213</v>
      </c>
      <c r="Q216" s="93" t="n">
        <v>4699.108834976</v>
      </c>
      <c r="R216" s="93" t="n">
        <v>0.273116393229931</v>
      </c>
      <c r="S216" s="93" t="n">
        <v>0.0578139338855215</v>
      </c>
      <c r="T216" s="94" t="n">
        <v>0.0215626400297122</v>
      </c>
      <c r="U216" s="29"/>
      <c r="V216" s="29"/>
      <c r="W216" s="29"/>
      <c r="X216" s="29"/>
      <c r="Y216" s="29"/>
      <c r="Z216" s="75"/>
    </row>
    <row r="217" customFormat="false" ht="12.75" hidden="false" customHeight="true" outlineLevel="0" collapsed="false">
      <c r="A217" s="2"/>
      <c r="B217" s="2"/>
      <c r="C217" s="75"/>
      <c r="D217" s="75"/>
      <c r="E217" s="75"/>
      <c r="F217" s="75"/>
      <c r="G217" s="75"/>
      <c r="H217" s="75"/>
      <c r="I217" s="2"/>
      <c r="J217" s="83"/>
      <c r="K217" s="83"/>
      <c r="L217" s="85"/>
      <c r="M217" s="85"/>
      <c r="N217" s="85"/>
      <c r="O217" s="2"/>
      <c r="P217" s="92" t="n">
        <v>214</v>
      </c>
      <c r="Q217" s="93" t="n">
        <v>4721.439141996</v>
      </c>
      <c r="R217" s="93" t="n">
        <v>0.27376678055331</v>
      </c>
      <c r="S217" s="93" t="n">
        <v>0.0564473766924357</v>
      </c>
      <c r="T217" s="94" t="n">
        <v>0.0209931881392975</v>
      </c>
      <c r="U217" s="29"/>
      <c r="V217" s="29"/>
      <c r="W217" s="29"/>
      <c r="X217" s="29"/>
      <c r="Y217" s="29"/>
      <c r="Z217" s="75"/>
    </row>
    <row r="218" customFormat="false" ht="12.75" hidden="false" customHeight="true" outlineLevel="0" collapsed="false">
      <c r="A218" s="2"/>
      <c r="B218" s="2"/>
      <c r="C218" s="75"/>
      <c r="D218" s="75"/>
      <c r="E218" s="75"/>
      <c r="F218" s="75"/>
      <c r="G218" s="75"/>
      <c r="H218" s="75"/>
      <c r="I218" s="2"/>
      <c r="J218" s="83"/>
      <c r="K218" s="83"/>
      <c r="L218" s="85"/>
      <c r="M218" s="85"/>
      <c r="N218" s="85"/>
      <c r="O218" s="2"/>
      <c r="P218" s="92" t="n">
        <v>215</v>
      </c>
      <c r="Q218" s="93" t="n">
        <v>4743.897955632</v>
      </c>
      <c r="R218" s="93" t="n">
        <v>0.274656772988482</v>
      </c>
      <c r="S218" s="93" t="n">
        <v>0.0581591447887895</v>
      </c>
      <c r="T218" s="94" t="n">
        <v>0.0205665796051986</v>
      </c>
      <c r="U218" s="29"/>
      <c r="V218" s="29"/>
      <c r="W218" s="29"/>
      <c r="X218" s="29"/>
      <c r="Y218" s="29"/>
      <c r="Z218" s="75"/>
    </row>
    <row r="219" customFormat="false" ht="12.75" hidden="false" customHeight="true" outlineLevel="0" collapsed="false">
      <c r="A219" s="2"/>
      <c r="B219" s="2"/>
      <c r="C219" s="75"/>
      <c r="D219" s="75"/>
      <c r="E219" s="75"/>
      <c r="F219" s="75"/>
      <c r="G219" s="75"/>
      <c r="H219" s="75"/>
      <c r="I219" s="2"/>
      <c r="J219" s="83"/>
      <c r="K219" s="83"/>
      <c r="L219" s="85"/>
      <c r="M219" s="85"/>
      <c r="N219" s="85"/>
      <c r="O219" s="2"/>
      <c r="P219" s="92" t="n">
        <v>216</v>
      </c>
      <c r="Q219" s="93" t="n">
        <v>4765.997449031</v>
      </c>
      <c r="R219" s="93" t="n">
        <v>0.275076483498118</v>
      </c>
      <c r="S219" s="93" t="n">
        <v>0.0605399891323837</v>
      </c>
      <c r="T219" s="94" t="n">
        <v>0.0208682922971494</v>
      </c>
      <c r="U219" s="29"/>
      <c r="V219" s="29"/>
      <c r="W219" s="29"/>
      <c r="X219" s="29"/>
      <c r="Y219" s="29"/>
      <c r="Z219" s="75"/>
    </row>
    <row r="220" customFormat="false" ht="12.75" hidden="false" customHeight="true" outlineLevel="0" collapsed="false">
      <c r="A220" s="2"/>
      <c r="B220" s="2"/>
      <c r="C220" s="75"/>
      <c r="D220" s="75"/>
      <c r="E220" s="75"/>
      <c r="F220" s="75"/>
      <c r="G220" s="75"/>
      <c r="H220" s="75"/>
      <c r="I220" s="2"/>
      <c r="J220" s="83"/>
      <c r="K220" s="83"/>
      <c r="L220" s="85"/>
      <c r="M220" s="85"/>
      <c r="N220" s="85"/>
      <c r="O220" s="2"/>
      <c r="P220" s="92" t="n">
        <v>217</v>
      </c>
      <c r="Q220" s="93" t="n">
        <v>4788.847505929</v>
      </c>
      <c r="R220" s="93" t="n">
        <v>0.275529220261986</v>
      </c>
      <c r="S220" s="93" t="n">
        <v>0.0691228933221569</v>
      </c>
      <c r="T220" s="94" t="n">
        <v>0.0206988167516869</v>
      </c>
      <c r="U220" s="29"/>
      <c r="V220" s="29"/>
      <c r="W220" s="29"/>
      <c r="X220" s="29"/>
      <c r="Y220" s="29"/>
      <c r="Z220" s="75"/>
    </row>
    <row r="221" customFormat="false" ht="12.75" hidden="false" customHeight="true" outlineLevel="0" collapsed="false">
      <c r="A221" s="2"/>
      <c r="B221" s="2"/>
      <c r="C221" s="75"/>
      <c r="D221" s="75"/>
      <c r="E221" s="75"/>
      <c r="F221" s="75"/>
      <c r="G221" s="75"/>
      <c r="H221" s="75"/>
      <c r="I221" s="2"/>
      <c r="J221" s="83"/>
      <c r="K221" s="83"/>
      <c r="L221" s="85"/>
      <c r="M221" s="85"/>
      <c r="N221" s="85"/>
      <c r="O221" s="2"/>
      <c r="P221" s="92" t="n">
        <v>218</v>
      </c>
      <c r="Q221" s="93" t="n">
        <v>4810.919012876</v>
      </c>
      <c r="R221" s="93" t="n">
        <v>0.275381513461225</v>
      </c>
      <c r="S221" s="93" t="n">
        <v>0.070934288452134</v>
      </c>
      <c r="T221" s="94" t="n">
        <v>0.0228948230322372</v>
      </c>
      <c r="U221" s="29"/>
      <c r="V221" s="29"/>
      <c r="W221" s="29"/>
      <c r="X221" s="29"/>
      <c r="Y221" s="29"/>
      <c r="Z221" s="75"/>
    </row>
    <row r="222" customFormat="false" ht="12.75" hidden="false" customHeight="true" outlineLevel="0" collapsed="false">
      <c r="A222" s="2"/>
      <c r="B222" s="2"/>
      <c r="C222" s="75"/>
      <c r="D222" s="75"/>
      <c r="E222" s="75"/>
      <c r="F222" s="75"/>
      <c r="G222" s="75"/>
      <c r="H222" s="75"/>
      <c r="I222" s="2"/>
      <c r="J222" s="83"/>
      <c r="K222" s="83"/>
      <c r="L222" s="85"/>
      <c r="M222" s="85"/>
      <c r="N222" s="85"/>
      <c r="O222" s="2"/>
      <c r="P222" s="92" t="n">
        <v>219</v>
      </c>
      <c r="Q222" s="93" t="n">
        <v>4833.407299319</v>
      </c>
      <c r="R222" s="93" t="n">
        <v>0.275644309008388</v>
      </c>
      <c r="S222" s="93" t="n">
        <v>0.0769973494029803</v>
      </c>
      <c r="T222" s="94" t="n">
        <v>0.0246851931785497</v>
      </c>
      <c r="U222" s="29"/>
      <c r="V222" s="29"/>
      <c r="W222" s="29"/>
      <c r="X222" s="29"/>
      <c r="Y222" s="29"/>
      <c r="Z222" s="75"/>
    </row>
    <row r="223" customFormat="false" ht="12.75" hidden="false" customHeight="true" outlineLevel="0" collapsed="false">
      <c r="A223" s="2"/>
      <c r="B223" s="2"/>
      <c r="C223" s="75"/>
      <c r="D223" s="75"/>
      <c r="E223" s="75"/>
      <c r="F223" s="75"/>
      <c r="G223" s="75"/>
      <c r="H223" s="75"/>
      <c r="I223" s="2"/>
      <c r="J223" s="83"/>
      <c r="K223" s="83"/>
      <c r="L223" s="85"/>
      <c r="M223" s="85"/>
      <c r="N223" s="85"/>
      <c r="O223" s="2"/>
      <c r="P223" s="92" t="n">
        <v>220</v>
      </c>
      <c r="Q223" s="93" t="n">
        <v>4855.862154301</v>
      </c>
      <c r="R223" s="93" t="n">
        <v>0.275299859133957</v>
      </c>
      <c r="S223" s="93" t="n">
        <v>0.0831087864632842</v>
      </c>
      <c r="T223" s="94" t="n">
        <v>0.0258220865505541</v>
      </c>
      <c r="U223" s="29"/>
      <c r="V223" s="29"/>
      <c r="W223" s="29"/>
      <c r="X223" s="29"/>
      <c r="Y223" s="29"/>
      <c r="Z223" s="75"/>
    </row>
    <row r="224" customFormat="false" ht="12.75" hidden="false" customHeight="true" outlineLevel="0" collapsed="false">
      <c r="A224" s="2"/>
      <c r="B224" s="2"/>
      <c r="C224" s="75"/>
      <c r="D224" s="75"/>
      <c r="E224" s="75"/>
      <c r="F224" s="75"/>
      <c r="G224" s="75"/>
      <c r="H224" s="75"/>
      <c r="I224" s="2"/>
      <c r="J224" s="83"/>
      <c r="K224" s="83"/>
      <c r="L224" s="85"/>
      <c r="M224" s="85"/>
      <c r="N224" s="85"/>
      <c r="O224" s="2"/>
      <c r="P224" s="92" t="n">
        <v>221</v>
      </c>
      <c r="Q224" s="93" t="n">
        <v>4877.815489114</v>
      </c>
      <c r="R224" s="93" t="n">
        <v>0.275330146563251</v>
      </c>
      <c r="S224" s="93" t="n">
        <v>0.0841192470733945</v>
      </c>
      <c r="T224" s="94" t="n">
        <v>0.0281606644752464</v>
      </c>
      <c r="U224" s="29"/>
      <c r="V224" s="29"/>
      <c r="W224" s="29"/>
      <c r="X224" s="29"/>
      <c r="Y224" s="29"/>
      <c r="Z224" s="75"/>
    </row>
    <row r="225" customFormat="false" ht="12.75" hidden="false" customHeight="true" outlineLevel="0" collapsed="false">
      <c r="A225" s="2"/>
      <c r="B225" s="2"/>
      <c r="C225" s="75"/>
      <c r="D225" s="75"/>
      <c r="E225" s="75"/>
      <c r="F225" s="75"/>
      <c r="G225" s="75"/>
      <c r="H225" s="75"/>
      <c r="I225" s="2"/>
      <c r="J225" s="83"/>
      <c r="K225" s="83"/>
      <c r="L225" s="85"/>
      <c r="M225" s="85"/>
      <c r="N225" s="85"/>
      <c r="O225" s="2"/>
      <c r="P225" s="92" t="n">
        <v>222</v>
      </c>
      <c r="Q225" s="93" t="n">
        <v>4900.79372407</v>
      </c>
      <c r="R225" s="93" t="n">
        <v>0.275318541457768</v>
      </c>
      <c r="S225" s="93" t="n">
        <v>0.089565329721333</v>
      </c>
      <c r="T225" s="94" t="n">
        <v>0.0306403954110324</v>
      </c>
      <c r="U225" s="29"/>
      <c r="V225" s="29"/>
      <c r="W225" s="29"/>
      <c r="X225" s="29"/>
      <c r="Y225" s="29"/>
      <c r="Z225" s="75"/>
    </row>
    <row r="226" customFormat="false" ht="12.75" hidden="false" customHeight="true" outlineLevel="0" collapsed="false">
      <c r="A226" s="2"/>
      <c r="B226" s="2"/>
      <c r="C226" s="75"/>
      <c r="D226" s="75"/>
      <c r="E226" s="75"/>
      <c r="F226" s="75"/>
      <c r="G226" s="75"/>
      <c r="H226" s="75"/>
      <c r="I226" s="2"/>
      <c r="J226" s="83"/>
      <c r="K226" s="83"/>
      <c r="L226" s="85"/>
      <c r="M226" s="85"/>
      <c r="N226" s="85"/>
      <c r="O226" s="2"/>
      <c r="P226" s="92" t="n">
        <v>223</v>
      </c>
      <c r="Q226" s="93" t="n">
        <v>4922.811868123</v>
      </c>
      <c r="R226" s="93" t="n">
        <v>0.275179156946004</v>
      </c>
      <c r="S226" s="93" t="n">
        <v>0.0898674161727445</v>
      </c>
      <c r="T226" s="94" t="n">
        <v>0.0326345806757975</v>
      </c>
      <c r="U226" s="29"/>
      <c r="V226" s="29"/>
      <c r="W226" s="29"/>
      <c r="X226" s="29"/>
      <c r="Y226" s="29"/>
      <c r="Z226" s="75"/>
    </row>
    <row r="227" customFormat="false" ht="12.75" hidden="false" customHeight="true" outlineLevel="0" collapsed="false">
      <c r="A227" s="2"/>
      <c r="B227" s="2"/>
      <c r="C227" s="75"/>
      <c r="D227" s="75"/>
      <c r="E227" s="75"/>
      <c r="F227" s="75"/>
      <c r="G227" s="75"/>
      <c r="H227" s="75"/>
      <c r="I227" s="2"/>
      <c r="J227" s="83"/>
      <c r="K227" s="83"/>
      <c r="L227" s="85"/>
      <c r="M227" s="85"/>
      <c r="N227" s="85"/>
      <c r="O227" s="2"/>
      <c r="P227" s="92" t="n">
        <v>224</v>
      </c>
      <c r="Q227" s="93" t="n">
        <v>4945.562620944</v>
      </c>
      <c r="R227" s="93" t="n">
        <v>0.274983466459701</v>
      </c>
      <c r="S227" s="93" t="n">
        <v>0.0934299622772472</v>
      </c>
      <c r="T227" s="94" t="n">
        <v>0.0347222720509223</v>
      </c>
      <c r="U227" s="29"/>
      <c r="V227" s="29"/>
      <c r="W227" s="29"/>
      <c r="X227" s="29"/>
      <c r="Y227" s="29"/>
      <c r="Z227" s="75"/>
    </row>
    <row r="228" customFormat="false" ht="12.75" hidden="false" customHeight="true" outlineLevel="0" collapsed="false">
      <c r="A228" s="2"/>
      <c r="B228" s="2"/>
      <c r="C228" s="75"/>
      <c r="D228" s="75"/>
      <c r="E228" s="75"/>
      <c r="F228" s="75"/>
      <c r="G228" s="75"/>
      <c r="H228" s="75"/>
      <c r="I228" s="2"/>
      <c r="J228" s="83"/>
      <c r="K228" s="83"/>
      <c r="L228" s="85"/>
      <c r="M228" s="85"/>
      <c r="N228" s="85"/>
      <c r="O228" s="2"/>
      <c r="P228" s="92" t="n">
        <v>225</v>
      </c>
      <c r="Q228" s="93" t="n">
        <v>4967.641333834</v>
      </c>
      <c r="R228" s="93" t="n">
        <v>0.275251192994251</v>
      </c>
      <c r="S228" s="93" t="n">
        <v>0.0930444448709036</v>
      </c>
      <c r="T228" s="94" t="n">
        <v>0.0356851872337169</v>
      </c>
      <c r="U228" s="29"/>
      <c r="V228" s="29"/>
      <c r="W228" s="29"/>
      <c r="X228" s="29"/>
      <c r="Y228" s="29"/>
      <c r="Z228" s="75"/>
    </row>
    <row r="229" customFormat="false" ht="12.75" hidden="false" customHeight="true" outlineLevel="0" collapsed="false">
      <c r="A229" s="2"/>
      <c r="B229" s="2"/>
      <c r="C229" s="75"/>
      <c r="D229" s="75"/>
      <c r="E229" s="75"/>
      <c r="F229" s="75"/>
      <c r="G229" s="75"/>
      <c r="H229" s="75"/>
      <c r="I229" s="2"/>
      <c r="J229" s="83"/>
      <c r="K229" s="83"/>
      <c r="L229" s="85"/>
      <c r="M229" s="85"/>
      <c r="N229" s="85"/>
      <c r="O229" s="2"/>
      <c r="P229" s="92" t="n">
        <v>226</v>
      </c>
      <c r="Q229" s="93" t="n">
        <v>4989.890896006</v>
      </c>
      <c r="R229" s="93" t="n">
        <v>0.275996310001076</v>
      </c>
      <c r="S229" s="93" t="n">
        <v>0.0925693026697653</v>
      </c>
      <c r="T229" s="94" t="n">
        <v>0.0364752338306543</v>
      </c>
      <c r="U229" s="29"/>
      <c r="V229" s="29"/>
      <c r="W229" s="29"/>
      <c r="X229" s="29"/>
      <c r="Y229" s="29"/>
      <c r="Z229" s="75"/>
    </row>
    <row r="230" customFormat="false" ht="12.75" hidden="false" customHeight="true" outlineLevel="0" collapsed="false">
      <c r="A230" s="2"/>
      <c r="B230" s="2"/>
      <c r="C230" s="75"/>
      <c r="D230" s="75"/>
      <c r="E230" s="75"/>
      <c r="F230" s="75"/>
      <c r="G230" s="75"/>
      <c r="H230" s="75"/>
      <c r="I230" s="2"/>
      <c r="J230" s="83"/>
      <c r="K230" s="83"/>
      <c r="L230" s="85"/>
      <c r="M230" s="85"/>
      <c r="N230" s="85"/>
      <c r="O230" s="2"/>
      <c r="P230" s="92" t="n">
        <v>227</v>
      </c>
      <c r="Q230" s="93" t="n">
        <v>5012.038361944</v>
      </c>
      <c r="R230" s="93" t="n">
        <v>0.27680338866596</v>
      </c>
      <c r="S230" s="93" t="n">
        <v>0.091621154328997</v>
      </c>
      <c r="T230" s="94" t="n">
        <v>0.0361777049898111</v>
      </c>
      <c r="U230" s="29"/>
      <c r="V230" s="29"/>
      <c r="W230" s="29"/>
      <c r="X230" s="29"/>
      <c r="Y230" s="29"/>
      <c r="Z230" s="75"/>
    </row>
    <row r="231" customFormat="false" ht="12.75" hidden="false" customHeight="true" outlineLevel="0" collapsed="false">
      <c r="A231" s="2"/>
      <c r="B231" s="2"/>
      <c r="C231" s="75"/>
      <c r="D231" s="75"/>
      <c r="E231" s="75"/>
      <c r="F231" s="75"/>
      <c r="G231" s="75"/>
      <c r="H231" s="75"/>
      <c r="I231" s="2"/>
      <c r="J231" s="83"/>
      <c r="K231" s="83"/>
      <c r="L231" s="85"/>
      <c r="M231" s="85"/>
      <c r="N231" s="85"/>
      <c r="O231" s="2"/>
      <c r="P231" s="92" t="n">
        <v>228</v>
      </c>
      <c r="Q231" s="93" t="n">
        <v>5034.480855747</v>
      </c>
      <c r="R231" s="93" t="n">
        <v>0.277175477557605</v>
      </c>
      <c r="S231" s="93" t="n">
        <v>0.090036661041905</v>
      </c>
      <c r="T231" s="94" t="n">
        <v>0.0348099868546688</v>
      </c>
      <c r="U231" s="29"/>
      <c r="V231" s="29"/>
      <c r="W231" s="29"/>
      <c r="X231" s="29"/>
      <c r="Y231" s="29"/>
      <c r="Z231" s="75"/>
    </row>
    <row r="232" customFormat="false" ht="12.75" hidden="false" customHeight="true" outlineLevel="0" collapsed="false">
      <c r="A232" s="2"/>
      <c r="B232" s="2"/>
      <c r="C232" s="75"/>
      <c r="D232" s="75"/>
      <c r="E232" s="75"/>
      <c r="F232" s="75"/>
      <c r="G232" s="75"/>
      <c r="H232" s="75"/>
      <c r="I232" s="2"/>
      <c r="J232" s="83"/>
      <c r="K232" s="83"/>
      <c r="L232" s="85"/>
      <c r="M232" s="85"/>
      <c r="N232" s="85"/>
      <c r="O232" s="2"/>
      <c r="P232" s="92" t="n">
        <v>229</v>
      </c>
      <c r="Q232" s="93" t="n">
        <v>5057.172201056</v>
      </c>
      <c r="R232" s="93" t="n">
        <v>0.277988389196248</v>
      </c>
      <c r="S232" s="93" t="n">
        <v>0.0882512949503201</v>
      </c>
      <c r="T232" s="94" t="n">
        <v>0.0325685317132275</v>
      </c>
      <c r="U232" s="29"/>
      <c r="V232" s="29"/>
      <c r="W232" s="29"/>
      <c r="X232" s="29"/>
      <c r="Y232" s="29"/>
      <c r="Z232" s="75"/>
    </row>
    <row r="233" customFormat="false" ht="12.75" hidden="false" customHeight="true" outlineLevel="0" collapsed="false">
      <c r="A233" s="2"/>
      <c r="B233" s="2"/>
      <c r="C233" s="75"/>
      <c r="D233" s="75"/>
      <c r="E233" s="75"/>
      <c r="F233" s="75"/>
      <c r="G233" s="75"/>
      <c r="H233" s="75"/>
      <c r="I233" s="2"/>
      <c r="J233" s="83"/>
      <c r="K233" s="83"/>
      <c r="L233" s="85"/>
      <c r="M233" s="85"/>
      <c r="N233" s="85"/>
      <c r="O233" s="2"/>
      <c r="P233" s="92" t="n">
        <v>230</v>
      </c>
      <c r="Q233" s="93" t="n">
        <v>5079.543969839</v>
      </c>
      <c r="R233" s="93" t="n">
        <v>0.278671549959335</v>
      </c>
      <c r="S233" s="93" t="n">
        <v>0.0870767321395644</v>
      </c>
      <c r="T233" s="94" t="n">
        <v>0.0303987476637785</v>
      </c>
      <c r="U233" s="29"/>
      <c r="V233" s="29"/>
      <c r="W233" s="29"/>
      <c r="X233" s="29"/>
      <c r="Y233" s="29"/>
      <c r="Z233" s="75"/>
    </row>
    <row r="234" customFormat="false" ht="12.75" hidden="false" customHeight="true" outlineLevel="0" collapsed="false">
      <c r="A234" s="2"/>
      <c r="B234" s="2"/>
      <c r="C234" s="75"/>
      <c r="D234" s="75"/>
      <c r="E234" s="75"/>
      <c r="F234" s="75"/>
      <c r="G234" s="75"/>
      <c r="H234" s="75"/>
      <c r="I234" s="2"/>
      <c r="J234" s="83"/>
      <c r="K234" s="83"/>
      <c r="L234" s="85"/>
      <c r="M234" s="85"/>
      <c r="N234" s="85"/>
      <c r="O234" s="2"/>
      <c r="P234" s="92" t="n">
        <v>231</v>
      </c>
      <c r="Q234" s="93" t="n">
        <v>5102.225448466</v>
      </c>
      <c r="R234" s="93" t="n">
        <v>0.279358328079396</v>
      </c>
      <c r="S234" s="93" t="n">
        <v>0.0868761792549109</v>
      </c>
      <c r="T234" s="94" t="n">
        <v>0.0276804123297775</v>
      </c>
      <c r="U234" s="29"/>
      <c r="V234" s="29"/>
      <c r="W234" s="29"/>
      <c r="X234" s="29"/>
      <c r="Y234" s="29"/>
      <c r="Z234" s="75"/>
    </row>
    <row r="235" customFormat="false" ht="12.75" hidden="false" customHeight="true" outlineLevel="0" collapsed="false">
      <c r="A235" s="2"/>
      <c r="B235" s="2"/>
      <c r="C235" s="75"/>
      <c r="D235" s="75"/>
      <c r="E235" s="75"/>
      <c r="F235" s="75"/>
      <c r="G235" s="75"/>
      <c r="H235" s="75"/>
      <c r="I235" s="2"/>
      <c r="J235" s="83"/>
      <c r="K235" s="83"/>
      <c r="L235" s="85"/>
      <c r="M235" s="85"/>
      <c r="N235" s="85"/>
      <c r="O235" s="2"/>
      <c r="P235" s="92" t="n">
        <v>232</v>
      </c>
      <c r="Q235" s="93" t="n">
        <v>5124.57418302</v>
      </c>
      <c r="R235" s="93" t="n">
        <v>0.279954863940001</v>
      </c>
      <c r="S235" s="93" t="n">
        <v>0.0875975174005061</v>
      </c>
      <c r="T235" s="94" t="n">
        <v>0.0254789164076956</v>
      </c>
      <c r="U235" s="29"/>
      <c r="V235" s="29"/>
      <c r="W235" s="29"/>
      <c r="X235" s="29"/>
      <c r="Y235" s="29"/>
      <c r="Z235" s="75"/>
    </row>
    <row r="236" customFormat="false" ht="12.75" hidden="false" customHeight="true" outlineLevel="0" collapsed="false">
      <c r="A236" s="2"/>
      <c r="B236" s="2"/>
      <c r="C236" s="75"/>
      <c r="D236" s="75"/>
      <c r="E236" s="75"/>
      <c r="F236" s="75"/>
      <c r="G236" s="75"/>
      <c r="H236" s="75"/>
      <c r="I236" s="2"/>
      <c r="J236" s="83"/>
      <c r="K236" s="83"/>
      <c r="L236" s="85"/>
      <c r="M236" s="85"/>
      <c r="N236" s="85"/>
      <c r="O236" s="2"/>
      <c r="P236" s="92" t="n">
        <v>233</v>
      </c>
      <c r="Q236" s="93" t="n">
        <v>5147.397239207</v>
      </c>
      <c r="R236" s="93" t="n">
        <v>0.280071646828643</v>
      </c>
      <c r="S236" s="93" t="n">
        <v>0.088650863745628</v>
      </c>
      <c r="T236" s="94" t="n">
        <v>0.0232694282827087</v>
      </c>
      <c r="U236" s="29"/>
      <c r="V236" s="29"/>
      <c r="W236" s="29"/>
      <c r="X236" s="29"/>
      <c r="Y236" s="29"/>
      <c r="Z236" s="75"/>
    </row>
    <row r="237" customFormat="false" ht="12.75" hidden="false" customHeight="true" outlineLevel="0" collapsed="false">
      <c r="A237" s="2"/>
      <c r="B237" s="2"/>
      <c r="C237" s="75"/>
      <c r="D237" s="75"/>
      <c r="E237" s="75"/>
      <c r="F237" s="75"/>
      <c r="G237" s="75"/>
      <c r="H237" s="75"/>
      <c r="I237" s="2"/>
      <c r="J237" s="83"/>
      <c r="K237" s="83"/>
      <c r="L237" s="85"/>
      <c r="M237" s="85"/>
      <c r="N237" s="85"/>
      <c r="O237" s="2"/>
      <c r="P237" s="92" t="n">
        <v>234</v>
      </c>
      <c r="Q237" s="93" t="n">
        <v>5169.36737077</v>
      </c>
      <c r="R237" s="93" t="n">
        <v>0.280334924733763</v>
      </c>
      <c r="S237" s="93" t="n">
        <v>0.089157254092177</v>
      </c>
      <c r="T237" s="94" t="n">
        <v>0.022107318355636</v>
      </c>
      <c r="U237" s="29"/>
      <c r="V237" s="29"/>
      <c r="W237" s="29"/>
      <c r="X237" s="29"/>
      <c r="Y237" s="29"/>
      <c r="Z237" s="75"/>
    </row>
    <row r="238" customFormat="false" ht="12.75" hidden="false" customHeight="true" outlineLevel="0" collapsed="false">
      <c r="A238" s="2"/>
      <c r="B238" s="2"/>
      <c r="C238" s="75"/>
      <c r="D238" s="75"/>
      <c r="E238" s="75"/>
      <c r="F238" s="75"/>
      <c r="G238" s="75"/>
      <c r="H238" s="75"/>
      <c r="I238" s="2"/>
      <c r="J238" s="83"/>
      <c r="K238" s="83"/>
      <c r="L238" s="85"/>
      <c r="M238" s="85"/>
      <c r="N238" s="85"/>
      <c r="O238" s="2"/>
      <c r="P238" s="92" t="n">
        <v>235</v>
      </c>
      <c r="Q238" s="93" t="n">
        <v>5191.902969444</v>
      </c>
      <c r="R238" s="93" t="n">
        <v>0.279701815236762</v>
      </c>
      <c r="S238" s="93" t="n">
        <v>0.0882433955532082</v>
      </c>
      <c r="T238" s="94" t="n">
        <v>0.0212719986964065</v>
      </c>
      <c r="U238" s="29"/>
      <c r="V238" s="29"/>
      <c r="W238" s="29"/>
      <c r="X238" s="29"/>
      <c r="Y238" s="29"/>
      <c r="Z238" s="75"/>
    </row>
    <row r="239" customFormat="false" ht="12.75" hidden="false" customHeight="true" outlineLevel="0" collapsed="false">
      <c r="A239" s="2"/>
      <c r="B239" s="2"/>
      <c r="C239" s="75"/>
      <c r="D239" s="75"/>
      <c r="E239" s="75"/>
      <c r="F239" s="75"/>
      <c r="G239" s="75"/>
      <c r="H239" s="75"/>
      <c r="I239" s="2"/>
      <c r="J239" s="83"/>
      <c r="K239" s="83"/>
      <c r="L239" s="83"/>
      <c r="M239" s="83"/>
      <c r="N239" s="83"/>
      <c r="O239" s="2"/>
      <c r="P239" s="75" t="n">
        <v>236</v>
      </c>
      <c r="Q239" s="146" t="n">
        <v>5214.527225547</v>
      </c>
      <c r="R239" s="146" t="n">
        <v>0.279349955266232</v>
      </c>
      <c r="S239" s="146" t="n">
        <v>0.0857359144768609</v>
      </c>
      <c r="T239" s="146" t="n">
        <v>0.0213193806648071</v>
      </c>
      <c r="U239" s="29"/>
      <c r="V239" s="29"/>
      <c r="W239" s="29"/>
      <c r="X239" s="29"/>
      <c r="Y239" s="29"/>
      <c r="Z239" s="75"/>
    </row>
    <row r="240" customFormat="false" ht="12.75" hidden="false" customHeight="true" outlineLevel="0" collapsed="false">
      <c r="A240" s="2"/>
      <c r="B240" s="2"/>
      <c r="C240" s="75"/>
      <c r="D240" s="75"/>
      <c r="E240" s="75"/>
      <c r="F240" s="75"/>
      <c r="G240" s="75"/>
      <c r="H240" s="75"/>
      <c r="I240" s="2"/>
      <c r="J240" s="83"/>
      <c r="K240" s="83"/>
      <c r="L240" s="83"/>
      <c r="M240" s="83"/>
      <c r="N240" s="83"/>
      <c r="O240" s="2"/>
      <c r="P240" s="75" t="n">
        <v>237</v>
      </c>
      <c r="Q240" s="146" t="n">
        <v>5236.498682735</v>
      </c>
      <c r="R240" s="146" t="n">
        <v>0.279183051765373</v>
      </c>
      <c r="S240" s="146" t="n">
        <v>0.0844386788466763</v>
      </c>
      <c r="T240" s="146" t="n">
        <v>0.0219315940877361</v>
      </c>
      <c r="U240" s="29"/>
      <c r="V240" s="29"/>
      <c r="W240" s="29"/>
      <c r="X240" s="29"/>
      <c r="Y240" s="29"/>
      <c r="Z240" s="75"/>
    </row>
    <row r="241" customFormat="false" ht="12.75" hidden="false" customHeight="true" outlineLevel="0" collapsed="false">
      <c r="A241" s="2"/>
      <c r="B241" s="2"/>
      <c r="C241" s="75"/>
      <c r="D241" s="75"/>
      <c r="E241" s="75"/>
      <c r="F241" s="75"/>
      <c r="G241" s="75"/>
      <c r="H241" s="75"/>
      <c r="I241" s="2"/>
      <c r="J241" s="83"/>
      <c r="K241" s="83"/>
      <c r="L241" s="83"/>
      <c r="M241" s="83"/>
      <c r="N241" s="83"/>
      <c r="O241" s="2"/>
      <c r="P241" s="75" t="n">
        <v>238</v>
      </c>
      <c r="Q241" s="146" t="n">
        <v>5258.787702328</v>
      </c>
      <c r="R241" s="146" t="n">
        <v>0.278519382297818</v>
      </c>
      <c r="S241" s="146" t="n">
        <v>0.0807978215569261</v>
      </c>
      <c r="T241" s="146" t="n">
        <v>0.022067499059137</v>
      </c>
      <c r="U241" s="29"/>
      <c r="V241" s="29"/>
      <c r="W241" s="29"/>
      <c r="X241" s="29"/>
      <c r="Y241" s="29"/>
      <c r="Z241" s="75"/>
    </row>
    <row r="242" customFormat="false" ht="12.75" hidden="false" customHeight="true" outlineLevel="0" collapsed="false">
      <c r="A242" s="2"/>
      <c r="B242" s="2"/>
      <c r="C242" s="75"/>
      <c r="D242" s="75"/>
      <c r="E242" s="75"/>
      <c r="F242" s="75"/>
      <c r="G242" s="75"/>
      <c r="H242" s="75"/>
      <c r="I242" s="2"/>
      <c r="J242" s="83"/>
      <c r="K242" s="83"/>
      <c r="L242" s="83"/>
      <c r="M242" s="83"/>
      <c r="N242" s="83"/>
      <c r="O242" s="2"/>
      <c r="P242" s="75" t="n">
        <v>239</v>
      </c>
      <c r="Q242" s="146" t="n">
        <v>5281.308040051</v>
      </c>
      <c r="R242" s="146" t="n">
        <v>0.278581383784872</v>
      </c>
      <c r="S242" s="146" t="n">
        <v>0.0770067459004865</v>
      </c>
      <c r="T242" s="146" t="n">
        <v>0.0238186003607598</v>
      </c>
      <c r="U242" s="29"/>
      <c r="V242" s="29"/>
      <c r="W242" s="29"/>
      <c r="X242" s="29"/>
      <c r="Y242" s="29"/>
      <c r="Z242" s="75"/>
    </row>
    <row r="243" customFormat="false" ht="12.75" hidden="false" customHeight="true" outlineLevel="0" collapsed="false">
      <c r="A243" s="2"/>
      <c r="B243" s="2"/>
      <c r="C243" s="75"/>
      <c r="D243" s="75"/>
      <c r="E243" s="75"/>
      <c r="F243" s="75"/>
      <c r="G243" s="75"/>
      <c r="H243" s="75"/>
      <c r="I243" s="2"/>
      <c r="J243" s="83"/>
      <c r="K243" s="83"/>
      <c r="L243" s="83"/>
      <c r="M243" s="83"/>
      <c r="N243" s="83"/>
      <c r="O243" s="2"/>
      <c r="P243" s="75" t="n">
        <v>240</v>
      </c>
      <c r="Q243" s="146" t="n">
        <v>5303.133934015</v>
      </c>
      <c r="R243" s="146" t="n">
        <v>0.278510338739669</v>
      </c>
      <c r="S243" s="146" t="n">
        <v>0.0752500357960039</v>
      </c>
      <c r="T243" s="146" t="n">
        <v>0.0253781382261869</v>
      </c>
      <c r="U243" s="29"/>
      <c r="V243" s="29"/>
      <c r="W243" s="29"/>
      <c r="X243" s="29"/>
      <c r="Y243" s="29"/>
      <c r="Z243" s="75"/>
    </row>
    <row r="244" customFormat="false" ht="12.75" hidden="false" customHeight="true" outlineLevel="0" collapsed="false">
      <c r="A244" s="2"/>
      <c r="B244" s="2"/>
      <c r="C244" s="75"/>
      <c r="D244" s="75"/>
      <c r="E244" s="75"/>
      <c r="F244" s="75"/>
      <c r="G244" s="75"/>
      <c r="H244" s="75"/>
      <c r="I244" s="2"/>
      <c r="J244" s="83"/>
      <c r="K244" s="83"/>
      <c r="L244" s="83"/>
      <c r="M244" s="83"/>
      <c r="N244" s="83"/>
      <c r="O244" s="2"/>
      <c r="P244" s="75" t="n">
        <v>241</v>
      </c>
      <c r="Q244" s="146" t="n">
        <v>5325.370866703</v>
      </c>
      <c r="R244" s="146" t="n">
        <v>0.278285338602915</v>
      </c>
      <c r="S244" s="146" t="n">
        <v>0.0728788043838267</v>
      </c>
      <c r="T244" s="146" t="n">
        <v>0.0267199884839168</v>
      </c>
      <c r="U244" s="29"/>
      <c r="V244" s="29"/>
      <c r="W244" s="29"/>
      <c r="X244" s="29"/>
      <c r="Y244" s="29"/>
      <c r="Z244" s="75"/>
    </row>
    <row r="245" customFormat="false" ht="12.75" hidden="false" customHeight="true" outlineLevel="0" collapsed="false">
      <c r="A245" s="2"/>
      <c r="B245" s="2"/>
      <c r="C245" s="75"/>
      <c r="D245" s="75"/>
      <c r="E245" s="75"/>
      <c r="F245" s="75"/>
      <c r="G245" s="75"/>
      <c r="H245" s="75"/>
      <c r="I245" s="2"/>
      <c r="J245" s="83"/>
      <c r="K245" s="83"/>
      <c r="L245" s="83"/>
      <c r="M245" s="83"/>
      <c r="N245" s="83"/>
      <c r="O245" s="2"/>
      <c r="P245" s="75" t="n">
        <v>242</v>
      </c>
      <c r="Q245" s="146" t="n">
        <v>5347.679454498</v>
      </c>
      <c r="R245" s="146" t="n">
        <v>0.278106092258573</v>
      </c>
      <c r="S245" s="146" t="n">
        <v>0.0720488977275567</v>
      </c>
      <c r="T245" s="146" t="n">
        <v>0.0282479774216669</v>
      </c>
      <c r="U245" s="29"/>
      <c r="V245" s="29"/>
      <c r="W245" s="29"/>
      <c r="X245" s="29"/>
      <c r="Y245" s="29"/>
      <c r="Z245" s="75"/>
    </row>
    <row r="246" customFormat="false" ht="12.75" hidden="false" customHeight="true" outlineLevel="0" collapsed="false">
      <c r="A246" s="2"/>
      <c r="B246" s="2"/>
      <c r="C246" s="75"/>
      <c r="D246" s="75"/>
      <c r="E246" s="75"/>
      <c r="F246" s="75"/>
      <c r="G246" s="75"/>
      <c r="H246" s="75"/>
      <c r="I246" s="2"/>
      <c r="J246" s="83"/>
      <c r="K246" s="83"/>
      <c r="L246" s="83"/>
      <c r="M246" s="83"/>
      <c r="N246" s="83"/>
      <c r="O246" s="2"/>
      <c r="P246" s="75" t="n">
        <v>243</v>
      </c>
      <c r="Q246" s="146" t="n">
        <v>5370.307747566</v>
      </c>
      <c r="R246" s="146" t="n">
        <v>0.277976397852044</v>
      </c>
      <c r="S246" s="146" t="n">
        <v>0.0714348478439674</v>
      </c>
      <c r="T246" s="146" t="n">
        <v>0.029335457193922</v>
      </c>
      <c r="U246" s="29"/>
      <c r="V246" s="29"/>
      <c r="W246" s="29"/>
      <c r="X246" s="29"/>
      <c r="Y246" s="29"/>
      <c r="Z246" s="75"/>
    </row>
    <row r="247" customFormat="false" ht="12.75" hidden="false" customHeight="true" outlineLevel="0" collapsed="false">
      <c r="A247" s="2"/>
      <c r="B247" s="2"/>
      <c r="C247" s="75"/>
      <c r="D247" s="75"/>
      <c r="E247" s="75"/>
      <c r="F247" s="75"/>
      <c r="G247" s="75"/>
      <c r="H247" s="75"/>
      <c r="I247" s="2"/>
      <c r="J247" s="83"/>
      <c r="K247" s="83"/>
      <c r="L247" s="83"/>
      <c r="M247" s="83"/>
      <c r="N247" s="83"/>
      <c r="O247" s="2"/>
      <c r="P247" s="75" t="n">
        <v>244</v>
      </c>
      <c r="Q247" s="146" t="n">
        <v>5392.936828991</v>
      </c>
      <c r="R247" s="146" t="n">
        <v>0.277576308849329</v>
      </c>
      <c r="S247" s="146" t="n">
        <v>0.0713077800714197</v>
      </c>
      <c r="T247" s="146" t="n">
        <v>0.0298832504166932</v>
      </c>
      <c r="U247" s="29"/>
      <c r="V247" s="29"/>
      <c r="W247" s="29"/>
      <c r="X247" s="29"/>
      <c r="Y247" s="29"/>
      <c r="Z247" s="75"/>
    </row>
    <row r="248" customFormat="false" ht="12.75" hidden="false" customHeight="true" outlineLevel="0" collapsed="false">
      <c r="A248" s="2"/>
      <c r="B248" s="2"/>
      <c r="C248" s="75"/>
      <c r="D248" s="75"/>
      <c r="E248" s="75"/>
      <c r="F248" s="75"/>
      <c r="G248" s="75"/>
      <c r="H248" s="75"/>
      <c r="I248" s="2"/>
      <c r="J248" s="83"/>
      <c r="K248" s="83"/>
      <c r="L248" s="83"/>
      <c r="M248" s="83"/>
      <c r="N248" s="83"/>
      <c r="O248" s="2"/>
      <c r="P248" s="75" t="n">
        <v>245</v>
      </c>
      <c r="Q248" s="146" t="n">
        <v>5415.669990666</v>
      </c>
      <c r="R248" s="146" t="n">
        <v>0.27711095707288</v>
      </c>
      <c r="S248" s="146" t="n">
        <v>0.0686722742673202</v>
      </c>
      <c r="T248" s="146" t="n">
        <v>0.0292822781525776</v>
      </c>
      <c r="U248" s="29"/>
      <c r="V248" s="29"/>
      <c r="W248" s="29"/>
      <c r="X248" s="29"/>
      <c r="Y248" s="29"/>
      <c r="Z248" s="75"/>
    </row>
    <row r="249" customFormat="false" ht="12.75" hidden="false" customHeight="true" outlineLevel="0" collapsed="false">
      <c r="A249" s="2"/>
      <c r="B249" s="2"/>
      <c r="C249" s="75"/>
      <c r="D249" s="75"/>
      <c r="E249" s="75"/>
      <c r="F249" s="75"/>
      <c r="G249" s="75"/>
      <c r="H249" s="75"/>
      <c r="I249" s="2"/>
      <c r="J249" s="83"/>
      <c r="K249" s="83"/>
      <c r="L249" s="83"/>
      <c r="M249" s="83"/>
      <c r="N249" s="83"/>
      <c r="O249" s="2"/>
      <c r="P249" s="75" t="n">
        <v>246</v>
      </c>
      <c r="Q249" s="146" t="n">
        <v>5438.504390824</v>
      </c>
      <c r="R249" s="146" t="n">
        <v>0.277116568063225</v>
      </c>
      <c r="S249" s="146" t="n">
        <v>0.0636154106835612</v>
      </c>
      <c r="T249" s="146" t="n">
        <v>0.0286585645988605</v>
      </c>
      <c r="U249" s="29"/>
      <c r="V249" s="29"/>
      <c r="W249" s="29"/>
      <c r="X249" s="29"/>
      <c r="Y249" s="29"/>
      <c r="Z249" s="75"/>
    </row>
    <row r="250" customFormat="false" ht="12.75" hidden="false" customHeight="true" outlineLevel="0" collapsed="false">
      <c r="A250" s="2"/>
      <c r="B250" s="2"/>
      <c r="C250" s="75"/>
      <c r="D250" s="75"/>
      <c r="E250" s="75"/>
      <c r="F250" s="75"/>
      <c r="G250" s="75"/>
      <c r="H250" s="75"/>
      <c r="I250" s="2"/>
      <c r="J250" s="83"/>
      <c r="K250" s="83"/>
      <c r="L250" s="83"/>
      <c r="M250" s="83"/>
      <c r="N250" s="83"/>
      <c r="O250" s="2"/>
      <c r="P250" s="75" t="n">
        <v>247</v>
      </c>
      <c r="Q250" s="146" t="n">
        <v>5461.070885286</v>
      </c>
      <c r="R250" s="146" t="n">
        <v>0.277089602166467</v>
      </c>
      <c r="S250" s="146" t="n">
        <v>0.0578261822037072</v>
      </c>
      <c r="T250" s="146" t="n">
        <v>0.027335973899119</v>
      </c>
      <c r="U250" s="29"/>
      <c r="V250" s="29"/>
      <c r="W250" s="29"/>
      <c r="X250" s="29"/>
      <c r="Y250" s="29"/>
      <c r="Z250" s="75"/>
    </row>
    <row r="251" customFormat="false" ht="12.75" hidden="false" customHeight="true" outlineLevel="0" collapsed="false">
      <c r="A251" s="2"/>
      <c r="B251" s="2"/>
      <c r="C251" s="75"/>
      <c r="D251" s="75"/>
      <c r="E251" s="75"/>
      <c r="F251" s="75"/>
      <c r="G251" s="75"/>
      <c r="H251" s="75"/>
      <c r="I251" s="2"/>
      <c r="J251" s="83"/>
      <c r="K251" s="83"/>
      <c r="L251" s="83"/>
      <c r="M251" s="83"/>
      <c r="N251" s="83"/>
      <c r="O251" s="2"/>
      <c r="P251" s="75" t="n">
        <v>248</v>
      </c>
      <c r="Q251" s="146" t="n">
        <v>5483.379299872</v>
      </c>
      <c r="R251" s="146" t="n">
        <v>0.277299602824529</v>
      </c>
      <c r="S251" s="146" t="n">
        <v>0.0552435898694964</v>
      </c>
      <c r="T251" s="146" t="n">
        <v>0.0260996830043667</v>
      </c>
      <c r="U251" s="29"/>
      <c r="V251" s="29"/>
      <c r="W251" s="29"/>
      <c r="X251" s="29"/>
      <c r="Y251" s="29"/>
      <c r="Z251" s="75"/>
    </row>
    <row r="252" customFormat="false" ht="12.75" hidden="false" customHeight="true" outlineLevel="0" collapsed="false">
      <c r="A252" s="2"/>
      <c r="B252" s="2"/>
      <c r="C252" s="75"/>
      <c r="D252" s="75"/>
      <c r="E252" s="75"/>
      <c r="F252" s="75"/>
      <c r="G252" s="75"/>
      <c r="H252" s="75"/>
      <c r="I252" s="2"/>
      <c r="J252" s="83"/>
      <c r="K252" s="83"/>
      <c r="L252" s="83"/>
      <c r="M252" s="83"/>
      <c r="N252" s="83"/>
      <c r="O252" s="2"/>
      <c r="P252" s="75" t="n">
        <v>249</v>
      </c>
      <c r="Q252" s="146" t="n">
        <v>5506.008751906</v>
      </c>
      <c r="R252" s="146" t="n">
        <v>0.27773983266509</v>
      </c>
      <c r="S252" s="146" t="n">
        <v>0.0515358928519287</v>
      </c>
      <c r="T252" s="146" t="n">
        <v>0.0243177653244908</v>
      </c>
      <c r="U252" s="29"/>
      <c r="V252" s="29"/>
      <c r="W252" s="29"/>
      <c r="X252" s="29"/>
      <c r="Y252" s="29"/>
      <c r="Z252" s="75"/>
    </row>
    <row r="253" customFormat="false" ht="12.75" hidden="false" customHeight="true" outlineLevel="0" collapsed="false">
      <c r="A253" s="2"/>
      <c r="B253" s="2"/>
      <c r="C253" s="75"/>
      <c r="D253" s="75"/>
      <c r="E253" s="75"/>
      <c r="F253" s="75"/>
      <c r="G253" s="75"/>
      <c r="H253" s="75"/>
      <c r="I253" s="2"/>
      <c r="J253" s="83"/>
      <c r="K253" s="83"/>
      <c r="L253" s="83"/>
      <c r="M253" s="83"/>
      <c r="N253" s="83"/>
      <c r="O253" s="2"/>
      <c r="P253" s="75" t="n">
        <v>250</v>
      </c>
      <c r="Q253" s="146" t="n">
        <v>5527.830756279</v>
      </c>
      <c r="R253" s="146" t="n">
        <v>0.277827314482372</v>
      </c>
      <c r="S253" s="146" t="n">
        <v>0.0514415263336833</v>
      </c>
      <c r="T253" s="146" t="n">
        <v>0.0222399445241532</v>
      </c>
      <c r="U253" s="29"/>
      <c r="V253" s="29"/>
      <c r="W253" s="29"/>
      <c r="X253" s="29"/>
      <c r="Y253" s="29"/>
      <c r="Z253" s="75"/>
    </row>
    <row r="254" customFormat="false" ht="12.75" hidden="false" customHeight="true" outlineLevel="0" collapsed="false">
      <c r="A254" s="2"/>
      <c r="B254" s="2"/>
      <c r="C254" s="75"/>
      <c r="D254" s="75"/>
      <c r="E254" s="75"/>
      <c r="F254" s="75"/>
      <c r="G254" s="75"/>
      <c r="H254" s="75"/>
      <c r="I254" s="2"/>
      <c r="J254" s="83"/>
      <c r="K254" s="83"/>
      <c r="L254" s="83"/>
      <c r="M254" s="83"/>
      <c r="N254" s="83"/>
      <c r="O254" s="2"/>
      <c r="P254" s="75" t="n">
        <v>251</v>
      </c>
      <c r="Q254" s="146" t="n">
        <v>5550.574054278</v>
      </c>
      <c r="R254" s="146" t="n">
        <v>0.277899909779715</v>
      </c>
      <c r="S254" s="146" t="n">
        <v>0.0515707277281528</v>
      </c>
      <c r="T254" s="146" t="n">
        <v>0.0209304348336884</v>
      </c>
      <c r="U254" s="29"/>
      <c r="V254" s="29"/>
      <c r="W254" s="29"/>
      <c r="X254" s="29"/>
      <c r="Y254" s="29"/>
      <c r="Z254" s="75"/>
    </row>
    <row r="255" customFormat="false" ht="12.75" hidden="false" customHeight="true" outlineLevel="0" collapsed="false">
      <c r="A255" s="2"/>
      <c r="B255" s="2"/>
      <c r="C255" s="75"/>
      <c r="D255" s="75"/>
      <c r="E255" s="75"/>
      <c r="F255" s="75"/>
      <c r="G255" s="75"/>
      <c r="H255" s="75"/>
      <c r="I255" s="2"/>
      <c r="J255" s="83"/>
      <c r="K255" s="83"/>
      <c r="L255" s="83"/>
      <c r="M255" s="83"/>
      <c r="N255" s="83"/>
      <c r="O255" s="2"/>
      <c r="P255" s="75" t="n">
        <v>252</v>
      </c>
      <c r="Q255" s="146" t="n">
        <v>5572.389656806</v>
      </c>
      <c r="R255" s="146" t="n">
        <v>0.27791616458607</v>
      </c>
      <c r="S255" s="146" t="n">
        <v>0.0524727135290794</v>
      </c>
      <c r="T255" s="146" t="n">
        <v>0.0185364522967146</v>
      </c>
      <c r="U255" s="29"/>
      <c r="V255" s="29"/>
      <c r="W255" s="29"/>
      <c r="X255" s="29"/>
      <c r="Y255" s="29"/>
      <c r="Z255" s="75"/>
    </row>
    <row r="256" customFormat="false" ht="12.75" hidden="false" customHeight="true" outlineLevel="0" collapsed="false">
      <c r="A256" s="2"/>
      <c r="B256" s="2"/>
      <c r="C256" s="75"/>
      <c r="D256" s="75"/>
      <c r="E256" s="75"/>
      <c r="F256" s="75"/>
      <c r="G256" s="75"/>
      <c r="H256" s="75"/>
      <c r="I256" s="2"/>
      <c r="J256" s="83"/>
      <c r="K256" s="83"/>
      <c r="L256" s="83"/>
      <c r="M256" s="83"/>
      <c r="N256" s="83"/>
      <c r="O256" s="2"/>
      <c r="P256" s="75" t="n">
        <v>253</v>
      </c>
      <c r="Q256" s="146" t="n">
        <v>5595.084647022</v>
      </c>
      <c r="R256" s="146" t="n">
        <v>0.27740038315506</v>
      </c>
      <c r="S256" s="146" t="n">
        <v>0.0563607331730251</v>
      </c>
      <c r="T256" s="146" t="n">
        <v>0.018159596479484</v>
      </c>
      <c r="U256" s="29"/>
      <c r="V256" s="29"/>
      <c r="W256" s="29"/>
      <c r="X256" s="29"/>
      <c r="Y256" s="29"/>
      <c r="Z256" s="75"/>
    </row>
    <row r="257" customFormat="false" ht="12.75" hidden="false" customHeight="true" outlineLevel="0" collapsed="false">
      <c r="A257" s="2"/>
      <c r="B257" s="2"/>
      <c r="C257" s="75"/>
      <c r="D257" s="75"/>
      <c r="E257" s="75"/>
      <c r="F257" s="75"/>
      <c r="G257" s="75"/>
      <c r="H257" s="75"/>
      <c r="I257" s="2"/>
      <c r="J257" s="83"/>
      <c r="K257" s="83"/>
      <c r="L257" s="83"/>
      <c r="M257" s="83"/>
      <c r="N257" s="83"/>
      <c r="O257" s="2"/>
      <c r="P257" s="75" t="n">
        <v>254</v>
      </c>
      <c r="Q257" s="146" t="n">
        <v>5616.781202973</v>
      </c>
      <c r="R257" s="146" t="n">
        <v>0.276956373945804</v>
      </c>
      <c r="S257" s="146" t="n">
        <v>0.0574203106995809</v>
      </c>
      <c r="T257" s="146" t="n">
        <v>0.0155185584808152</v>
      </c>
      <c r="U257" s="29"/>
      <c r="V257" s="29"/>
      <c r="W257" s="29"/>
      <c r="X257" s="29"/>
      <c r="Y257" s="29"/>
      <c r="Z257" s="75"/>
    </row>
    <row r="258" customFormat="false" ht="12.75" hidden="false" customHeight="true" outlineLevel="0" collapsed="false">
      <c r="A258" s="2"/>
      <c r="B258" s="2"/>
      <c r="C258" s="75"/>
      <c r="D258" s="75"/>
      <c r="E258" s="75"/>
      <c r="F258" s="75"/>
      <c r="G258" s="75"/>
      <c r="H258" s="75"/>
      <c r="I258" s="2"/>
      <c r="J258" s="83"/>
      <c r="K258" s="83"/>
      <c r="L258" s="83"/>
      <c r="M258" s="83"/>
      <c r="N258" s="83"/>
      <c r="O258" s="2"/>
      <c r="P258" s="75" t="n">
        <v>255</v>
      </c>
      <c r="Q258" s="146" t="n">
        <v>5639.040869734</v>
      </c>
      <c r="R258" s="146" t="n">
        <v>0.276803209606451</v>
      </c>
      <c r="S258" s="146" t="n">
        <v>0.0593322876185507</v>
      </c>
      <c r="T258" s="146" t="n">
        <v>0.0138360854541393</v>
      </c>
      <c r="U258" s="29"/>
      <c r="V258" s="29"/>
      <c r="W258" s="29"/>
      <c r="X258" s="29"/>
      <c r="Y258" s="29"/>
      <c r="Z258" s="75"/>
    </row>
    <row r="259" customFormat="false" ht="12.75" hidden="false" customHeight="true" outlineLevel="0" collapsed="false">
      <c r="A259" s="2"/>
      <c r="B259" s="2"/>
      <c r="C259" s="75"/>
      <c r="D259" s="75"/>
      <c r="E259" s="75"/>
      <c r="F259" s="75"/>
      <c r="G259" s="75"/>
      <c r="H259" s="75"/>
      <c r="I259" s="2"/>
      <c r="J259" s="83"/>
      <c r="K259" s="83"/>
      <c r="L259" s="83"/>
      <c r="M259" s="83"/>
      <c r="N259" s="83"/>
      <c r="O259" s="2"/>
      <c r="P259" s="75" t="n">
        <v>256</v>
      </c>
      <c r="Q259" s="146" t="n">
        <v>5661.204090729</v>
      </c>
      <c r="R259" s="146" t="n">
        <v>0.276622422764237</v>
      </c>
      <c r="S259" s="146" t="n">
        <v>0.0593478395963843</v>
      </c>
      <c r="T259" s="146" t="n">
        <v>0.0123406060606919</v>
      </c>
      <c r="U259" s="29"/>
      <c r="V259" s="29"/>
      <c r="W259" s="29"/>
      <c r="X259" s="29"/>
      <c r="Y259" s="29"/>
      <c r="Z259" s="75"/>
    </row>
    <row r="260" customFormat="false" ht="12.75" hidden="false" customHeight="true" outlineLevel="0" collapsed="false">
      <c r="A260" s="2"/>
      <c r="B260" s="2"/>
      <c r="C260" s="75"/>
      <c r="D260" s="75"/>
      <c r="E260" s="75"/>
      <c r="F260" s="75"/>
      <c r="G260" s="75"/>
      <c r="H260" s="75"/>
      <c r="I260" s="2"/>
      <c r="J260" s="83"/>
      <c r="K260" s="83"/>
      <c r="L260" s="83"/>
      <c r="M260" s="83"/>
      <c r="N260" s="83"/>
      <c r="O260" s="2"/>
      <c r="P260" s="75" t="n">
        <v>257</v>
      </c>
      <c r="Q260" s="146" t="n">
        <v>5683.541448557</v>
      </c>
      <c r="R260" s="146" t="n">
        <v>0.277000625453288</v>
      </c>
      <c r="S260" s="146" t="n">
        <v>0.0593052769951849</v>
      </c>
      <c r="T260" s="146" t="n">
        <v>0.0118148035492142</v>
      </c>
      <c r="U260" s="29"/>
      <c r="V260" s="29"/>
      <c r="W260" s="29"/>
      <c r="X260" s="29"/>
      <c r="Y260" s="29"/>
      <c r="Z260" s="75"/>
    </row>
    <row r="261" customFormat="false" ht="12.75" hidden="false" customHeight="true" outlineLevel="0" collapsed="false">
      <c r="A261" s="2"/>
      <c r="B261" s="2"/>
      <c r="C261" s="75"/>
      <c r="D261" s="75"/>
      <c r="E261" s="75"/>
      <c r="F261" s="75"/>
      <c r="G261" s="75"/>
      <c r="H261" s="75"/>
      <c r="I261" s="2"/>
      <c r="J261" s="83"/>
      <c r="K261" s="83"/>
      <c r="L261" s="83"/>
      <c r="M261" s="83"/>
      <c r="N261" s="83"/>
      <c r="O261" s="2"/>
      <c r="P261" s="75" t="n">
        <v>258</v>
      </c>
      <c r="Q261" s="146" t="n">
        <v>5706.062194539</v>
      </c>
      <c r="R261" s="146" t="n">
        <v>0.276603612592851</v>
      </c>
      <c r="S261" s="146" t="n">
        <v>0.0588034004530395</v>
      </c>
      <c r="T261" s="146" t="n">
        <v>0.012010258893389</v>
      </c>
      <c r="U261" s="29"/>
      <c r="V261" s="29"/>
      <c r="W261" s="29"/>
      <c r="X261" s="29"/>
      <c r="Y261" s="29"/>
      <c r="Z261" s="75"/>
    </row>
    <row r="262" customFormat="false" ht="12.75" hidden="false" customHeight="true" outlineLevel="0" collapsed="false">
      <c r="A262" s="2"/>
      <c r="B262" s="2"/>
      <c r="C262" s="75"/>
      <c r="D262" s="75"/>
      <c r="E262" s="75"/>
      <c r="F262" s="75"/>
      <c r="G262" s="75"/>
      <c r="H262" s="75"/>
      <c r="I262" s="2"/>
      <c r="J262" s="83"/>
      <c r="K262" s="83"/>
      <c r="L262" s="83"/>
      <c r="M262" s="83"/>
      <c r="N262" s="83"/>
      <c r="O262" s="2"/>
      <c r="P262" s="75" t="n">
        <v>259</v>
      </c>
      <c r="Q262" s="146" t="n">
        <v>5727.673178573</v>
      </c>
      <c r="R262" s="146" t="n">
        <v>0.276564568381167</v>
      </c>
      <c r="S262" s="146" t="n">
        <v>0.0594498245718294</v>
      </c>
      <c r="T262" s="146" t="n">
        <v>0.0128796739902</v>
      </c>
      <c r="U262" s="29"/>
      <c r="V262" s="29"/>
      <c r="W262" s="29"/>
      <c r="X262" s="29"/>
      <c r="Y262" s="29"/>
      <c r="Z262" s="75"/>
    </row>
    <row r="263" customFormat="false" ht="12.75" hidden="false" customHeight="true" outlineLevel="0" collapsed="false">
      <c r="A263" s="2"/>
      <c r="B263" s="2"/>
      <c r="C263" s="75"/>
      <c r="D263" s="75"/>
      <c r="E263" s="75"/>
      <c r="F263" s="75"/>
      <c r="G263" s="75"/>
      <c r="H263" s="75"/>
      <c r="I263" s="2"/>
      <c r="J263" s="83"/>
      <c r="K263" s="83"/>
      <c r="L263" s="83"/>
      <c r="M263" s="83"/>
      <c r="N263" s="83"/>
      <c r="O263" s="2"/>
      <c r="P263" s="75" t="n">
        <v>260</v>
      </c>
      <c r="Q263" s="146" t="n">
        <v>5749.58932236</v>
      </c>
      <c r="R263" s="146" t="n">
        <v>0.276196033301667</v>
      </c>
      <c r="S263" s="146" t="n">
        <v>0.0622861514166443</v>
      </c>
      <c r="T263" s="146" t="n">
        <v>0.0148086275631963</v>
      </c>
      <c r="U263" s="29"/>
      <c r="V263" s="29"/>
      <c r="W263" s="29"/>
      <c r="X263" s="29"/>
      <c r="Y263" s="29"/>
      <c r="Z263" s="75"/>
    </row>
    <row r="264" customFormat="false" ht="12.75" hidden="false" customHeight="true" outlineLevel="0" collapsed="false">
      <c r="A264" s="2"/>
      <c r="B264" s="2"/>
      <c r="C264" s="75"/>
      <c r="D264" s="75"/>
      <c r="E264" s="75"/>
      <c r="F264" s="75"/>
      <c r="G264" s="75"/>
      <c r="H264" s="75"/>
      <c r="I264" s="2"/>
      <c r="J264" s="83"/>
      <c r="K264" s="83"/>
      <c r="L264" s="83"/>
      <c r="M264" s="83"/>
      <c r="N264" s="83"/>
      <c r="O264" s="2"/>
      <c r="P264" s="75" t="n">
        <v>261</v>
      </c>
      <c r="Q264" s="146" t="n">
        <v>5771.638619429</v>
      </c>
      <c r="R264" s="146" t="n">
        <v>0.275520419516115</v>
      </c>
      <c r="S264" s="146" t="n">
        <v>0.0647199499675084</v>
      </c>
      <c r="T264" s="146" t="n">
        <v>0.017274488642987</v>
      </c>
      <c r="U264" s="29"/>
      <c r="V264" s="29"/>
      <c r="W264" s="29"/>
      <c r="X264" s="29"/>
      <c r="Y264" s="29"/>
      <c r="Z264" s="75"/>
    </row>
    <row r="265" customFormat="false" ht="12.75" hidden="false" customHeight="true" outlineLevel="0" collapsed="false">
      <c r="A265" s="2"/>
      <c r="B265" s="2"/>
      <c r="C265" s="75"/>
      <c r="D265" s="75"/>
      <c r="E265" s="75"/>
      <c r="F265" s="75"/>
      <c r="G265" s="75"/>
      <c r="H265" s="75"/>
      <c r="I265" s="2"/>
      <c r="J265" s="83"/>
      <c r="K265" s="83"/>
      <c r="L265" s="83"/>
      <c r="M265" s="83"/>
      <c r="N265" s="83"/>
      <c r="O265" s="2"/>
      <c r="P265" s="75" t="n">
        <v>262</v>
      </c>
      <c r="Q265" s="146" t="n">
        <v>5794.148651666</v>
      </c>
      <c r="R265" s="146" t="n">
        <v>0.27409578009768</v>
      </c>
      <c r="S265" s="146" t="n">
        <v>0.0730757307773403</v>
      </c>
      <c r="T265" s="146" t="n">
        <v>0.0185416383956786</v>
      </c>
      <c r="U265" s="29"/>
      <c r="V265" s="29"/>
      <c r="W265" s="29"/>
      <c r="X265" s="29"/>
      <c r="Y265" s="29"/>
      <c r="Z265" s="75"/>
    </row>
    <row r="266" customFormat="false" ht="12.75" hidden="false" customHeight="true" outlineLevel="0" collapsed="false">
      <c r="A266" s="2"/>
      <c r="B266" s="2"/>
      <c r="C266" s="75"/>
      <c r="D266" s="75"/>
      <c r="E266" s="75"/>
      <c r="F266" s="75"/>
      <c r="G266" s="75"/>
      <c r="H266" s="75"/>
      <c r="I266" s="2"/>
      <c r="J266" s="83"/>
      <c r="K266" s="83"/>
      <c r="L266" s="83"/>
      <c r="M266" s="83"/>
      <c r="N266" s="83"/>
      <c r="O266" s="2"/>
      <c r="P266" s="75" t="n">
        <v>263</v>
      </c>
      <c r="Q266" s="146" t="n">
        <v>5817.015862112</v>
      </c>
      <c r="R266" s="146" t="n">
        <v>0.273213492054001</v>
      </c>
      <c r="S266" s="146" t="n">
        <v>0.0799164512175196</v>
      </c>
      <c r="T266" s="146" t="n">
        <v>0.0211182334239728</v>
      </c>
      <c r="U266" s="29"/>
      <c r="V266" s="29"/>
      <c r="W266" s="29"/>
      <c r="X266" s="29"/>
      <c r="Y266" s="29"/>
      <c r="Z266" s="75"/>
    </row>
    <row r="267" customFormat="false" ht="12.75" hidden="false" customHeight="true" outlineLevel="0" collapsed="false">
      <c r="A267" s="2"/>
      <c r="B267" s="2"/>
      <c r="C267" s="75"/>
      <c r="D267" s="75"/>
      <c r="E267" s="75"/>
      <c r="F267" s="75"/>
      <c r="G267" s="75"/>
      <c r="H267" s="75"/>
      <c r="I267" s="2"/>
      <c r="J267" s="83"/>
      <c r="K267" s="83"/>
      <c r="L267" s="83"/>
      <c r="M267" s="83"/>
      <c r="N267" s="83"/>
      <c r="O267" s="2"/>
      <c r="P267" s="75" t="n">
        <v>264</v>
      </c>
      <c r="Q267" s="146" t="n">
        <v>5838.815554162</v>
      </c>
      <c r="R267" s="146" t="n">
        <v>0.272313682770398</v>
      </c>
      <c r="S267" s="146" t="n">
        <v>0.0830939610725636</v>
      </c>
      <c r="T267" s="146" t="n">
        <v>0.0244056836732333</v>
      </c>
      <c r="U267" s="29"/>
      <c r="V267" s="29"/>
      <c r="W267" s="29"/>
      <c r="X267" s="29"/>
      <c r="Y267" s="29"/>
      <c r="Z267" s="75"/>
    </row>
    <row r="268" customFormat="false" ht="12.75" hidden="false" customHeight="true" outlineLevel="0" collapsed="false">
      <c r="A268" s="2"/>
      <c r="B268" s="2"/>
      <c r="C268" s="75"/>
      <c r="D268" s="75"/>
      <c r="E268" s="75"/>
      <c r="F268" s="75"/>
      <c r="G268" s="75"/>
      <c r="H268" s="75"/>
      <c r="I268" s="2"/>
      <c r="J268" s="83"/>
      <c r="K268" s="83"/>
      <c r="L268" s="83"/>
      <c r="M268" s="83"/>
      <c r="N268" s="83"/>
      <c r="O268" s="2"/>
      <c r="P268" s="75" t="n">
        <v>265</v>
      </c>
      <c r="Q268" s="146" t="n">
        <v>5861.199796728</v>
      </c>
      <c r="R268" s="146" t="n">
        <v>0.270270966415595</v>
      </c>
      <c r="S268" s="146" t="n">
        <v>0.087381725821323</v>
      </c>
      <c r="T268" s="146" t="n">
        <v>0.0243487934257637</v>
      </c>
      <c r="U268" s="29"/>
      <c r="V268" s="29"/>
      <c r="W268" s="29"/>
      <c r="X268" s="29"/>
      <c r="Y268" s="29"/>
      <c r="Z268" s="75"/>
    </row>
    <row r="269" customFormat="false" ht="12.75" hidden="false" customHeight="true" outlineLevel="0" collapsed="false">
      <c r="A269" s="2"/>
      <c r="B269" s="2"/>
      <c r="C269" s="75"/>
      <c r="D269" s="75"/>
      <c r="E269" s="75"/>
      <c r="F269" s="75"/>
      <c r="G269" s="75"/>
      <c r="H269" s="75"/>
      <c r="I269" s="2"/>
      <c r="J269" s="83"/>
      <c r="K269" s="83"/>
      <c r="L269" s="83"/>
      <c r="M269" s="83"/>
      <c r="N269" s="83"/>
      <c r="O269" s="2"/>
      <c r="P269" s="75" t="n">
        <v>266</v>
      </c>
      <c r="Q269" s="146" t="n">
        <v>5883.216116015</v>
      </c>
      <c r="R269" s="146" t="n">
        <v>0.269435515422706</v>
      </c>
      <c r="S269" s="146" t="n">
        <v>0.0884665205570697</v>
      </c>
      <c r="T269" s="146" t="n">
        <v>0.0268282251324732</v>
      </c>
      <c r="U269" s="29"/>
      <c r="V269" s="29"/>
      <c r="W269" s="29"/>
      <c r="X269" s="29"/>
      <c r="Y269" s="29"/>
      <c r="Z269" s="75"/>
    </row>
    <row r="270" customFormat="false" ht="12.75" hidden="false" customHeight="true" outlineLevel="0" collapsed="false">
      <c r="A270" s="2"/>
      <c r="B270" s="2"/>
      <c r="C270" s="75"/>
      <c r="D270" s="75"/>
      <c r="E270" s="75"/>
      <c r="F270" s="75"/>
      <c r="G270" s="75"/>
      <c r="H270" s="75"/>
      <c r="I270" s="2"/>
      <c r="J270" s="83"/>
      <c r="K270" s="83"/>
      <c r="L270" s="83"/>
      <c r="M270" s="83"/>
      <c r="N270" s="83"/>
      <c r="O270" s="2"/>
      <c r="P270" s="75" t="n">
        <v>267</v>
      </c>
      <c r="Q270" s="146" t="n">
        <v>5906.058100019</v>
      </c>
      <c r="R270" s="146" t="n">
        <v>0.267406127067515</v>
      </c>
      <c r="S270" s="146" t="n">
        <v>0.0877306512935428</v>
      </c>
      <c r="T270" s="146" t="n">
        <v>0.0263127953813436</v>
      </c>
      <c r="U270" s="29"/>
      <c r="V270" s="29"/>
      <c r="W270" s="29"/>
      <c r="X270" s="29"/>
      <c r="Y270" s="29"/>
      <c r="Z270" s="75"/>
    </row>
    <row r="271" customFormat="false" ht="12.75" hidden="false" customHeight="true" outlineLevel="0" collapsed="false">
      <c r="A271" s="2"/>
      <c r="B271" s="2"/>
      <c r="C271" s="75"/>
      <c r="D271" s="75"/>
      <c r="E271" s="75"/>
      <c r="F271" s="75"/>
      <c r="G271" s="75"/>
      <c r="H271" s="75"/>
      <c r="I271" s="2"/>
      <c r="J271" s="83"/>
      <c r="K271" s="83"/>
      <c r="L271" s="83"/>
      <c r="M271" s="83"/>
      <c r="N271" s="83"/>
      <c r="O271" s="2"/>
      <c r="P271" s="75" t="n">
        <v>268</v>
      </c>
      <c r="Q271" s="146" t="n">
        <v>5927.673154497</v>
      </c>
      <c r="R271" s="146" t="n">
        <v>0.266891108655411</v>
      </c>
      <c r="S271" s="146" t="n">
        <v>0.0869863502596392</v>
      </c>
      <c r="T271" s="146" t="n">
        <v>0.0271496429454414</v>
      </c>
      <c r="U271" s="29"/>
      <c r="V271" s="29"/>
      <c r="W271" s="29"/>
      <c r="X271" s="29"/>
      <c r="Y271" s="29"/>
      <c r="Z271" s="75"/>
    </row>
    <row r="272" customFormat="false" ht="12.75" hidden="false" customHeight="true" outlineLevel="0" collapsed="false">
      <c r="A272" s="2"/>
      <c r="B272" s="2"/>
      <c r="C272" s="75"/>
      <c r="D272" s="75"/>
      <c r="E272" s="75"/>
      <c r="F272" s="75"/>
      <c r="G272" s="75"/>
      <c r="H272" s="75"/>
      <c r="I272" s="2"/>
      <c r="J272" s="83"/>
      <c r="K272" s="83"/>
      <c r="L272" s="83"/>
      <c r="M272" s="83"/>
      <c r="N272" s="83"/>
      <c r="O272" s="2"/>
      <c r="P272" s="75" t="n">
        <v>269</v>
      </c>
      <c r="Q272" s="146" t="n">
        <v>5949.623740609</v>
      </c>
      <c r="R272" s="146" t="n">
        <v>0.265774778526158</v>
      </c>
      <c r="S272" s="146" t="n">
        <v>0.0844840518100062</v>
      </c>
      <c r="T272" s="146" t="n">
        <v>0.0268590772820157</v>
      </c>
      <c r="U272" s="29"/>
      <c r="V272" s="29"/>
      <c r="W272" s="29"/>
      <c r="X272" s="29"/>
      <c r="Y272" s="29"/>
      <c r="Z272" s="75"/>
    </row>
    <row r="273" customFormat="false" ht="12.75" hidden="false" customHeight="true" outlineLevel="0" collapsed="false">
      <c r="A273" s="2"/>
      <c r="B273" s="2"/>
      <c r="C273" s="75"/>
      <c r="D273" s="75"/>
      <c r="E273" s="75"/>
      <c r="F273" s="75"/>
      <c r="G273" s="75"/>
      <c r="H273" s="75"/>
      <c r="I273" s="2"/>
      <c r="J273" s="83"/>
      <c r="K273" s="83"/>
      <c r="L273" s="83"/>
      <c r="M273" s="83"/>
      <c r="N273" s="83"/>
      <c r="O273" s="2"/>
      <c r="P273" s="75" t="n">
        <v>270</v>
      </c>
      <c r="Q273" s="146" t="n">
        <v>5971.204816699</v>
      </c>
      <c r="R273" s="146" t="n">
        <v>0.265187803727334</v>
      </c>
      <c r="S273" s="146" t="n">
        <v>0.0828185120046841</v>
      </c>
      <c r="T273" s="146" t="n">
        <v>0.0260610365658397</v>
      </c>
      <c r="U273" s="29"/>
      <c r="V273" s="29"/>
      <c r="W273" s="29"/>
      <c r="X273" s="29"/>
      <c r="Y273" s="29"/>
      <c r="Z273" s="75"/>
    </row>
    <row r="274" customFormat="false" ht="12.75" hidden="false" customHeight="true" outlineLevel="0" collapsed="false">
      <c r="A274" s="2"/>
      <c r="B274" s="2"/>
      <c r="C274" s="75"/>
      <c r="D274" s="75"/>
      <c r="E274" s="75"/>
      <c r="F274" s="75"/>
      <c r="G274" s="75"/>
      <c r="H274" s="75"/>
      <c r="I274" s="2"/>
      <c r="J274" s="83"/>
      <c r="K274" s="83"/>
      <c r="L274" s="83"/>
      <c r="M274" s="83"/>
      <c r="N274" s="83"/>
      <c r="O274" s="2"/>
      <c r="P274" s="75" t="n">
        <v>271</v>
      </c>
      <c r="Q274" s="146" t="n">
        <v>5993.585755278</v>
      </c>
      <c r="R274" s="146" t="n">
        <v>0.264086101161372</v>
      </c>
      <c r="S274" s="146" t="n">
        <v>0.079901583701177</v>
      </c>
      <c r="T274" s="146" t="n">
        <v>0.0252817362649249</v>
      </c>
      <c r="U274" s="29"/>
      <c r="V274" s="29"/>
      <c r="W274" s="29"/>
      <c r="X274" s="29"/>
      <c r="Y274" s="29"/>
      <c r="Z274" s="75"/>
    </row>
    <row r="275" customFormat="false" ht="12.75" hidden="false" customHeight="true" outlineLevel="0" collapsed="false">
      <c r="A275" s="2"/>
      <c r="B275" s="2"/>
      <c r="C275" s="75"/>
      <c r="D275" s="75"/>
      <c r="E275" s="75"/>
      <c r="F275" s="75"/>
      <c r="G275" s="75"/>
      <c r="H275" s="75"/>
      <c r="I275" s="2"/>
      <c r="J275" s="83"/>
      <c r="K275" s="83"/>
      <c r="L275" s="83"/>
      <c r="M275" s="83"/>
      <c r="N275" s="83"/>
      <c r="O275" s="2"/>
      <c r="P275" s="75" t="n">
        <v>272</v>
      </c>
      <c r="Q275" s="146" t="n">
        <v>6016.325701899</v>
      </c>
      <c r="R275" s="146" t="n">
        <v>0.26381316349947</v>
      </c>
      <c r="S275" s="146" t="n">
        <v>0.0799261553449198</v>
      </c>
      <c r="T275" s="146" t="n">
        <v>0.0254404067395817</v>
      </c>
      <c r="U275" s="29"/>
      <c r="V275" s="29"/>
      <c r="W275" s="29"/>
      <c r="X275" s="29"/>
      <c r="Y275" s="29"/>
      <c r="Z275" s="75"/>
    </row>
    <row r="276" customFormat="false" ht="12.75" hidden="false" customHeight="true" outlineLevel="0" collapsed="false">
      <c r="A276" s="2"/>
      <c r="B276" s="2"/>
      <c r="C276" s="75"/>
      <c r="D276" s="75"/>
      <c r="E276" s="75"/>
      <c r="F276" s="75"/>
      <c r="G276" s="75"/>
      <c r="H276" s="75"/>
      <c r="I276" s="2"/>
      <c r="J276" s="83"/>
      <c r="K276" s="83"/>
      <c r="L276" s="83"/>
      <c r="M276" s="83"/>
      <c r="N276" s="83"/>
      <c r="O276" s="2"/>
      <c r="P276" s="75" t="n">
        <v>273</v>
      </c>
      <c r="Q276" s="146" t="n">
        <v>6038.642143035</v>
      </c>
      <c r="R276" s="146" t="n">
        <v>0.263802282449928</v>
      </c>
      <c r="S276" s="146" t="n">
        <v>0.0815500751885471</v>
      </c>
      <c r="T276" s="146" t="n">
        <v>0.023770825602154</v>
      </c>
      <c r="U276" s="29"/>
      <c r="V276" s="29"/>
      <c r="W276" s="29"/>
      <c r="X276" s="29"/>
      <c r="Y276" s="29"/>
      <c r="Z276" s="75"/>
    </row>
    <row r="277" customFormat="false" ht="12.75" hidden="false" customHeight="true" outlineLevel="0" collapsed="false">
      <c r="A277" s="2"/>
      <c r="B277" s="2"/>
      <c r="C277" s="75"/>
      <c r="D277" s="75"/>
      <c r="E277" s="75"/>
      <c r="F277" s="75"/>
      <c r="G277" s="75"/>
      <c r="H277" s="75"/>
      <c r="I277" s="2"/>
      <c r="J277" s="83"/>
      <c r="K277" s="83"/>
      <c r="L277" s="83"/>
      <c r="M277" s="83"/>
      <c r="N277" s="83"/>
      <c r="O277" s="2"/>
      <c r="P277" s="75" t="n">
        <v>274</v>
      </c>
      <c r="Q277" s="146" t="n">
        <v>6061.259938265</v>
      </c>
      <c r="R277" s="146" t="n">
        <v>0.264165083332828</v>
      </c>
      <c r="S277" s="146" t="n">
        <v>0.0849410563941825</v>
      </c>
      <c r="T277" s="146" t="n">
        <v>0.0226717377151925</v>
      </c>
      <c r="U277" s="29"/>
      <c r="V277" s="29"/>
      <c r="W277" s="29"/>
      <c r="X277" s="29"/>
      <c r="Y277" s="29"/>
      <c r="Z277" s="75"/>
    </row>
    <row r="278" customFormat="false" ht="12.75" hidden="false" customHeight="true" outlineLevel="0" collapsed="false">
      <c r="A278" s="2"/>
      <c r="B278" s="2"/>
      <c r="C278" s="75"/>
      <c r="D278" s="75"/>
      <c r="E278" s="75"/>
      <c r="F278" s="75"/>
      <c r="G278" s="75"/>
      <c r="H278" s="75"/>
      <c r="I278" s="2"/>
      <c r="J278" s="83"/>
      <c r="K278" s="83"/>
      <c r="L278" s="83"/>
      <c r="M278" s="83"/>
      <c r="N278" s="83"/>
      <c r="O278" s="2"/>
      <c r="P278" s="75" t="n">
        <v>275</v>
      </c>
      <c r="Q278" s="146" t="n">
        <v>6083.535770678</v>
      </c>
      <c r="R278" s="146" t="n">
        <v>0.264442862457391</v>
      </c>
      <c r="S278" s="146" t="n">
        <v>0.0878055243441609</v>
      </c>
      <c r="T278" s="146" t="n">
        <v>0.0212256565206787</v>
      </c>
      <c r="U278" s="29"/>
      <c r="V278" s="29"/>
      <c r="W278" s="29"/>
      <c r="X278" s="29"/>
      <c r="Y278" s="29"/>
      <c r="Z278" s="75"/>
    </row>
    <row r="279" customFormat="false" ht="12.75" hidden="false" customHeight="true" outlineLevel="0" collapsed="false">
      <c r="A279" s="2"/>
      <c r="B279" s="2"/>
      <c r="C279" s="75"/>
      <c r="D279" s="75"/>
      <c r="E279" s="75"/>
      <c r="F279" s="75"/>
      <c r="G279" s="75"/>
      <c r="H279" s="75"/>
      <c r="I279" s="2"/>
      <c r="J279" s="83"/>
      <c r="K279" s="83"/>
      <c r="L279" s="83"/>
      <c r="M279" s="83"/>
      <c r="N279" s="83"/>
      <c r="O279" s="2"/>
      <c r="P279" s="75" t="n">
        <v>276</v>
      </c>
      <c r="Q279" s="146" t="n">
        <v>6105.813069352</v>
      </c>
      <c r="R279" s="146" t="n">
        <v>0.264906843318394</v>
      </c>
      <c r="S279" s="146" t="n">
        <v>0.0899853909624641</v>
      </c>
      <c r="T279" s="146" t="n">
        <v>0.019958545667761</v>
      </c>
      <c r="U279" s="29"/>
      <c r="V279" s="29"/>
      <c r="W279" s="29"/>
      <c r="X279" s="29"/>
      <c r="Y279" s="29"/>
      <c r="Z279" s="75"/>
    </row>
    <row r="280" customFormat="false" ht="12.75" hidden="false" customHeight="true" outlineLevel="0" collapsed="false">
      <c r="A280" s="2"/>
      <c r="B280" s="2"/>
      <c r="C280" s="75"/>
      <c r="D280" s="75"/>
      <c r="E280" s="75"/>
      <c r="F280" s="75"/>
      <c r="G280" s="75"/>
      <c r="H280" s="75"/>
      <c r="I280" s="2"/>
      <c r="J280" s="83"/>
      <c r="K280" s="83"/>
      <c r="L280" s="83"/>
      <c r="M280" s="83"/>
      <c r="N280" s="83"/>
      <c r="O280" s="2"/>
      <c r="P280" s="75" t="n">
        <v>277</v>
      </c>
      <c r="Q280" s="146" t="n">
        <v>6128.232851448</v>
      </c>
      <c r="R280" s="146" t="n">
        <v>0.265587728537409</v>
      </c>
      <c r="S280" s="146" t="n">
        <v>0.0915967252554482</v>
      </c>
      <c r="T280" s="146" t="n">
        <v>0.019321529457993</v>
      </c>
      <c r="U280" s="29"/>
      <c r="V280" s="29"/>
      <c r="W280" s="29"/>
      <c r="X280" s="29"/>
      <c r="Y280" s="29"/>
      <c r="Z280" s="75"/>
    </row>
    <row r="281" customFormat="false" ht="12.75" hidden="false" customHeight="true" outlineLevel="0" collapsed="false">
      <c r="A281" s="2"/>
      <c r="B281" s="2"/>
      <c r="C281" s="75"/>
      <c r="D281" s="75"/>
      <c r="E281" s="75"/>
      <c r="F281" s="75"/>
      <c r="G281" s="75"/>
      <c r="H281" s="75"/>
      <c r="I281" s="2"/>
      <c r="J281" s="83"/>
      <c r="K281" s="83"/>
      <c r="L281" s="83"/>
      <c r="M281" s="83"/>
      <c r="N281" s="83"/>
      <c r="O281" s="2"/>
      <c r="P281" s="75" t="n">
        <v>278</v>
      </c>
      <c r="Q281" s="146" t="n">
        <v>6150.305507665</v>
      </c>
      <c r="R281" s="146" t="n">
        <v>0.266209160077824</v>
      </c>
      <c r="S281" s="146" t="n">
        <v>0.0924040331602866</v>
      </c>
      <c r="T281" s="146" t="n">
        <v>0.0189622290509333</v>
      </c>
      <c r="U281" s="29"/>
      <c r="V281" s="29"/>
      <c r="W281" s="29"/>
      <c r="X281" s="29"/>
      <c r="Y281" s="29"/>
      <c r="Z281" s="75"/>
    </row>
    <row r="282" customFormat="false" ht="12.75" hidden="false" customHeight="true" outlineLevel="0" collapsed="false">
      <c r="A282" s="2"/>
      <c r="B282" s="2"/>
      <c r="C282" s="75"/>
      <c r="D282" s="75"/>
      <c r="E282" s="75"/>
      <c r="F282" s="75"/>
      <c r="G282" s="75"/>
      <c r="H282" s="75"/>
      <c r="I282" s="2"/>
      <c r="J282" s="83"/>
      <c r="K282" s="83"/>
      <c r="L282" s="83"/>
      <c r="M282" s="83"/>
      <c r="N282" s="83"/>
      <c r="O282" s="2"/>
      <c r="P282" s="75" t="n">
        <v>279</v>
      </c>
      <c r="Q282" s="146" t="n">
        <v>6172.752883715</v>
      </c>
      <c r="R282" s="146" t="n">
        <v>0.266995851366689</v>
      </c>
      <c r="S282" s="146" t="n">
        <v>0.0923135631240265</v>
      </c>
      <c r="T282" s="146" t="n">
        <v>0.0190410964726885</v>
      </c>
      <c r="U282" s="29"/>
      <c r="V282" s="29"/>
      <c r="W282" s="29"/>
      <c r="X282" s="29"/>
      <c r="Y282" s="29"/>
      <c r="Z282" s="75"/>
    </row>
    <row r="283" customFormat="false" ht="12.75" hidden="false" customHeight="true" outlineLevel="0" collapsed="false">
      <c r="A283" s="2"/>
      <c r="B283" s="2"/>
      <c r="C283" s="75"/>
      <c r="D283" s="75"/>
      <c r="E283" s="75"/>
      <c r="F283" s="75"/>
      <c r="G283" s="75"/>
      <c r="H283" s="75"/>
      <c r="I283" s="2"/>
      <c r="J283" s="83"/>
      <c r="K283" s="83"/>
      <c r="L283" s="83"/>
      <c r="M283" s="83"/>
      <c r="N283" s="83"/>
      <c r="O283" s="2"/>
      <c r="P283" s="75" t="n">
        <v>280</v>
      </c>
      <c r="Q283" s="146" t="n">
        <v>6195.577512815</v>
      </c>
      <c r="R283" s="146" t="n">
        <v>0.26771756055631</v>
      </c>
      <c r="S283" s="146" t="n">
        <v>0.0899401528241034</v>
      </c>
      <c r="T283" s="146" t="n">
        <v>0.0189530331805891</v>
      </c>
      <c r="U283" s="29"/>
      <c r="V283" s="29"/>
      <c r="W283" s="29"/>
      <c r="X283" s="29"/>
      <c r="Y283" s="29"/>
      <c r="Z283" s="75"/>
    </row>
    <row r="284" customFormat="false" ht="12.75" hidden="false" customHeight="true" outlineLevel="0" collapsed="false">
      <c r="A284" s="2"/>
      <c r="B284" s="2"/>
      <c r="C284" s="75"/>
      <c r="D284" s="75"/>
      <c r="E284" s="75"/>
      <c r="F284" s="75"/>
      <c r="G284" s="75"/>
      <c r="H284" s="75"/>
      <c r="I284" s="2"/>
      <c r="J284" s="83"/>
      <c r="K284" s="83"/>
      <c r="L284" s="83"/>
      <c r="M284" s="83"/>
      <c r="N284" s="83"/>
      <c r="O284" s="2"/>
      <c r="P284" s="75" t="n">
        <v>281</v>
      </c>
      <c r="Q284" s="146" t="n">
        <v>6218.650672635</v>
      </c>
      <c r="R284" s="146" t="n">
        <v>0.268166431616748</v>
      </c>
      <c r="S284" s="146" t="n">
        <v>0.0862943417048203</v>
      </c>
      <c r="T284" s="146" t="n">
        <v>0.0187506323747151</v>
      </c>
      <c r="U284" s="29"/>
      <c r="V284" s="29"/>
      <c r="W284" s="29"/>
      <c r="X284" s="29"/>
      <c r="Y284" s="29"/>
      <c r="Z284" s="75"/>
    </row>
    <row r="285" customFormat="false" ht="12.75" hidden="false" customHeight="true" outlineLevel="0" collapsed="false">
      <c r="A285" s="2"/>
      <c r="B285" s="2"/>
      <c r="C285" s="75"/>
      <c r="D285" s="75"/>
      <c r="E285" s="75"/>
      <c r="F285" s="75"/>
      <c r="G285" s="75"/>
      <c r="H285" s="75"/>
      <c r="I285" s="2"/>
      <c r="J285" s="83"/>
      <c r="K285" s="83"/>
      <c r="L285" s="83"/>
      <c r="M285" s="83"/>
      <c r="N285" s="83"/>
      <c r="O285" s="2"/>
      <c r="P285" s="75" t="n">
        <v>282</v>
      </c>
      <c r="Q285" s="146" t="n">
        <v>6241.44047657</v>
      </c>
      <c r="R285" s="146" t="n">
        <v>0.26846952627524</v>
      </c>
      <c r="S285" s="146" t="n">
        <v>0.0834202825816437</v>
      </c>
      <c r="T285" s="146" t="n">
        <v>0.0189709373391794</v>
      </c>
      <c r="U285" s="29"/>
      <c r="V285" s="29"/>
      <c r="W285" s="29"/>
      <c r="X285" s="29"/>
      <c r="Y285" s="29"/>
      <c r="Z285" s="75"/>
    </row>
    <row r="286" customFormat="false" ht="12.75" hidden="false" customHeight="true" outlineLevel="0" collapsed="false">
      <c r="A286" s="2"/>
      <c r="B286" s="2"/>
      <c r="C286" s="75"/>
      <c r="D286" s="75"/>
      <c r="E286" s="75"/>
      <c r="F286" s="75"/>
      <c r="G286" s="75"/>
      <c r="H286" s="75"/>
      <c r="I286" s="2"/>
      <c r="J286" s="83"/>
      <c r="K286" s="83"/>
      <c r="L286" s="83"/>
      <c r="M286" s="83"/>
      <c r="N286" s="83"/>
      <c r="O286" s="2"/>
      <c r="P286" s="75" t="n">
        <v>283</v>
      </c>
      <c r="Q286" s="146" t="n">
        <v>6264.046918215</v>
      </c>
      <c r="R286" s="146" t="n">
        <v>0.268781598111901</v>
      </c>
      <c r="S286" s="146" t="n">
        <v>0.0797479526677081</v>
      </c>
      <c r="T286" s="146" t="n">
        <v>0.0195761416443087</v>
      </c>
      <c r="U286" s="29"/>
      <c r="V286" s="29"/>
      <c r="W286" s="29"/>
      <c r="X286" s="29"/>
      <c r="Y286" s="29"/>
      <c r="Z286" s="75"/>
    </row>
    <row r="287" customFormat="false" ht="12.75" hidden="false" customHeight="true" outlineLevel="0" collapsed="false">
      <c r="A287" s="2"/>
      <c r="B287" s="2"/>
      <c r="C287" s="75"/>
      <c r="D287" s="75"/>
      <c r="E287" s="75"/>
      <c r="F287" s="75"/>
      <c r="G287" s="75"/>
      <c r="H287" s="75"/>
      <c r="I287" s="2"/>
      <c r="J287" s="83"/>
      <c r="K287" s="83"/>
      <c r="L287" s="83"/>
      <c r="M287" s="83"/>
      <c r="N287" s="83"/>
      <c r="O287" s="2"/>
      <c r="P287" s="75" t="n">
        <v>284</v>
      </c>
      <c r="Q287" s="146" t="n">
        <v>6286.626229354</v>
      </c>
      <c r="R287" s="146" t="n">
        <v>0.268986822773835</v>
      </c>
      <c r="S287" s="146" t="n">
        <v>0.0763494255798576</v>
      </c>
      <c r="T287" s="146" t="n">
        <v>0.0207005983218363</v>
      </c>
      <c r="U287" s="29"/>
      <c r="V287" s="29"/>
      <c r="W287" s="29"/>
      <c r="X287" s="29"/>
      <c r="Y287" s="29"/>
      <c r="Z287" s="75"/>
    </row>
    <row r="288" customFormat="false" ht="12.75" hidden="false" customHeight="true" outlineLevel="0" collapsed="false">
      <c r="A288" s="2"/>
      <c r="B288" s="2"/>
      <c r="C288" s="75"/>
      <c r="D288" s="75"/>
      <c r="E288" s="75"/>
      <c r="F288" s="75"/>
      <c r="G288" s="75"/>
      <c r="H288" s="75"/>
      <c r="I288" s="2"/>
      <c r="J288" s="83"/>
      <c r="K288" s="83"/>
      <c r="L288" s="83"/>
      <c r="M288" s="83"/>
      <c r="N288" s="83"/>
      <c r="O288" s="2"/>
      <c r="P288" s="75" t="n">
        <v>285</v>
      </c>
      <c r="Q288" s="146" t="n">
        <v>6309.203025713</v>
      </c>
      <c r="R288" s="146" t="n">
        <v>0.2692760252522</v>
      </c>
      <c r="S288" s="146" t="n">
        <v>0.0726448006084059</v>
      </c>
      <c r="T288" s="146" t="n">
        <v>0.0216569091781753</v>
      </c>
      <c r="U288" s="29"/>
      <c r="V288" s="29"/>
      <c r="W288" s="29"/>
      <c r="X288" s="29"/>
      <c r="Y288" s="29"/>
      <c r="Z288" s="75"/>
    </row>
    <row r="289" customFormat="false" ht="12.75" hidden="false" customHeight="true" outlineLevel="0" collapsed="false">
      <c r="A289" s="2"/>
      <c r="B289" s="2"/>
      <c r="C289" s="75"/>
      <c r="D289" s="75"/>
      <c r="E289" s="75"/>
      <c r="F289" s="75"/>
      <c r="G289" s="75"/>
      <c r="H289" s="75"/>
      <c r="I289" s="2"/>
      <c r="J289" s="83"/>
      <c r="K289" s="83"/>
      <c r="L289" s="83"/>
      <c r="M289" s="83"/>
      <c r="N289" s="83"/>
      <c r="O289" s="2"/>
      <c r="P289" s="75" t="n">
        <v>286</v>
      </c>
      <c r="Q289" s="146" t="n">
        <v>6332.14490322</v>
      </c>
      <c r="R289" s="146" t="n">
        <v>0.269418296836613</v>
      </c>
      <c r="S289" s="146" t="n">
        <v>0.0690115306928089</v>
      </c>
      <c r="T289" s="146" t="n">
        <v>0.0221995684582931</v>
      </c>
      <c r="U289" s="29"/>
      <c r="V289" s="29"/>
      <c r="W289" s="29"/>
      <c r="X289" s="29"/>
      <c r="Y289" s="29"/>
      <c r="Z289" s="75"/>
    </row>
    <row r="290" customFormat="false" ht="12.75" hidden="false" customHeight="true" outlineLevel="0" collapsed="false">
      <c r="A290" s="2"/>
      <c r="B290" s="2"/>
      <c r="C290" s="75"/>
      <c r="D290" s="75"/>
      <c r="E290" s="75"/>
      <c r="F290" s="75"/>
      <c r="G290" s="75"/>
      <c r="H290" s="75"/>
      <c r="I290" s="2"/>
      <c r="J290" s="83"/>
      <c r="K290" s="83"/>
      <c r="L290" s="83"/>
      <c r="M290" s="83"/>
      <c r="N290" s="83"/>
      <c r="O290" s="2"/>
      <c r="P290" s="75" t="n">
        <v>287</v>
      </c>
      <c r="Q290" s="146" t="n">
        <v>6354.559377806</v>
      </c>
      <c r="R290" s="146" t="n">
        <v>0.269276800813382</v>
      </c>
      <c r="S290" s="146" t="n">
        <v>0.0667355704994381</v>
      </c>
      <c r="T290" s="146" t="n">
        <v>0.0231790966763211</v>
      </c>
      <c r="U290" s="29"/>
      <c r="V290" s="29"/>
      <c r="W290" s="29"/>
      <c r="X290" s="29"/>
      <c r="Y290" s="29"/>
      <c r="Z290" s="75"/>
    </row>
    <row r="291" customFormat="false" ht="12.75" hidden="false" customHeight="true" outlineLevel="0" collapsed="false">
      <c r="A291" s="2"/>
      <c r="B291" s="2"/>
      <c r="C291" s="75"/>
      <c r="D291" s="75"/>
      <c r="E291" s="75"/>
      <c r="F291" s="75"/>
      <c r="G291" s="75"/>
      <c r="H291" s="75"/>
      <c r="I291" s="2"/>
      <c r="J291" s="83"/>
      <c r="K291" s="83"/>
      <c r="L291" s="83"/>
      <c r="M291" s="83"/>
      <c r="N291" s="83"/>
      <c r="O291" s="2"/>
      <c r="P291" s="75" t="n">
        <v>288</v>
      </c>
      <c r="Q291" s="146" t="n">
        <v>6377.207570769</v>
      </c>
      <c r="R291" s="146" t="n">
        <v>0.269431899385436</v>
      </c>
      <c r="S291" s="146" t="n">
        <v>0.0643332609643617</v>
      </c>
      <c r="T291" s="146" t="n">
        <v>0.0228933788245578</v>
      </c>
      <c r="U291" s="29"/>
      <c r="V291" s="29"/>
      <c r="W291" s="29"/>
      <c r="X291" s="29"/>
      <c r="Y291" s="29"/>
      <c r="Z291" s="75"/>
    </row>
    <row r="292" customFormat="false" ht="12.75" hidden="false" customHeight="true" outlineLevel="0" collapsed="false">
      <c r="A292" s="2"/>
      <c r="B292" s="2"/>
      <c r="C292" s="75"/>
      <c r="D292" s="75"/>
      <c r="E292" s="75"/>
      <c r="F292" s="75"/>
      <c r="G292" s="75"/>
      <c r="H292" s="75"/>
      <c r="I292" s="2"/>
      <c r="J292" s="83"/>
      <c r="K292" s="83"/>
      <c r="L292" s="83"/>
      <c r="M292" s="83"/>
      <c r="N292" s="83"/>
      <c r="O292" s="2"/>
      <c r="P292" s="75" t="n">
        <v>289</v>
      </c>
      <c r="Q292" s="146" t="n">
        <v>6399.515305648</v>
      </c>
      <c r="R292" s="146" t="n">
        <v>0.269340259509223</v>
      </c>
      <c r="S292" s="146" t="n">
        <v>0.0626096808523218</v>
      </c>
      <c r="T292" s="146" t="n">
        <v>0.0222125981355831</v>
      </c>
      <c r="U292" s="29"/>
      <c r="V292" s="29"/>
      <c r="W292" s="29"/>
      <c r="X292" s="29"/>
      <c r="Y292" s="29"/>
      <c r="Z292" s="75"/>
    </row>
    <row r="293" customFormat="false" ht="12.75" hidden="false" customHeight="true" outlineLevel="0" collapsed="false">
      <c r="A293" s="2"/>
      <c r="B293" s="2"/>
      <c r="C293" s="75"/>
      <c r="D293" s="75"/>
      <c r="E293" s="75"/>
      <c r="F293" s="75"/>
      <c r="G293" s="75"/>
      <c r="H293" s="75"/>
      <c r="I293" s="2"/>
      <c r="J293" s="83"/>
      <c r="K293" s="83"/>
      <c r="L293" s="83"/>
      <c r="M293" s="83"/>
      <c r="N293" s="83"/>
      <c r="O293" s="2"/>
      <c r="P293" s="75" t="n">
        <v>290</v>
      </c>
      <c r="Q293" s="146" t="n">
        <v>6422.090524974</v>
      </c>
      <c r="R293" s="146" t="n">
        <v>0.26972990478085</v>
      </c>
      <c r="S293" s="146" t="n">
        <v>0.0633477378325034</v>
      </c>
      <c r="T293" s="146" t="n">
        <v>0.0222183257579189</v>
      </c>
      <c r="U293" s="29"/>
      <c r="V293" s="29"/>
      <c r="W293" s="29"/>
      <c r="X293" s="29"/>
      <c r="Y293" s="29"/>
      <c r="Z293" s="75"/>
    </row>
    <row r="294" customFormat="false" ht="12.75" hidden="false" customHeight="true" outlineLevel="0" collapsed="false">
      <c r="A294" s="2"/>
      <c r="B294" s="2"/>
      <c r="C294" s="75"/>
      <c r="D294" s="75"/>
      <c r="E294" s="75"/>
      <c r="F294" s="75"/>
      <c r="G294" s="75"/>
      <c r="H294" s="75"/>
      <c r="I294" s="2"/>
      <c r="J294" s="83"/>
      <c r="K294" s="83"/>
      <c r="L294" s="83"/>
      <c r="M294" s="83"/>
      <c r="N294" s="83"/>
      <c r="O294" s="2"/>
      <c r="P294" s="75" t="n">
        <v>291</v>
      </c>
      <c r="Q294" s="146" t="n">
        <v>6444.178297724</v>
      </c>
      <c r="R294" s="146" t="n">
        <v>0.269313951647887</v>
      </c>
      <c r="S294" s="146" t="n">
        <v>0.0631773359013151</v>
      </c>
      <c r="T294" s="146" t="n">
        <v>0.0201210518090493</v>
      </c>
      <c r="U294" s="29"/>
      <c r="V294" s="29"/>
      <c r="W294" s="29"/>
      <c r="X294" s="29"/>
      <c r="Y294" s="29"/>
      <c r="Z294" s="75"/>
    </row>
    <row r="295" customFormat="false" ht="12.75" hidden="false" customHeight="true" outlineLevel="0" collapsed="false">
      <c r="A295" s="2"/>
      <c r="B295" s="2"/>
      <c r="C295" s="75"/>
      <c r="D295" s="75"/>
      <c r="E295" s="75"/>
      <c r="F295" s="75"/>
      <c r="G295" s="75"/>
      <c r="H295" s="75"/>
      <c r="I295" s="2"/>
      <c r="J295" s="83"/>
      <c r="K295" s="83"/>
      <c r="L295" s="83"/>
      <c r="M295" s="83"/>
      <c r="N295" s="83"/>
      <c r="O295" s="2"/>
      <c r="P295" s="75" t="n">
        <v>292</v>
      </c>
      <c r="Q295" s="146" t="n">
        <v>6467.012349449</v>
      </c>
      <c r="R295" s="146" t="n">
        <v>0.269908521996388</v>
      </c>
      <c r="S295" s="146" t="n">
        <v>0.0673069279502355</v>
      </c>
      <c r="T295" s="146" t="n">
        <v>0.020278502660482</v>
      </c>
      <c r="U295" s="29"/>
      <c r="V295" s="29"/>
      <c r="W295" s="29"/>
      <c r="X295" s="29"/>
      <c r="Y295" s="29"/>
      <c r="Z295" s="75"/>
    </row>
    <row r="296" customFormat="false" ht="12.75" hidden="false" customHeight="true" outlineLevel="0" collapsed="false">
      <c r="A296" s="2"/>
      <c r="B296" s="2"/>
      <c r="C296" s="75"/>
      <c r="D296" s="75"/>
      <c r="E296" s="75"/>
      <c r="F296" s="75"/>
      <c r="G296" s="75"/>
      <c r="H296" s="75"/>
      <c r="I296" s="2"/>
      <c r="J296" s="83"/>
      <c r="K296" s="83"/>
      <c r="L296" s="83"/>
      <c r="M296" s="83"/>
      <c r="N296" s="83"/>
      <c r="O296" s="2"/>
      <c r="P296" s="75" t="n">
        <v>293</v>
      </c>
      <c r="Q296" s="146" t="n">
        <v>6489.131302888</v>
      </c>
      <c r="R296" s="146" t="n">
        <v>0.269654229277601</v>
      </c>
      <c r="S296" s="146" t="n">
        <v>0.0683613949481698</v>
      </c>
      <c r="T296" s="146" t="n">
        <v>0.017198835460553</v>
      </c>
      <c r="U296" s="29"/>
      <c r="V296" s="29"/>
      <c r="W296" s="29"/>
      <c r="X296" s="29"/>
      <c r="Y296" s="29"/>
      <c r="Z296" s="75"/>
    </row>
    <row r="297" customFormat="false" ht="12.75" hidden="false" customHeight="true" outlineLevel="0" collapsed="false">
      <c r="A297" s="2"/>
      <c r="B297" s="2"/>
      <c r="C297" s="75"/>
      <c r="D297" s="75"/>
      <c r="E297" s="75"/>
      <c r="F297" s="75"/>
      <c r="G297" s="75"/>
      <c r="H297" s="75"/>
      <c r="I297" s="2"/>
      <c r="J297" s="83"/>
      <c r="K297" s="83"/>
      <c r="L297" s="83"/>
      <c r="M297" s="83"/>
      <c r="N297" s="83"/>
      <c r="O297" s="2"/>
      <c r="P297" s="75" t="n">
        <v>294</v>
      </c>
      <c r="Q297" s="146" t="n">
        <v>6512.057117568</v>
      </c>
      <c r="R297" s="146" t="n">
        <v>0.27001031582139</v>
      </c>
      <c r="S297" s="146" t="n">
        <v>0.0744200240790424</v>
      </c>
      <c r="T297" s="146" t="n">
        <v>0.0170194430472838</v>
      </c>
      <c r="U297" s="29"/>
      <c r="V297" s="29"/>
      <c r="W297" s="29"/>
      <c r="X297" s="29"/>
      <c r="Y297" s="29"/>
      <c r="Z297" s="75"/>
    </row>
    <row r="298" customFormat="false" ht="12.75" hidden="false" customHeight="true" outlineLevel="0" collapsed="false">
      <c r="A298" s="2"/>
      <c r="B298" s="2"/>
      <c r="C298" s="75"/>
      <c r="D298" s="75"/>
      <c r="E298" s="75"/>
      <c r="F298" s="75"/>
      <c r="G298" s="75"/>
      <c r="H298" s="75"/>
      <c r="I298" s="2"/>
      <c r="J298" s="83"/>
      <c r="K298" s="83"/>
      <c r="L298" s="83"/>
      <c r="M298" s="83"/>
      <c r="N298" s="83"/>
      <c r="O298" s="2"/>
      <c r="P298" s="75" t="n">
        <v>295</v>
      </c>
      <c r="Q298" s="146" t="n">
        <v>6533.990076007</v>
      </c>
      <c r="R298" s="146" t="n">
        <v>0.2692839581122</v>
      </c>
      <c r="S298" s="146" t="n">
        <v>0.0761411033440742</v>
      </c>
      <c r="T298" s="146" t="n">
        <v>0.0144586396779183</v>
      </c>
      <c r="U298" s="29"/>
      <c r="V298" s="29"/>
      <c r="W298" s="29"/>
      <c r="X298" s="29"/>
      <c r="Y298" s="29"/>
      <c r="Z298" s="75"/>
    </row>
    <row r="299" customFormat="false" ht="12.75" hidden="false" customHeight="true" outlineLevel="0" collapsed="false">
      <c r="A299" s="2"/>
      <c r="B299" s="2"/>
      <c r="C299" s="75"/>
      <c r="D299" s="75"/>
      <c r="E299" s="75"/>
      <c r="F299" s="75"/>
      <c r="G299" s="75"/>
      <c r="H299" s="75"/>
      <c r="I299" s="2"/>
      <c r="J299" s="83"/>
      <c r="K299" s="83"/>
      <c r="L299" s="83"/>
      <c r="M299" s="83"/>
      <c r="N299" s="83"/>
      <c r="O299" s="2"/>
      <c r="P299" s="75" t="n">
        <v>296</v>
      </c>
      <c r="Q299" s="146" t="n">
        <v>6556.948920901</v>
      </c>
      <c r="R299" s="146" t="n">
        <v>0.268674918799208</v>
      </c>
      <c r="S299" s="146" t="n">
        <v>0.0811198496633725</v>
      </c>
      <c r="T299" s="146" t="n">
        <v>0.0146292690715334</v>
      </c>
      <c r="U299" s="29"/>
      <c r="V299" s="29"/>
      <c r="W299" s="29"/>
      <c r="X299" s="29"/>
      <c r="Y299" s="29"/>
      <c r="Z299" s="75"/>
    </row>
    <row r="300" customFormat="false" ht="12.75" hidden="false" customHeight="true" outlineLevel="0" collapsed="false">
      <c r="A300" s="2"/>
      <c r="B300" s="2"/>
      <c r="C300" s="75"/>
      <c r="D300" s="75"/>
      <c r="E300" s="75"/>
      <c r="F300" s="75"/>
      <c r="G300" s="75"/>
      <c r="H300" s="75"/>
      <c r="I300" s="2"/>
      <c r="J300" s="83"/>
      <c r="K300" s="83"/>
      <c r="L300" s="83"/>
      <c r="M300" s="83"/>
      <c r="N300" s="83"/>
      <c r="O300" s="2"/>
      <c r="P300" s="75" t="n">
        <v>297</v>
      </c>
      <c r="Q300" s="146" t="n">
        <v>6578.891311296</v>
      </c>
      <c r="R300" s="146" t="n">
        <v>0.267534391042935</v>
      </c>
      <c r="S300" s="146" t="n">
        <v>0.0830384919708447</v>
      </c>
      <c r="T300" s="146" t="n">
        <v>0.0134489066166981</v>
      </c>
      <c r="U300" s="29"/>
      <c r="V300" s="29"/>
      <c r="W300" s="29"/>
      <c r="X300" s="29"/>
      <c r="Y300" s="29"/>
      <c r="Z300" s="75"/>
    </row>
    <row r="301" customFormat="false" ht="12.75" hidden="false" customHeight="true" outlineLevel="0" collapsed="false">
      <c r="A301" s="2"/>
      <c r="B301" s="2"/>
      <c r="C301" s="75"/>
      <c r="D301" s="75"/>
      <c r="E301" s="75"/>
      <c r="F301" s="75"/>
      <c r="G301" s="75"/>
      <c r="H301" s="75"/>
      <c r="I301" s="2"/>
      <c r="J301" s="83"/>
      <c r="K301" s="83"/>
      <c r="L301" s="83"/>
      <c r="M301" s="83"/>
      <c r="N301" s="83"/>
      <c r="O301" s="2"/>
      <c r="P301" s="75" t="n">
        <v>298</v>
      </c>
      <c r="Q301" s="146" t="n">
        <v>6600.98002203</v>
      </c>
      <c r="R301" s="146" t="n">
        <v>0.266423218403199</v>
      </c>
      <c r="S301" s="146" t="n">
        <v>0.0864512367744639</v>
      </c>
      <c r="T301" s="146" t="n">
        <v>0.0131680675718892</v>
      </c>
      <c r="U301" s="29"/>
      <c r="V301" s="29"/>
      <c r="W301" s="29"/>
      <c r="X301" s="29"/>
      <c r="Y301" s="29"/>
      <c r="Z301" s="75"/>
    </row>
    <row r="302" customFormat="false" ht="12.75" hidden="false" customHeight="true" outlineLevel="0" collapsed="false">
      <c r="A302" s="2"/>
      <c r="B302" s="2"/>
      <c r="C302" s="75"/>
      <c r="D302" s="75"/>
      <c r="E302" s="75"/>
      <c r="F302" s="75"/>
      <c r="G302" s="75"/>
      <c r="H302" s="75"/>
      <c r="I302" s="2"/>
      <c r="J302" s="83"/>
      <c r="K302" s="83"/>
      <c r="L302" s="83"/>
      <c r="M302" s="83"/>
      <c r="N302" s="83"/>
      <c r="O302" s="2"/>
      <c r="P302" s="75" t="n">
        <v>299</v>
      </c>
      <c r="Q302" s="146" t="n">
        <v>6623.395097997</v>
      </c>
      <c r="R302" s="146" t="n">
        <v>0.265433343744875</v>
      </c>
      <c r="S302" s="146" t="n">
        <v>0.0900625515015839</v>
      </c>
      <c r="T302" s="146" t="n">
        <v>0.0134163609491585</v>
      </c>
      <c r="U302" s="29"/>
      <c r="V302" s="29"/>
      <c r="W302" s="29"/>
      <c r="X302" s="29"/>
      <c r="Y302" s="29"/>
      <c r="Z302" s="75"/>
    </row>
    <row r="303" customFormat="false" ht="12.75" hidden="false" customHeight="true" outlineLevel="0" collapsed="false">
      <c r="A303" s="2"/>
      <c r="B303" s="2"/>
      <c r="C303" s="75"/>
      <c r="D303" s="75"/>
      <c r="E303" s="75"/>
      <c r="F303" s="75"/>
      <c r="G303" s="75"/>
      <c r="H303" s="75"/>
      <c r="I303" s="2"/>
      <c r="J303" s="83"/>
      <c r="K303" s="83"/>
      <c r="L303" s="83"/>
      <c r="M303" s="83"/>
      <c r="N303" s="83"/>
      <c r="O303" s="2"/>
      <c r="P303" s="75" t="n">
        <v>300</v>
      </c>
      <c r="Q303" s="146" t="n">
        <v>6646.231653811</v>
      </c>
      <c r="R303" s="146" t="n">
        <v>0.264527496964015</v>
      </c>
      <c r="S303" s="146" t="n">
        <v>0.0951100144784832</v>
      </c>
      <c r="T303" s="146" t="n">
        <v>0.0125609646422876</v>
      </c>
      <c r="U303" s="29"/>
      <c r="V303" s="29"/>
      <c r="W303" s="29"/>
      <c r="X303" s="29"/>
      <c r="Y303" s="29"/>
      <c r="Z303" s="75"/>
    </row>
    <row r="304" customFormat="false" ht="12.75" hidden="false" customHeight="true" outlineLevel="0" collapsed="false">
      <c r="A304" s="2"/>
      <c r="B304" s="2"/>
      <c r="C304" s="75"/>
      <c r="D304" s="75"/>
      <c r="E304" s="75"/>
      <c r="F304" s="75"/>
      <c r="G304" s="75"/>
      <c r="H304" s="75"/>
      <c r="I304" s="2"/>
      <c r="J304" s="83"/>
      <c r="K304" s="83"/>
      <c r="L304" s="83"/>
      <c r="M304" s="83"/>
      <c r="N304" s="83"/>
      <c r="O304" s="2"/>
      <c r="P304" s="75" t="n">
        <v>301</v>
      </c>
      <c r="Q304" s="146" t="n">
        <v>6668.78384106</v>
      </c>
      <c r="R304" s="146" t="n">
        <v>0.264276788373297</v>
      </c>
      <c r="S304" s="146" t="n">
        <v>0.0981812975309762</v>
      </c>
      <c r="T304" s="146" t="n">
        <v>0.0116132869493341</v>
      </c>
      <c r="U304" s="29"/>
      <c r="V304" s="29"/>
      <c r="W304" s="29"/>
      <c r="X304" s="29"/>
      <c r="Y304" s="29"/>
      <c r="Z304" s="75"/>
    </row>
    <row r="305" customFormat="false" ht="12.75" hidden="false" customHeight="true" outlineLevel="0" collapsed="false">
      <c r="A305" s="2"/>
      <c r="B305" s="2"/>
      <c r="C305" s="75"/>
      <c r="D305" s="75"/>
      <c r="E305" s="75"/>
      <c r="F305" s="75"/>
      <c r="G305" s="75"/>
      <c r="H305" s="75"/>
      <c r="I305" s="2"/>
      <c r="J305" s="83"/>
      <c r="K305" s="83"/>
      <c r="L305" s="83"/>
      <c r="M305" s="83"/>
      <c r="N305" s="83"/>
      <c r="O305" s="2"/>
      <c r="P305" s="75" t="n">
        <v>302</v>
      </c>
      <c r="Q305" s="146" t="n">
        <v>6691.280869472</v>
      </c>
      <c r="R305" s="146" t="n">
        <v>0.264308748475395</v>
      </c>
      <c r="S305" s="146" t="n">
        <v>0.100522378191285</v>
      </c>
      <c r="T305" s="146" t="n">
        <v>0.0114606343973807</v>
      </c>
      <c r="U305" s="29"/>
      <c r="V305" s="29"/>
      <c r="W305" s="29"/>
      <c r="X305" s="29"/>
      <c r="Y305" s="29"/>
      <c r="Z305" s="75"/>
    </row>
    <row r="306" customFormat="false" ht="12.75" hidden="false" customHeight="true" outlineLevel="0" collapsed="false">
      <c r="A306" s="2"/>
      <c r="B306" s="2"/>
      <c r="C306" s="75"/>
      <c r="D306" s="75"/>
      <c r="E306" s="75"/>
      <c r="F306" s="75"/>
      <c r="G306" s="75"/>
      <c r="H306" s="75"/>
      <c r="I306" s="2"/>
      <c r="J306" s="83"/>
      <c r="K306" s="83"/>
      <c r="L306" s="83"/>
      <c r="M306" s="83"/>
      <c r="N306" s="83"/>
      <c r="O306" s="2"/>
      <c r="P306" s="75" t="n">
        <v>303</v>
      </c>
      <c r="Q306" s="146" t="n">
        <v>6714.02552063</v>
      </c>
      <c r="R306" s="146" t="n">
        <v>0.264490143361754</v>
      </c>
      <c r="S306" s="146" t="n">
        <v>0.102194060095929</v>
      </c>
      <c r="T306" s="146" t="n">
        <v>0.0108117095002944</v>
      </c>
      <c r="U306" s="29"/>
      <c r="V306" s="29"/>
      <c r="W306" s="29"/>
      <c r="X306" s="29"/>
      <c r="Y306" s="29"/>
      <c r="Z306" s="75"/>
    </row>
    <row r="307" customFormat="false" ht="12.75" hidden="false" customHeight="true" outlineLevel="0" collapsed="false">
      <c r="A307" s="2"/>
      <c r="B307" s="2"/>
      <c r="C307" s="75"/>
      <c r="D307" s="75"/>
      <c r="E307" s="75"/>
      <c r="F307" s="75"/>
      <c r="G307" s="75"/>
      <c r="H307" s="75"/>
      <c r="I307" s="2"/>
      <c r="J307" s="83"/>
      <c r="K307" s="83"/>
      <c r="L307" s="83"/>
      <c r="M307" s="83"/>
      <c r="N307" s="83"/>
      <c r="O307" s="2"/>
      <c r="P307" s="75" t="n">
        <v>304</v>
      </c>
      <c r="Q307" s="146" t="n">
        <v>6736.124834393</v>
      </c>
      <c r="R307" s="146" t="n">
        <v>0.265021726289972</v>
      </c>
      <c r="S307" s="146" t="n">
        <v>0.102071392922633</v>
      </c>
      <c r="T307" s="146" t="n">
        <v>0.011316447918146</v>
      </c>
      <c r="U307" s="29"/>
      <c r="V307" s="29"/>
      <c r="W307" s="29"/>
      <c r="X307" s="29"/>
      <c r="Y307" s="29"/>
      <c r="Z307" s="75"/>
    </row>
    <row r="308" customFormat="false" ht="12.75" hidden="false" customHeight="true" outlineLevel="0" collapsed="false">
      <c r="A308" s="2"/>
      <c r="B308" s="2"/>
      <c r="C308" s="75"/>
      <c r="D308" s="75"/>
      <c r="E308" s="75"/>
      <c r="F308" s="75"/>
      <c r="G308" s="75"/>
      <c r="H308" s="75"/>
      <c r="I308" s="2"/>
      <c r="J308" s="83"/>
      <c r="K308" s="83"/>
      <c r="L308" s="83"/>
      <c r="M308" s="83"/>
      <c r="N308" s="83"/>
      <c r="O308" s="2"/>
      <c r="P308" s="75" t="n">
        <v>305</v>
      </c>
      <c r="Q308" s="146" t="n">
        <v>6758.910335362</v>
      </c>
      <c r="R308" s="146" t="n">
        <v>0.265568389037039</v>
      </c>
      <c r="S308" s="146" t="n">
        <v>0.103074411157539</v>
      </c>
      <c r="T308" s="146" t="n">
        <v>0.0101086657348275</v>
      </c>
      <c r="U308" s="29"/>
      <c r="V308" s="29"/>
      <c r="W308" s="29"/>
      <c r="X308" s="29"/>
      <c r="Y308" s="29"/>
      <c r="Z308" s="75"/>
    </row>
    <row r="309" customFormat="false" ht="12.75" hidden="false" customHeight="true" outlineLevel="0" collapsed="false">
      <c r="A309" s="2"/>
      <c r="B309" s="2"/>
      <c r="C309" s="75"/>
      <c r="D309" s="75"/>
      <c r="E309" s="75"/>
      <c r="F309" s="75"/>
      <c r="G309" s="75"/>
      <c r="H309" s="75"/>
      <c r="I309" s="2"/>
      <c r="J309" s="83"/>
      <c r="K309" s="83"/>
      <c r="L309" s="83"/>
      <c r="M309" s="83"/>
      <c r="N309" s="83"/>
      <c r="O309" s="2"/>
      <c r="P309" s="75" t="n">
        <v>306</v>
      </c>
      <c r="Q309" s="146" t="n">
        <v>6780.925273301</v>
      </c>
      <c r="R309" s="146" t="n">
        <v>0.266223864274172</v>
      </c>
      <c r="S309" s="146" t="n">
        <v>0.102921967736611</v>
      </c>
      <c r="T309" s="146" t="n">
        <v>0.0110390632649714</v>
      </c>
      <c r="U309" s="29"/>
      <c r="V309" s="29"/>
      <c r="W309" s="29"/>
      <c r="X309" s="29"/>
      <c r="Y309" s="29"/>
      <c r="Z309" s="75"/>
    </row>
    <row r="310" customFormat="false" ht="12.75" hidden="false" customHeight="true" outlineLevel="0" collapsed="false">
      <c r="A310" s="2"/>
      <c r="B310" s="2"/>
      <c r="C310" s="75"/>
      <c r="D310" s="75"/>
      <c r="E310" s="75"/>
      <c r="F310" s="75"/>
      <c r="G310" s="75"/>
      <c r="H310" s="75"/>
      <c r="I310" s="2"/>
      <c r="J310" s="83"/>
      <c r="K310" s="83"/>
      <c r="L310" s="83"/>
      <c r="M310" s="83"/>
      <c r="N310" s="83"/>
      <c r="O310" s="2"/>
      <c r="P310" s="75" t="n">
        <v>307</v>
      </c>
      <c r="Q310" s="146" t="n">
        <v>6803.304434076</v>
      </c>
      <c r="R310" s="146" t="n">
        <v>0.266663304803397</v>
      </c>
      <c r="S310" s="146" t="n">
        <v>0.103832444046298</v>
      </c>
      <c r="T310" s="146" t="n">
        <v>0.0106558115139381</v>
      </c>
      <c r="U310" s="29"/>
      <c r="V310" s="29"/>
      <c r="W310" s="29"/>
      <c r="X310" s="29"/>
      <c r="Y310" s="29"/>
      <c r="Z310" s="75"/>
    </row>
    <row r="311" customFormat="false" ht="12.75" hidden="false" customHeight="true" outlineLevel="0" collapsed="false">
      <c r="A311" s="2"/>
      <c r="B311" s="2"/>
      <c r="C311" s="75"/>
      <c r="D311" s="75"/>
      <c r="E311" s="75"/>
      <c r="F311" s="75"/>
      <c r="G311" s="75"/>
      <c r="H311" s="75"/>
      <c r="I311" s="2"/>
      <c r="J311" s="83"/>
      <c r="K311" s="83"/>
      <c r="L311" s="83"/>
      <c r="M311" s="83"/>
      <c r="N311" s="83"/>
      <c r="O311" s="2"/>
      <c r="P311" s="75" t="n">
        <v>308</v>
      </c>
      <c r="Q311" s="146" t="n">
        <v>6825.848343997</v>
      </c>
      <c r="R311" s="146" t="n">
        <v>0.26687003910199</v>
      </c>
      <c r="S311" s="146" t="n">
        <v>0.106157472496913</v>
      </c>
      <c r="T311" s="146" t="n">
        <v>0.0121012965815879</v>
      </c>
      <c r="U311" s="29"/>
      <c r="V311" s="29"/>
      <c r="W311" s="29"/>
      <c r="X311" s="29"/>
      <c r="Y311" s="29"/>
      <c r="Z311" s="75"/>
    </row>
    <row r="312" customFormat="false" ht="12.75" hidden="false" customHeight="true" outlineLevel="0" collapsed="false">
      <c r="A312" s="2"/>
      <c r="B312" s="2"/>
      <c r="C312" s="75"/>
      <c r="D312" s="75"/>
      <c r="E312" s="75"/>
      <c r="F312" s="75"/>
      <c r="G312" s="75"/>
      <c r="H312" s="75"/>
      <c r="I312" s="2"/>
      <c r="J312" s="83"/>
      <c r="K312" s="83"/>
      <c r="L312" s="83"/>
      <c r="M312" s="83"/>
      <c r="N312" s="83"/>
      <c r="O312" s="2"/>
      <c r="P312" s="75" t="n">
        <v>309</v>
      </c>
      <c r="Q312" s="146" t="n">
        <v>6848.59668074</v>
      </c>
      <c r="R312" s="146" t="n">
        <v>0.266927261688974</v>
      </c>
      <c r="S312" s="146" t="n">
        <v>0.108084447835098</v>
      </c>
      <c r="T312" s="146" t="n">
        <v>0.012980348919092</v>
      </c>
      <c r="U312" s="29"/>
      <c r="V312" s="29"/>
      <c r="W312" s="29"/>
      <c r="X312" s="29"/>
      <c r="Y312" s="29"/>
      <c r="Z312" s="75"/>
    </row>
    <row r="313" customFormat="false" ht="12.75" hidden="false" customHeight="true" outlineLevel="0" collapsed="false">
      <c r="A313" s="2"/>
      <c r="B313" s="2"/>
      <c r="C313" s="75"/>
      <c r="D313" s="75"/>
      <c r="E313" s="75"/>
      <c r="F313" s="75"/>
      <c r="G313" s="75"/>
      <c r="H313" s="75"/>
      <c r="I313" s="2"/>
      <c r="J313" s="83"/>
      <c r="K313" s="83"/>
      <c r="L313" s="83"/>
      <c r="M313" s="83"/>
      <c r="N313" s="83"/>
      <c r="O313" s="2"/>
      <c r="P313" s="75" t="n">
        <v>310</v>
      </c>
      <c r="Q313" s="146" t="n">
        <v>6871.461926554</v>
      </c>
      <c r="R313" s="146" t="n">
        <v>0.266705442930211</v>
      </c>
      <c r="S313" s="146" t="n">
        <v>0.110421408653962</v>
      </c>
      <c r="T313" s="146" t="n">
        <v>0.0136356983379598</v>
      </c>
      <c r="U313" s="29"/>
      <c r="V313" s="29"/>
      <c r="W313" s="29"/>
      <c r="X313" s="29"/>
      <c r="Y313" s="29"/>
      <c r="Z313" s="75"/>
    </row>
    <row r="314" customFormat="false" ht="12.75" hidden="false" customHeight="true" outlineLevel="0" collapsed="false">
      <c r="A314" s="2"/>
      <c r="B314" s="2"/>
      <c r="C314" s="75"/>
      <c r="D314" s="75"/>
      <c r="E314" s="75"/>
      <c r="F314" s="75"/>
      <c r="G314" s="75"/>
      <c r="H314" s="75"/>
      <c r="I314" s="2"/>
      <c r="J314" s="83"/>
      <c r="K314" s="83"/>
      <c r="L314" s="83"/>
      <c r="M314" s="83"/>
      <c r="N314" s="83"/>
      <c r="O314" s="2"/>
      <c r="P314" s="75" t="n">
        <v>311</v>
      </c>
      <c r="Q314" s="146" t="n">
        <v>6894.141266423</v>
      </c>
      <c r="R314" s="146" t="n">
        <v>0.266043748851639</v>
      </c>
      <c r="S314" s="146" t="n">
        <v>0.112769015963384</v>
      </c>
      <c r="T314" s="146" t="n">
        <v>0.0139534347452755</v>
      </c>
      <c r="U314" s="29"/>
      <c r="V314" s="29"/>
      <c r="W314" s="29"/>
      <c r="X314" s="29"/>
      <c r="Y314" s="29"/>
      <c r="Z314" s="75"/>
    </row>
    <row r="315" customFormat="false" ht="12.75" hidden="false" customHeight="true" outlineLevel="0" collapsed="false">
      <c r="A315" s="2"/>
      <c r="B315" s="2"/>
      <c r="C315" s="75"/>
      <c r="D315" s="75"/>
      <c r="E315" s="75"/>
      <c r="F315" s="75"/>
      <c r="G315" s="75"/>
      <c r="H315" s="75"/>
      <c r="I315" s="2"/>
      <c r="J315" s="83"/>
      <c r="K315" s="83"/>
      <c r="L315" s="83"/>
      <c r="M315" s="83"/>
      <c r="N315" s="83"/>
      <c r="O315" s="2"/>
      <c r="P315" s="75" t="n">
        <v>312</v>
      </c>
      <c r="Q315" s="146" t="n">
        <v>6916.842682797</v>
      </c>
      <c r="R315" s="146" t="n">
        <v>0.265397588597977</v>
      </c>
      <c r="S315" s="146" t="n">
        <v>0.115152064761462</v>
      </c>
      <c r="T315" s="146" t="n">
        <v>0.0136151648686125</v>
      </c>
      <c r="U315" s="29"/>
      <c r="V315" s="29"/>
      <c r="W315" s="29"/>
      <c r="X315" s="29"/>
      <c r="Y315" s="29"/>
      <c r="Z315" s="75"/>
    </row>
    <row r="316" customFormat="false" ht="12.75" hidden="false" customHeight="true" outlineLevel="0" collapsed="false">
      <c r="A316" s="2"/>
      <c r="B316" s="2"/>
      <c r="C316" s="75"/>
      <c r="D316" s="75"/>
      <c r="E316" s="75"/>
      <c r="F316" s="75"/>
      <c r="G316" s="75"/>
      <c r="H316" s="75"/>
      <c r="I316" s="2"/>
      <c r="J316" s="83"/>
      <c r="K316" s="83"/>
      <c r="L316" s="83"/>
      <c r="M316" s="83"/>
      <c r="N316" s="83"/>
      <c r="O316" s="2"/>
      <c r="P316" s="75" t="n">
        <v>313</v>
      </c>
      <c r="Q316" s="146" t="n">
        <v>6939.159983271</v>
      </c>
      <c r="R316" s="146" t="n">
        <v>0.264825649038127</v>
      </c>
      <c r="S316" s="146" t="n">
        <v>0.116879503366576</v>
      </c>
      <c r="T316" s="146" t="n">
        <v>0.0129628734309968</v>
      </c>
      <c r="U316" s="29"/>
      <c r="V316" s="29"/>
      <c r="W316" s="29"/>
      <c r="X316" s="29"/>
      <c r="Y316" s="29"/>
      <c r="Z316" s="75"/>
    </row>
    <row r="317" customFormat="false" ht="12.75" hidden="false" customHeight="true" outlineLevel="0" collapsed="false">
      <c r="A317" s="2"/>
      <c r="B317" s="2"/>
      <c r="C317" s="75"/>
      <c r="D317" s="75"/>
      <c r="E317" s="75"/>
      <c r="F317" s="75"/>
      <c r="G317" s="75"/>
      <c r="H317" s="75"/>
      <c r="I317" s="2"/>
      <c r="J317" s="83"/>
      <c r="K317" s="83"/>
      <c r="L317" s="83"/>
      <c r="M317" s="83"/>
      <c r="N317" s="83"/>
      <c r="O317" s="2"/>
      <c r="P317" s="75" t="n">
        <v>314</v>
      </c>
      <c r="Q317" s="146" t="n">
        <v>6961.865833698</v>
      </c>
      <c r="R317" s="146" t="n">
        <v>0.264482548205903</v>
      </c>
      <c r="S317" s="146" t="n">
        <v>0.117546347346944</v>
      </c>
      <c r="T317" s="146" t="n">
        <v>0.0118524678225482</v>
      </c>
      <c r="U317" s="29"/>
      <c r="V317" s="29"/>
      <c r="W317" s="29"/>
      <c r="X317" s="29"/>
      <c r="Y317" s="29"/>
      <c r="Z317" s="75"/>
    </row>
    <row r="318" customFormat="false" ht="12.75" hidden="false" customHeight="true" outlineLevel="0" collapsed="false">
      <c r="A318" s="2"/>
      <c r="B318" s="2"/>
      <c r="C318" s="75"/>
      <c r="D318" s="75"/>
      <c r="E318" s="75"/>
      <c r="F318" s="75"/>
      <c r="G318" s="75"/>
      <c r="H318" s="75"/>
      <c r="I318" s="2"/>
      <c r="J318" s="83"/>
      <c r="K318" s="83"/>
      <c r="L318" s="83"/>
      <c r="M318" s="83"/>
      <c r="N318" s="83"/>
      <c r="O318" s="2"/>
      <c r="P318" s="75" t="n">
        <v>315</v>
      </c>
      <c r="Q318" s="146" t="n">
        <v>6984.646821746</v>
      </c>
      <c r="R318" s="146" t="n">
        <v>0.264664278326634</v>
      </c>
      <c r="S318" s="146" t="n">
        <v>0.116990953216563</v>
      </c>
      <c r="T318" s="146" t="n">
        <v>0.0104992958968454</v>
      </c>
      <c r="U318" s="29"/>
      <c r="V318" s="29"/>
      <c r="W318" s="29"/>
      <c r="X318" s="29"/>
      <c r="Y318" s="29"/>
      <c r="Z318" s="75"/>
    </row>
    <row r="319" customFormat="false" ht="12.75" hidden="false" customHeight="true" outlineLevel="0" collapsed="false">
      <c r="A319" s="2"/>
      <c r="B319" s="2"/>
      <c r="C319" s="75"/>
      <c r="D319" s="75"/>
      <c r="E319" s="75"/>
      <c r="F319" s="75"/>
      <c r="G319" s="75"/>
      <c r="H319" s="75"/>
      <c r="I319" s="2"/>
      <c r="J319" s="83"/>
      <c r="K319" s="83"/>
      <c r="L319" s="83"/>
      <c r="M319" s="83"/>
      <c r="N319" s="83"/>
      <c r="O319" s="2"/>
      <c r="P319" s="75" t="n">
        <v>316</v>
      </c>
      <c r="Q319" s="146" t="n">
        <v>7007.409992972</v>
      </c>
      <c r="R319" s="146" t="n">
        <v>0.265255538462346</v>
      </c>
      <c r="S319" s="146" t="n">
        <v>0.115604251182036</v>
      </c>
      <c r="T319" s="146" t="n">
        <v>0.00795825398278167</v>
      </c>
      <c r="U319" s="29"/>
      <c r="V319" s="29"/>
      <c r="W319" s="29"/>
      <c r="X319" s="29"/>
      <c r="Y319" s="29"/>
      <c r="Z319" s="75"/>
    </row>
    <row r="320" customFormat="false" ht="12.75" hidden="false" customHeight="true" outlineLevel="0" collapsed="false">
      <c r="A320" s="2"/>
      <c r="B320" s="2"/>
      <c r="C320" s="75"/>
      <c r="D320" s="75"/>
      <c r="E320" s="75"/>
      <c r="F320" s="75"/>
      <c r="G320" s="75"/>
      <c r="H320" s="75"/>
      <c r="I320" s="2"/>
      <c r="J320" s="83"/>
      <c r="K320" s="83"/>
      <c r="L320" s="83"/>
      <c r="M320" s="83"/>
      <c r="N320" s="83"/>
      <c r="O320" s="2"/>
      <c r="P320" s="75" t="n">
        <v>317</v>
      </c>
      <c r="Q320" s="146" t="n">
        <v>7030.140837023</v>
      </c>
      <c r="R320" s="146" t="n">
        <v>0.266304030791776</v>
      </c>
      <c r="S320" s="146" t="n">
        <v>0.113563180959919</v>
      </c>
      <c r="T320" s="146" t="n">
        <v>0.00549192309867646</v>
      </c>
      <c r="U320" s="29"/>
      <c r="V320" s="29"/>
      <c r="W320" s="29"/>
      <c r="X320" s="29"/>
      <c r="Y320" s="29"/>
      <c r="Z320" s="75"/>
    </row>
    <row r="321" customFormat="false" ht="12.75" hidden="false" customHeight="true" outlineLevel="0" collapsed="false">
      <c r="A321" s="2"/>
      <c r="B321" s="2"/>
      <c r="C321" s="75"/>
      <c r="D321" s="75"/>
      <c r="E321" s="75"/>
      <c r="F321" s="75"/>
      <c r="G321" s="75"/>
      <c r="H321" s="75"/>
      <c r="I321" s="2"/>
      <c r="J321" s="83"/>
      <c r="K321" s="83"/>
      <c r="L321" s="83"/>
      <c r="M321" s="83"/>
      <c r="N321" s="83"/>
      <c r="O321" s="2"/>
      <c r="P321" s="75" t="n">
        <v>318</v>
      </c>
      <c r="Q321" s="146" t="n">
        <v>7053.165282443</v>
      </c>
      <c r="R321" s="146" t="n">
        <v>0.267402549721302</v>
      </c>
      <c r="S321" s="146" t="n">
        <v>0.111883338855112</v>
      </c>
      <c r="T321" s="146" t="n">
        <v>0.0033106501891435</v>
      </c>
      <c r="U321" s="29"/>
      <c r="V321" s="29"/>
      <c r="W321" s="29"/>
      <c r="X321" s="29"/>
      <c r="Y321" s="29"/>
      <c r="Z321" s="75"/>
    </row>
    <row r="322" customFormat="false" ht="12.75" hidden="false" customHeight="true" outlineLevel="0" collapsed="false">
      <c r="A322" s="2"/>
      <c r="B322" s="2"/>
      <c r="C322" s="75"/>
      <c r="D322" s="75"/>
      <c r="E322" s="75"/>
      <c r="F322" s="75"/>
      <c r="G322" s="75"/>
      <c r="H322" s="75"/>
      <c r="I322" s="2"/>
      <c r="J322" s="83"/>
      <c r="K322" s="83"/>
      <c r="L322" s="83"/>
      <c r="M322" s="83"/>
      <c r="N322" s="83"/>
      <c r="O322" s="2"/>
      <c r="P322" s="75" t="n">
        <v>319</v>
      </c>
      <c r="Q322" s="146" t="n">
        <v>7076.044024045</v>
      </c>
      <c r="R322" s="146" t="n">
        <v>0.268647705171669</v>
      </c>
      <c r="S322" s="146" t="n">
        <v>0.110519497137226</v>
      </c>
      <c r="T322" s="146" t="n">
        <v>0.00151524903294415</v>
      </c>
      <c r="U322" s="29"/>
      <c r="V322" s="29"/>
      <c r="W322" s="29"/>
      <c r="X322" s="29"/>
      <c r="Y322" s="29"/>
      <c r="Z322" s="75"/>
    </row>
    <row r="323" customFormat="false" ht="12.75" hidden="false" customHeight="true" outlineLevel="0" collapsed="false">
      <c r="A323" s="2"/>
      <c r="B323" s="2"/>
      <c r="C323" s="75"/>
      <c r="D323" s="75"/>
      <c r="E323" s="75"/>
      <c r="F323" s="75"/>
      <c r="G323" s="75"/>
      <c r="H323" s="75"/>
      <c r="I323" s="2"/>
      <c r="J323" s="83"/>
      <c r="K323" s="83"/>
      <c r="L323" s="83"/>
      <c r="M323" s="83"/>
      <c r="N323" s="83"/>
      <c r="O323" s="2"/>
      <c r="P323" s="75" t="n">
        <v>320</v>
      </c>
      <c r="Q323" s="146" t="n">
        <v>7098.673368407</v>
      </c>
      <c r="R323" s="146" t="n">
        <v>0.269840802655103</v>
      </c>
      <c r="S323" s="146" t="n">
        <v>0.109087496656296</v>
      </c>
      <c r="T323" s="146" t="n">
        <v>4.32567028290116E-005</v>
      </c>
      <c r="U323" s="29"/>
      <c r="V323" s="29"/>
      <c r="W323" s="29"/>
      <c r="X323" s="29"/>
      <c r="Y323" s="29"/>
      <c r="Z323" s="75"/>
    </row>
    <row r="324" customFormat="false" ht="12.75" hidden="false" customHeight="true" outlineLevel="0" collapsed="false">
      <c r="A324" s="2"/>
      <c r="B324" s="2"/>
      <c r="C324" s="75"/>
      <c r="D324" s="75"/>
      <c r="E324" s="75"/>
      <c r="F324" s="75"/>
      <c r="G324" s="75"/>
      <c r="H324" s="75"/>
      <c r="I324" s="2"/>
      <c r="J324" s="83"/>
      <c r="K324" s="83"/>
      <c r="L324" s="83"/>
      <c r="M324" s="83"/>
      <c r="N324" s="83"/>
      <c r="O324" s="2"/>
      <c r="P324" s="75" t="n">
        <v>321</v>
      </c>
      <c r="Q324" s="146" t="n">
        <v>7121.487684158</v>
      </c>
      <c r="R324" s="146" t="n">
        <v>0.27111341646439</v>
      </c>
      <c r="S324" s="146" t="n">
        <v>0.107620944206625</v>
      </c>
      <c r="T324" s="146" t="n">
        <v>-0.000892087061785302</v>
      </c>
      <c r="U324" s="29"/>
      <c r="V324" s="29"/>
      <c r="W324" s="29"/>
      <c r="X324" s="29"/>
      <c r="Y324" s="29"/>
      <c r="Z324" s="75"/>
    </row>
    <row r="325" customFormat="false" ht="12.75" hidden="false" customHeight="true" outlineLevel="0" collapsed="false">
      <c r="A325" s="2"/>
      <c r="B325" s="2"/>
      <c r="C325" s="75"/>
      <c r="D325" s="75"/>
      <c r="E325" s="75"/>
      <c r="F325" s="75"/>
      <c r="G325" s="75"/>
      <c r="H325" s="75"/>
      <c r="I325" s="2"/>
      <c r="J325" s="83"/>
      <c r="K325" s="83"/>
      <c r="L325" s="83"/>
      <c r="M325" s="83"/>
      <c r="N325" s="83"/>
      <c r="O325" s="2"/>
      <c r="P325" s="75" t="n">
        <v>322</v>
      </c>
      <c r="Q325" s="146" t="n">
        <v>7143.983498446</v>
      </c>
      <c r="R325" s="146" t="n">
        <v>0.272444445390743</v>
      </c>
      <c r="S325" s="146" t="n">
        <v>0.106228019394812</v>
      </c>
      <c r="T325" s="146" t="n">
        <v>-0.00127516445403258</v>
      </c>
      <c r="U325" s="29"/>
      <c r="V325" s="29"/>
      <c r="W325" s="29"/>
      <c r="X325" s="29"/>
      <c r="Y325" s="29"/>
      <c r="Z325" s="75"/>
    </row>
    <row r="326" customFormat="false" ht="12.75" hidden="false" customHeight="true" outlineLevel="0" collapsed="false">
      <c r="A326" s="2"/>
      <c r="B326" s="2"/>
      <c r="C326" s="75"/>
      <c r="D326" s="75"/>
      <c r="E326" s="75"/>
      <c r="F326" s="75"/>
      <c r="G326" s="75"/>
      <c r="H326" s="75"/>
      <c r="I326" s="2"/>
      <c r="J326" s="83"/>
      <c r="K326" s="83"/>
      <c r="L326" s="83"/>
      <c r="M326" s="83"/>
      <c r="N326" s="83"/>
      <c r="O326" s="2"/>
      <c r="P326" s="75" t="n">
        <v>323</v>
      </c>
      <c r="Q326" s="146" t="n">
        <v>7166.77073062</v>
      </c>
      <c r="R326" s="146" t="n">
        <v>0.273724143834891</v>
      </c>
      <c r="S326" s="146" t="n">
        <v>0.104375129788936</v>
      </c>
      <c r="T326" s="146" t="n">
        <v>-0.00116052985025274</v>
      </c>
      <c r="U326" s="29"/>
      <c r="V326" s="29"/>
      <c r="W326" s="29"/>
      <c r="X326" s="29"/>
      <c r="Y326" s="29"/>
      <c r="Z326" s="75"/>
    </row>
    <row r="327" customFormat="false" ht="12.75" hidden="false" customHeight="true" outlineLevel="0" collapsed="false">
      <c r="A327" s="2"/>
      <c r="B327" s="2"/>
      <c r="C327" s="75"/>
      <c r="D327" s="75"/>
      <c r="E327" s="75"/>
      <c r="F327" s="75"/>
      <c r="G327" s="75"/>
      <c r="H327" s="75"/>
      <c r="I327" s="2"/>
      <c r="J327" s="83"/>
      <c r="K327" s="83"/>
      <c r="L327" s="83"/>
      <c r="M327" s="83"/>
      <c r="N327" s="83"/>
      <c r="O327" s="2"/>
      <c r="P327" s="75" t="n">
        <v>324</v>
      </c>
      <c r="Q327" s="146" t="n">
        <v>7189.566035853</v>
      </c>
      <c r="R327" s="146" t="n">
        <v>0.27499901320744</v>
      </c>
      <c r="S327" s="146" t="n">
        <v>0.102058170390833</v>
      </c>
      <c r="T327" s="146" t="n">
        <v>-0.000585071729729906</v>
      </c>
      <c r="U327" s="29"/>
      <c r="V327" s="29"/>
      <c r="W327" s="29"/>
      <c r="X327" s="29"/>
      <c r="Y327" s="29"/>
      <c r="Z327" s="75"/>
    </row>
    <row r="328" customFormat="false" ht="12.75" hidden="false" customHeight="true" outlineLevel="0" collapsed="false">
      <c r="A328" s="2"/>
      <c r="B328" s="2"/>
      <c r="C328" s="75"/>
      <c r="D328" s="75"/>
      <c r="E328" s="75"/>
      <c r="F328" s="75"/>
      <c r="G328" s="75"/>
      <c r="H328" s="75"/>
      <c r="I328" s="2"/>
      <c r="J328" s="83"/>
      <c r="K328" s="83"/>
      <c r="L328" s="83"/>
      <c r="M328" s="83"/>
      <c r="N328" s="83"/>
      <c r="O328" s="2"/>
      <c r="P328" s="75" t="n">
        <v>325</v>
      </c>
      <c r="Q328" s="146" t="n">
        <v>7212.182994262</v>
      </c>
      <c r="R328" s="146" t="n">
        <v>0.276139675754409</v>
      </c>
      <c r="S328" s="146" t="n">
        <v>0.0998098024468842</v>
      </c>
      <c r="T328" s="146" t="n">
        <v>0.000118251217105304</v>
      </c>
      <c r="U328" s="29"/>
      <c r="V328" s="29"/>
      <c r="W328" s="29"/>
      <c r="X328" s="29"/>
      <c r="Y328" s="29"/>
      <c r="Z328" s="75"/>
    </row>
    <row r="329" customFormat="false" ht="12.75" hidden="false" customHeight="true" outlineLevel="0" collapsed="false">
      <c r="A329" s="2"/>
      <c r="B329" s="2"/>
      <c r="C329" s="75"/>
      <c r="D329" s="75"/>
      <c r="E329" s="75"/>
      <c r="F329" s="75"/>
      <c r="G329" s="75"/>
      <c r="H329" s="75"/>
      <c r="I329" s="2"/>
      <c r="J329" s="83"/>
      <c r="K329" s="83"/>
      <c r="L329" s="83"/>
      <c r="M329" s="83"/>
      <c r="N329" s="83"/>
      <c r="O329" s="2"/>
      <c r="P329" s="75" t="n">
        <v>326</v>
      </c>
      <c r="Q329" s="146" t="n">
        <v>7234.980677046</v>
      </c>
      <c r="R329" s="146" t="n">
        <v>0.277191007135075</v>
      </c>
      <c r="S329" s="146" t="n">
        <v>0.097307560679272</v>
      </c>
      <c r="T329" s="146" t="n">
        <v>0.00110151780799976</v>
      </c>
      <c r="U329" s="29"/>
      <c r="V329" s="29"/>
      <c r="W329" s="29"/>
      <c r="X329" s="29"/>
      <c r="Y329" s="29"/>
      <c r="Z329" s="75"/>
    </row>
    <row r="330" customFormat="false" ht="12.75" hidden="false" customHeight="true" outlineLevel="0" collapsed="false">
      <c r="A330" s="2"/>
      <c r="B330" s="2"/>
      <c r="C330" s="75"/>
      <c r="D330" s="75"/>
      <c r="E330" s="75"/>
      <c r="F330" s="75"/>
      <c r="G330" s="75"/>
      <c r="H330" s="75"/>
      <c r="I330" s="2"/>
      <c r="J330" s="83"/>
      <c r="K330" s="83"/>
      <c r="L330" s="83"/>
      <c r="M330" s="83"/>
      <c r="N330" s="83"/>
      <c r="O330" s="2"/>
      <c r="P330" s="75" t="n">
        <v>327</v>
      </c>
      <c r="Q330" s="146" t="n">
        <v>7257.534658405</v>
      </c>
      <c r="R330" s="146" t="n">
        <v>0.277982259109956</v>
      </c>
      <c r="S330" s="146" t="n">
        <v>0.0950663514103519</v>
      </c>
      <c r="T330" s="146" t="n">
        <v>0.00230832213470225</v>
      </c>
      <c r="U330" s="29"/>
      <c r="V330" s="29"/>
      <c r="W330" s="29"/>
      <c r="X330" s="29"/>
      <c r="Y330" s="29"/>
      <c r="Z330" s="75"/>
    </row>
    <row r="331" customFormat="false" ht="12.75" hidden="false" customHeight="true" outlineLevel="0" collapsed="false">
      <c r="A331" s="2"/>
      <c r="B331" s="2"/>
      <c r="C331" s="75"/>
      <c r="D331" s="75"/>
      <c r="E331" s="75"/>
      <c r="F331" s="75"/>
      <c r="G331" s="75"/>
      <c r="H331" s="75"/>
      <c r="I331" s="2"/>
      <c r="J331" s="83"/>
      <c r="K331" s="83"/>
      <c r="L331" s="83"/>
      <c r="M331" s="83"/>
      <c r="N331" s="83"/>
      <c r="O331" s="2"/>
      <c r="P331" s="75" t="n">
        <v>328</v>
      </c>
      <c r="Q331" s="146" t="n">
        <v>7280.155170951</v>
      </c>
      <c r="R331" s="146" t="n">
        <v>0.278315542589446</v>
      </c>
      <c r="S331" s="146" t="n">
        <v>0.0932687747720136</v>
      </c>
      <c r="T331" s="146" t="n">
        <v>0.00370052289928217</v>
      </c>
      <c r="U331" s="29"/>
      <c r="V331" s="29"/>
      <c r="W331" s="29"/>
      <c r="X331" s="29"/>
      <c r="Y331" s="29"/>
      <c r="Z331" s="75"/>
    </row>
    <row r="332" customFormat="false" ht="12.75" hidden="false" customHeight="true" outlineLevel="0" collapsed="false">
      <c r="A332" s="2"/>
      <c r="B332" s="2"/>
      <c r="C332" s="75"/>
      <c r="D332" s="75"/>
      <c r="E332" s="75"/>
      <c r="F332" s="75"/>
      <c r="G332" s="75"/>
      <c r="H332" s="75"/>
      <c r="I332" s="2"/>
      <c r="J332" s="83"/>
      <c r="K332" s="83"/>
      <c r="L332" s="83"/>
      <c r="M332" s="83"/>
      <c r="N332" s="83"/>
      <c r="O332" s="2"/>
      <c r="P332" s="75" t="n">
        <v>329</v>
      </c>
      <c r="Q332" s="146" t="n">
        <v>7302.855242955</v>
      </c>
      <c r="R332" s="146" t="n">
        <v>0.278184506774955</v>
      </c>
      <c r="S332" s="146" t="n">
        <v>0.0915965225703243</v>
      </c>
      <c r="T332" s="146" t="n">
        <v>0.00508630035112874</v>
      </c>
      <c r="U332" s="29"/>
      <c r="V332" s="29"/>
      <c r="W332" s="29"/>
      <c r="X332" s="29"/>
      <c r="Y332" s="29"/>
      <c r="Z332" s="75"/>
    </row>
    <row r="333" customFormat="false" ht="12.75" hidden="false" customHeight="true" outlineLevel="0" collapsed="false">
      <c r="A333" s="2"/>
      <c r="B333" s="2"/>
      <c r="C333" s="75"/>
      <c r="D333" s="75"/>
      <c r="E333" s="75"/>
      <c r="F333" s="75"/>
      <c r="G333" s="75"/>
      <c r="H333" s="75"/>
      <c r="I333" s="2"/>
      <c r="J333" s="83"/>
      <c r="K333" s="83"/>
      <c r="L333" s="83"/>
      <c r="M333" s="83"/>
      <c r="N333" s="83"/>
      <c r="O333" s="2"/>
      <c r="P333" s="75" t="n">
        <v>330</v>
      </c>
      <c r="Q333" s="146" t="n">
        <v>7325.334719625</v>
      </c>
      <c r="R333" s="146" t="n">
        <v>0.277624932064587</v>
      </c>
      <c r="S333" s="146" t="n">
        <v>0.0899883310591055</v>
      </c>
      <c r="T333" s="146" t="n">
        <v>0.00642264246599958</v>
      </c>
      <c r="U333" s="29"/>
      <c r="V333" s="29"/>
      <c r="W333" s="29"/>
      <c r="X333" s="29"/>
      <c r="Y333" s="29"/>
      <c r="Z333" s="75"/>
    </row>
    <row r="334" customFormat="false" ht="12.75" hidden="false" customHeight="true" outlineLevel="0" collapsed="false">
      <c r="A334" s="2"/>
      <c r="B334" s="2"/>
      <c r="C334" s="75"/>
      <c r="D334" s="75"/>
      <c r="E334" s="75"/>
      <c r="F334" s="75"/>
      <c r="G334" s="75"/>
      <c r="H334" s="75"/>
      <c r="I334" s="2"/>
      <c r="J334" s="83"/>
      <c r="K334" s="83"/>
      <c r="L334" s="83"/>
      <c r="M334" s="83"/>
      <c r="N334" s="83"/>
      <c r="O334" s="2"/>
      <c r="P334" s="75" t="n">
        <v>331</v>
      </c>
      <c r="Q334" s="146" t="n">
        <v>7347.753473685</v>
      </c>
      <c r="R334" s="146" t="n">
        <v>0.276727725463288</v>
      </c>
      <c r="S334" s="146" t="n">
        <v>0.0880583925106045</v>
      </c>
      <c r="T334" s="146" t="n">
        <v>0.0075926319690661</v>
      </c>
      <c r="U334" s="29"/>
      <c r="V334" s="29"/>
      <c r="W334" s="29"/>
      <c r="X334" s="29"/>
      <c r="Y334" s="29"/>
      <c r="Z334" s="75"/>
    </row>
    <row r="335" customFormat="false" ht="12.75" hidden="false" customHeight="true" outlineLevel="0" collapsed="false">
      <c r="A335" s="2"/>
      <c r="B335" s="2"/>
      <c r="C335" s="75"/>
      <c r="D335" s="75"/>
      <c r="E335" s="75"/>
      <c r="F335" s="75"/>
      <c r="G335" s="75"/>
      <c r="H335" s="75"/>
      <c r="I335" s="2"/>
      <c r="J335" s="83"/>
      <c r="K335" s="83"/>
      <c r="L335" s="83"/>
      <c r="M335" s="83"/>
      <c r="N335" s="83"/>
      <c r="O335" s="2"/>
      <c r="P335" s="75" t="n">
        <v>332</v>
      </c>
      <c r="Q335" s="146" t="n">
        <v>7370.442129052</v>
      </c>
      <c r="R335" s="146" t="n">
        <v>0.275678024820093</v>
      </c>
      <c r="S335" s="146" t="n">
        <v>0.0855227116762305</v>
      </c>
      <c r="T335" s="146" t="n">
        <v>0.00910743458373446</v>
      </c>
      <c r="U335" s="29"/>
      <c r="V335" s="29"/>
      <c r="W335" s="29"/>
      <c r="X335" s="29"/>
      <c r="Y335" s="29"/>
      <c r="Z335" s="75"/>
    </row>
    <row r="336" customFormat="false" ht="12.75" hidden="false" customHeight="true" outlineLevel="0" collapsed="false">
      <c r="A336" s="2"/>
      <c r="B336" s="2"/>
      <c r="C336" s="75"/>
      <c r="D336" s="75"/>
      <c r="E336" s="75"/>
      <c r="F336" s="75"/>
      <c r="G336" s="75"/>
      <c r="H336" s="75"/>
      <c r="I336" s="2"/>
      <c r="J336" s="83"/>
      <c r="K336" s="83"/>
      <c r="L336" s="83"/>
      <c r="M336" s="83"/>
      <c r="N336" s="83"/>
      <c r="O336" s="2"/>
      <c r="P336" s="75" t="n">
        <v>333</v>
      </c>
      <c r="Q336" s="146" t="n">
        <v>7393.162560289</v>
      </c>
      <c r="R336" s="146" t="n">
        <v>0.274363781928179</v>
      </c>
      <c r="S336" s="146" t="n">
        <v>0.0823143465308285</v>
      </c>
      <c r="T336" s="146" t="n">
        <v>0.0102917756807832</v>
      </c>
      <c r="U336" s="29"/>
      <c r="V336" s="29"/>
      <c r="W336" s="29"/>
      <c r="X336" s="29"/>
      <c r="Y336" s="29"/>
      <c r="Z336" s="75"/>
    </row>
    <row r="337" customFormat="false" ht="12.75" hidden="false" customHeight="true" outlineLevel="0" collapsed="false">
      <c r="A337" s="2"/>
      <c r="B337" s="2"/>
      <c r="C337" s="75"/>
      <c r="D337" s="75"/>
      <c r="E337" s="75"/>
      <c r="F337" s="75"/>
      <c r="G337" s="75"/>
      <c r="H337" s="75"/>
      <c r="I337" s="2"/>
      <c r="J337" s="83"/>
      <c r="K337" s="83"/>
      <c r="L337" s="83"/>
      <c r="M337" s="83"/>
      <c r="N337" s="83"/>
      <c r="O337" s="2"/>
      <c r="P337" s="75" t="n">
        <v>334</v>
      </c>
      <c r="Q337" s="146" t="n">
        <v>7415.802008023</v>
      </c>
      <c r="R337" s="146" t="n">
        <v>0.272834906819459</v>
      </c>
      <c r="S337" s="146" t="n">
        <v>0.0786359288981859</v>
      </c>
      <c r="T337" s="146" t="n">
        <v>0.0114666871384114</v>
      </c>
      <c r="U337" s="29"/>
      <c r="V337" s="29"/>
      <c r="W337" s="29"/>
      <c r="X337" s="29"/>
      <c r="Y337" s="29"/>
      <c r="Z337" s="75"/>
    </row>
    <row r="338" customFormat="false" ht="12.75" hidden="false" customHeight="true" outlineLevel="0" collapsed="false">
      <c r="A338" s="2"/>
      <c r="B338" s="2"/>
      <c r="C338" s="75"/>
      <c r="D338" s="75"/>
      <c r="E338" s="75"/>
      <c r="F338" s="75"/>
      <c r="G338" s="75"/>
      <c r="H338" s="75"/>
      <c r="I338" s="2"/>
      <c r="J338" s="83"/>
      <c r="K338" s="83"/>
      <c r="L338" s="83"/>
      <c r="M338" s="83"/>
      <c r="N338" s="83"/>
      <c r="O338" s="2"/>
      <c r="P338" s="75" t="n">
        <v>335</v>
      </c>
      <c r="Q338" s="146" t="n">
        <v>7438.362579285</v>
      </c>
      <c r="R338" s="146" t="n">
        <v>0.271259990191294</v>
      </c>
      <c r="S338" s="146" t="n">
        <v>0.0745642621724145</v>
      </c>
      <c r="T338" s="146" t="n">
        <v>0.0120132554678981</v>
      </c>
      <c r="U338" s="29"/>
      <c r="V338" s="29"/>
      <c r="W338" s="29"/>
      <c r="X338" s="29"/>
      <c r="Y338" s="29"/>
      <c r="Z338" s="75"/>
    </row>
    <row r="339" customFormat="false" ht="12.75" hidden="false" customHeight="true" outlineLevel="0" collapsed="false">
      <c r="A339" s="2"/>
      <c r="B339" s="2"/>
      <c r="C339" s="75"/>
      <c r="D339" s="75"/>
      <c r="E339" s="75"/>
      <c r="F339" s="75"/>
      <c r="G339" s="75"/>
      <c r="H339" s="75"/>
      <c r="I339" s="2"/>
      <c r="J339" s="83"/>
      <c r="K339" s="83"/>
      <c r="L339" s="83"/>
      <c r="M339" s="83"/>
      <c r="N339" s="83"/>
      <c r="O339" s="2"/>
      <c r="P339" s="75" t="n">
        <v>336</v>
      </c>
      <c r="Q339" s="146" t="n">
        <v>7460.917670929</v>
      </c>
      <c r="R339" s="146" t="n">
        <v>0.269961321129264</v>
      </c>
      <c r="S339" s="146" t="n">
        <v>0.0703252573452618</v>
      </c>
      <c r="T339" s="146" t="n">
        <v>0.0121204722234862</v>
      </c>
      <c r="U339" s="29"/>
      <c r="V339" s="29"/>
      <c r="W339" s="29"/>
      <c r="X339" s="29"/>
      <c r="Y339" s="29"/>
      <c r="Z339" s="75"/>
    </row>
    <row r="340" customFormat="false" ht="12.75" hidden="false" customHeight="true" outlineLevel="0" collapsed="false">
      <c r="A340" s="2"/>
      <c r="B340" s="2"/>
      <c r="C340" s="75"/>
      <c r="D340" s="75"/>
      <c r="E340" s="75"/>
      <c r="F340" s="75"/>
      <c r="G340" s="75"/>
      <c r="H340" s="75"/>
      <c r="I340" s="2"/>
      <c r="J340" s="83"/>
      <c r="K340" s="83"/>
      <c r="L340" s="83"/>
      <c r="M340" s="83"/>
      <c r="N340" s="83"/>
      <c r="O340" s="2"/>
      <c r="P340" s="75" t="n">
        <v>337</v>
      </c>
      <c r="Q340" s="146" t="n">
        <v>7483.871717841</v>
      </c>
      <c r="R340" s="146" t="n">
        <v>0.269109051139774</v>
      </c>
      <c r="S340" s="146" t="n">
        <v>0.0653774380581324</v>
      </c>
      <c r="T340" s="146" t="n">
        <v>0.0117835464250502</v>
      </c>
      <c r="U340" s="29"/>
      <c r="V340" s="29"/>
      <c r="W340" s="29"/>
      <c r="X340" s="29"/>
      <c r="Y340" s="29"/>
      <c r="Z340" s="75"/>
    </row>
    <row r="341" customFormat="false" ht="12.75" hidden="false" customHeight="true" outlineLevel="0" collapsed="false">
      <c r="A341" s="2"/>
      <c r="B341" s="2"/>
      <c r="C341" s="75"/>
      <c r="D341" s="75"/>
      <c r="E341" s="75"/>
      <c r="F341" s="75"/>
      <c r="G341" s="75"/>
      <c r="H341" s="75"/>
      <c r="I341" s="2"/>
      <c r="J341" s="83"/>
      <c r="K341" s="83"/>
      <c r="L341" s="83"/>
      <c r="M341" s="83"/>
      <c r="N341" s="83"/>
      <c r="O341" s="2"/>
      <c r="P341" s="75" t="n">
        <v>338</v>
      </c>
      <c r="Q341" s="146" t="n">
        <v>7506.798529155</v>
      </c>
      <c r="R341" s="146" t="n">
        <v>0.268617074650379</v>
      </c>
      <c r="S341" s="146" t="n">
        <v>0.061132919936668</v>
      </c>
      <c r="T341" s="146" t="n">
        <v>0.0112749458751624</v>
      </c>
      <c r="U341" s="29"/>
      <c r="V341" s="29"/>
      <c r="W341" s="29"/>
      <c r="X341" s="29"/>
      <c r="Y341" s="29"/>
      <c r="Z341" s="75"/>
    </row>
    <row r="342" customFormat="false" ht="12.75" hidden="false" customHeight="true" outlineLevel="0" collapsed="false">
      <c r="A342" s="2"/>
      <c r="B342" s="2"/>
      <c r="C342" s="75"/>
      <c r="D342" s="75"/>
      <c r="E342" s="75"/>
      <c r="F342" s="75"/>
      <c r="G342" s="75"/>
      <c r="H342" s="75"/>
      <c r="I342" s="2"/>
      <c r="J342" s="83"/>
      <c r="K342" s="83"/>
      <c r="L342" s="83"/>
      <c r="M342" s="83"/>
      <c r="N342" s="83"/>
      <c r="O342" s="2"/>
      <c r="P342" s="75" t="n">
        <v>339</v>
      </c>
      <c r="Q342" s="146" t="n">
        <v>7529.497460214</v>
      </c>
      <c r="R342" s="146" t="n">
        <v>0.26859506153833</v>
      </c>
      <c r="S342" s="146" t="n">
        <v>0.0574099129896475</v>
      </c>
      <c r="T342" s="146" t="n">
        <v>0.0105454775373578</v>
      </c>
      <c r="U342" s="29"/>
      <c r="V342" s="29"/>
      <c r="W342" s="29"/>
      <c r="X342" s="29"/>
      <c r="Y342" s="29"/>
      <c r="Z342" s="75"/>
    </row>
    <row r="343" customFormat="false" ht="12.75" hidden="false" customHeight="true" outlineLevel="0" collapsed="false">
      <c r="A343" s="2"/>
      <c r="B343" s="2"/>
      <c r="C343" s="75"/>
      <c r="D343" s="75"/>
      <c r="E343" s="75"/>
      <c r="F343" s="75"/>
      <c r="G343" s="75"/>
      <c r="H343" s="75"/>
      <c r="I343" s="2"/>
      <c r="J343" s="83"/>
      <c r="K343" s="83"/>
      <c r="L343" s="83"/>
      <c r="M343" s="83"/>
      <c r="N343" s="83"/>
      <c r="O343" s="2"/>
      <c r="P343" s="75" t="n">
        <v>340</v>
      </c>
      <c r="Q343" s="146" t="n">
        <v>7552.106036784</v>
      </c>
      <c r="R343" s="146" t="n">
        <v>0.268761842291904</v>
      </c>
      <c r="S343" s="146" t="n">
        <v>0.0539164348727592</v>
      </c>
      <c r="T343" s="146" t="n">
        <v>0.00961967108773562</v>
      </c>
      <c r="U343" s="29"/>
      <c r="V343" s="29"/>
      <c r="W343" s="29"/>
      <c r="X343" s="29"/>
      <c r="Y343" s="29"/>
      <c r="Z343" s="75"/>
    </row>
    <row r="344" customFormat="false" ht="12.75" hidden="false" customHeight="true" outlineLevel="0" collapsed="false">
      <c r="A344" s="2"/>
      <c r="B344" s="2"/>
      <c r="C344" s="75"/>
      <c r="D344" s="75"/>
      <c r="E344" s="75"/>
      <c r="F344" s="75"/>
      <c r="G344" s="75"/>
      <c r="H344" s="75"/>
      <c r="I344" s="2"/>
      <c r="J344" s="83"/>
      <c r="K344" s="83"/>
      <c r="L344" s="83"/>
      <c r="M344" s="83"/>
      <c r="N344" s="83"/>
      <c r="O344" s="2"/>
      <c r="P344" s="75" t="n">
        <v>341</v>
      </c>
      <c r="Q344" s="146" t="n">
        <v>7574.483039493</v>
      </c>
      <c r="R344" s="146" t="n">
        <v>0.26892228593583</v>
      </c>
      <c r="S344" s="146" t="n">
        <v>0.0521753278738388</v>
      </c>
      <c r="T344" s="146" t="n">
        <v>0.00871586205503235</v>
      </c>
      <c r="U344" s="29"/>
      <c r="V344" s="29"/>
      <c r="W344" s="29"/>
      <c r="X344" s="29"/>
      <c r="Y344" s="29"/>
      <c r="Z344" s="75"/>
    </row>
    <row r="345" customFormat="false" ht="12.75" hidden="false" customHeight="true" outlineLevel="0" collapsed="false">
      <c r="A345" s="2"/>
      <c r="B345" s="2"/>
      <c r="C345" s="75"/>
      <c r="D345" s="75"/>
      <c r="E345" s="75"/>
      <c r="F345" s="75"/>
      <c r="G345" s="75"/>
      <c r="H345" s="75"/>
      <c r="I345" s="2"/>
      <c r="J345" s="83"/>
      <c r="K345" s="83"/>
      <c r="L345" s="83"/>
      <c r="M345" s="83"/>
      <c r="N345" s="83"/>
      <c r="O345" s="2"/>
      <c r="P345" s="75" t="n">
        <v>342</v>
      </c>
      <c r="Q345" s="146" t="n">
        <v>7597.2170478</v>
      </c>
      <c r="R345" s="146" t="n">
        <v>0.269020013189528</v>
      </c>
      <c r="S345" s="146" t="n">
        <v>0.0510744558162127</v>
      </c>
      <c r="T345" s="146" t="n">
        <v>0.00692329519625544</v>
      </c>
      <c r="U345" s="29"/>
      <c r="V345" s="29"/>
      <c r="W345" s="29"/>
      <c r="X345" s="29"/>
      <c r="Y345" s="29"/>
      <c r="Z345" s="75"/>
    </row>
    <row r="346" customFormat="false" ht="12.75" hidden="false" customHeight="true" outlineLevel="0" collapsed="false">
      <c r="A346" s="2"/>
      <c r="B346" s="2"/>
      <c r="C346" s="75"/>
      <c r="D346" s="75"/>
      <c r="E346" s="75"/>
      <c r="F346" s="75"/>
      <c r="G346" s="75"/>
      <c r="H346" s="75"/>
      <c r="I346" s="2"/>
      <c r="J346" s="83"/>
      <c r="K346" s="83"/>
      <c r="L346" s="83"/>
      <c r="M346" s="83"/>
      <c r="N346" s="83"/>
      <c r="O346" s="2"/>
      <c r="P346" s="75" t="n">
        <v>343</v>
      </c>
      <c r="Q346" s="146" t="n">
        <v>7619.850070241</v>
      </c>
      <c r="R346" s="146" t="n">
        <v>0.268932537317758</v>
      </c>
      <c r="S346" s="146" t="n">
        <v>0.0517362387539649</v>
      </c>
      <c r="T346" s="146" t="n">
        <v>0.00533808209318051</v>
      </c>
      <c r="U346" s="29"/>
      <c r="V346" s="29"/>
      <c r="W346" s="29"/>
      <c r="X346" s="29"/>
      <c r="Y346" s="29"/>
      <c r="Z346" s="75"/>
    </row>
    <row r="347" customFormat="false" ht="12.75" hidden="false" customHeight="true" outlineLevel="0" collapsed="false">
      <c r="A347" s="2"/>
      <c r="B347" s="2"/>
      <c r="C347" s="75"/>
      <c r="D347" s="75"/>
      <c r="E347" s="75"/>
      <c r="F347" s="75"/>
      <c r="G347" s="75"/>
      <c r="H347" s="75"/>
      <c r="I347" s="2"/>
      <c r="J347" s="83"/>
      <c r="K347" s="83"/>
      <c r="L347" s="83"/>
      <c r="M347" s="83"/>
      <c r="N347" s="83"/>
      <c r="O347" s="2"/>
      <c r="P347" s="75" t="n">
        <v>344</v>
      </c>
      <c r="Q347" s="146" t="n">
        <v>7642.678047287</v>
      </c>
      <c r="R347" s="146" t="n">
        <v>0.268495147218804</v>
      </c>
      <c r="S347" s="146" t="n">
        <v>0.0531669530931638</v>
      </c>
      <c r="T347" s="146" t="n">
        <v>0.00433166232870707</v>
      </c>
      <c r="U347" s="29"/>
      <c r="V347" s="29"/>
      <c r="W347" s="29"/>
      <c r="X347" s="29"/>
      <c r="Y347" s="29"/>
      <c r="Z347" s="75"/>
    </row>
    <row r="348" customFormat="false" ht="12.75" hidden="false" customHeight="true" outlineLevel="0" collapsed="false">
      <c r="A348" s="2"/>
      <c r="B348" s="2"/>
      <c r="C348" s="75"/>
      <c r="D348" s="75"/>
      <c r="E348" s="75"/>
      <c r="F348" s="75"/>
      <c r="G348" s="75"/>
      <c r="H348" s="75"/>
      <c r="I348" s="2"/>
      <c r="J348" s="83"/>
      <c r="K348" s="83"/>
      <c r="L348" s="83"/>
      <c r="M348" s="83"/>
      <c r="N348" s="83"/>
      <c r="O348" s="2"/>
      <c r="P348" s="75" t="n">
        <v>345</v>
      </c>
      <c r="Q348" s="146" t="n">
        <v>7665.110264216</v>
      </c>
      <c r="R348" s="146" t="n">
        <v>0.267377648672774</v>
      </c>
      <c r="S348" s="146" t="n">
        <v>0.055138262045878</v>
      </c>
      <c r="T348" s="146" t="n">
        <v>0.003296391879348</v>
      </c>
      <c r="U348" s="29"/>
      <c r="V348" s="29"/>
      <c r="W348" s="29"/>
      <c r="X348" s="29"/>
      <c r="Y348" s="29"/>
      <c r="Z348" s="75"/>
    </row>
    <row r="349" customFormat="false" ht="12.75" hidden="false" customHeight="true" outlineLevel="0" collapsed="false">
      <c r="A349" s="2"/>
      <c r="B349" s="2"/>
      <c r="C349" s="75"/>
      <c r="D349" s="75"/>
      <c r="E349" s="75"/>
      <c r="F349" s="75"/>
      <c r="G349" s="75"/>
      <c r="H349" s="75"/>
      <c r="I349" s="2"/>
      <c r="J349" s="83"/>
      <c r="K349" s="83"/>
      <c r="L349" s="83"/>
      <c r="M349" s="83"/>
      <c r="N349" s="83"/>
      <c r="O349" s="2"/>
      <c r="P349" s="75" t="n">
        <v>346</v>
      </c>
      <c r="Q349" s="146" t="n">
        <v>7688.021946567</v>
      </c>
      <c r="R349" s="146" t="n">
        <v>0.266351137063242</v>
      </c>
      <c r="S349" s="146" t="n">
        <v>0.0569460639084685</v>
      </c>
      <c r="T349" s="146" t="n">
        <v>0.0027231333941407</v>
      </c>
      <c r="U349" s="29"/>
      <c r="V349" s="29"/>
      <c r="W349" s="29"/>
      <c r="X349" s="29"/>
      <c r="Y349" s="29"/>
      <c r="Z349" s="75"/>
    </row>
    <row r="350" customFormat="false" ht="12.75" hidden="false" customHeight="true" outlineLevel="0" collapsed="false">
      <c r="A350" s="2"/>
      <c r="B350" s="2"/>
      <c r="C350" s="75"/>
      <c r="D350" s="75"/>
      <c r="E350" s="75"/>
      <c r="F350" s="75"/>
      <c r="G350" s="75"/>
      <c r="H350" s="75"/>
      <c r="I350" s="2"/>
      <c r="J350" s="83"/>
      <c r="K350" s="83"/>
      <c r="L350" s="83"/>
      <c r="M350" s="83"/>
      <c r="N350" s="83"/>
      <c r="O350" s="2"/>
      <c r="P350" s="75" t="n">
        <v>347</v>
      </c>
      <c r="Q350" s="146" t="n">
        <v>7710.887402397</v>
      </c>
      <c r="R350" s="146" t="n">
        <v>0.265272788460057</v>
      </c>
      <c r="S350" s="146" t="n">
        <v>0.0577810437023065</v>
      </c>
      <c r="T350" s="146" t="n">
        <v>0.00265586023931379</v>
      </c>
      <c r="U350" s="29"/>
      <c r="V350" s="29"/>
      <c r="W350" s="29"/>
      <c r="X350" s="29"/>
      <c r="Y350" s="29"/>
      <c r="Z350" s="75"/>
    </row>
    <row r="351" customFormat="false" ht="12.75" hidden="false" customHeight="true" outlineLevel="0" collapsed="false">
      <c r="A351" s="2"/>
      <c r="B351" s="2"/>
      <c r="C351" s="75"/>
      <c r="D351" s="75"/>
      <c r="E351" s="75"/>
      <c r="F351" s="75"/>
      <c r="G351" s="75"/>
      <c r="H351" s="75"/>
      <c r="I351" s="2"/>
      <c r="J351" s="83"/>
      <c r="K351" s="83"/>
      <c r="L351" s="83"/>
      <c r="M351" s="83"/>
      <c r="N351" s="83"/>
      <c r="O351" s="2"/>
      <c r="P351" s="75" t="n">
        <v>348</v>
      </c>
      <c r="Q351" s="146" t="n">
        <v>7733.79085428</v>
      </c>
      <c r="R351" s="146" t="n">
        <v>0.264799434736856</v>
      </c>
      <c r="S351" s="146" t="n">
        <v>0.0568194098112009</v>
      </c>
      <c r="T351" s="146" t="n">
        <v>0.00321223287514651</v>
      </c>
      <c r="U351" s="29"/>
      <c r="V351" s="29"/>
      <c r="W351" s="29"/>
      <c r="X351" s="29"/>
      <c r="Y351" s="29"/>
      <c r="Z351" s="75"/>
    </row>
    <row r="352" customFormat="false" ht="12.75" hidden="false" customHeight="true" outlineLevel="0" collapsed="false">
      <c r="A352" s="2"/>
      <c r="B352" s="2"/>
      <c r="C352" s="75"/>
      <c r="D352" s="75"/>
      <c r="E352" s="75"/>
      <c r="F352" s="75"/>
      <c r="G352" s="75"/>
      <c r="H352" s="75"/>
      <c r="I352" s="2"/>
      <c r="J352" s="83"/>
      <c r="K352" s="83"/>
      <c r="L352" s="83"/>
      <c r="M352" s="83"/>
      <c r="N352" s="83"/>
      <c r="O352" s="2"/>
      <c r="P352" s="75" t="n">
        <v>349</v>
      </c>
      <c r="Q352" s="146" t="n">
        <v>7756.482323045</v>
      </c>
      <c r="R352" s="146" t="n">
        <v>0.264201411347322</v>
      </c>
      <c r="S352" s="146" t="n">
        <v>0.054738933755623</v>
      </c>
      <c r="T352" s="146" t="n">
        <v>0.0040154248783334</v>
      </c>
      <c r="U352" s="29"/>
      <c r="V352" s="29"/>
      <c r="W352" s="29"/>
      <c r="X352" s="29"/>
      <c r="Y352" s="29"/>
      <c r="Z352" s="75"/>
    </row>
    <row r="353" customFormat="false" ht="12.75" hidden="false" customHeight="true" outlineLevel="0" collapsed="false">
      <c r="A353" s="2"/>
      <c r="B353" s="2"/>
      <c r="C353" s="75"/>
      <c r="D353" s="75"/>
      <c r="E353" s="75"/>
      <c r="F353" s="75"/>
      <c r="G353" s="75"/>
      <c r="H353" s="75"/>
      <c r="I353" s="2"/>
      <c r="J353" s="83"/>
      <c r="K353" s="83"/>
      <c r="L353" s="83"/>
      <c r="M353" s="83"/>
      <c r="N353" s="83"/>
      <c r="O353" s="2"/>
      <c r="P353" s="75" t="n">
        <v>350</v>
      </c>
      <c r="Q353" s="146" t="n">
        <v>7779.440465806</v>
      </c>
      <c r="R353" s="146" t="n">
        <v>0.264074779210253</v>
      </c>
      <c r="S353" s="146" t="n">
        <v>0.0515633149488189</v>
      </c>
      <c r="T353" s="146" t="n">
        <v>0.00530233882204647</v>
      </c>
      <c r="U353" s="29"/>
      <c r="V353" s="29"/>
      <c r="W353" s="29"/>
      <c r="X353" s="29"/>
      <c r="Y353" s="29"/>
      <c r="Z353" s="75"/>
    </row>
    <row r="354" customFormat="false" ht="12.75" hidden="false" customHeight="true" outlineLevel="0" collapsed="false">
      <c r="A354" s="2"/>
      <c r="B354" s="2"/>
      <c r="C354" s="75"/>
      <c r="D354" s="75"/>
      <c r="E354" s="75"/>
      <c r="F354" s="75"/>
      <c r="G354" s="75"/>
      <c r="H354" s="75"/>
      <c r="I354" s="2"/>
      <c r="J354" s="83"/>
      <c r="K354" s="83"/>
      <c r="L354" s="83"/>
      <c r="M354" s="83"/>
      <c r="N354" s="83"/>
      <c r="O354" s="2"/>
      <c r="P354" s="75" t="n">
        <v>351</v>
      </c>
      <c r="Q354" s="146" t="n">
        <v>7802.159908313</v>
      </c>
      <c r="R354" s="146" t="n">
        <v>0.263997728997175</v>
      </c>
      <c r="S354" s="146" t="n">
        <v>0.0485711377121573</v>
      </c>
      <c r="T354" s="146" t="n">
        <v>0.0065864053429325</v>
      </c>
      <c r="U354" s="29"/>
      <c r="V354" s="29"/>
      <c r="W354" s="29"/>
      <c r="X354" s="29"/>
      <c r="Y354" s="29"/>
      <c r="Z354" s="75"/>
    </row>
    <row r="355" customFormat="false" ht="12.75" hidden="false" customHeight="true" outlineLevel="0" collapsed="false">
      <c r="A355" s="2"/>
      <c r="B355" s="2"/>
      <c r="C355" s="75"/>
      <c r="D355" s="75"/>
      <c r="E355" s="75"/>
      <c r="F355" s="75"/>
      <c r="G355" s="75"/>
      <c r="H355" s="75"/>
      <c r="I355" s="2"/>
      <c r="J355" s="83"/>
      <c r="K355" s="83"/>
      <c r="L355" s="83"/>
      <c r="M355" s="83"/>
      <c r="N355" s="83"/>
      <c r="O355" s="2"/>
      <c r="P355" s="75" t="n">
        <v>352</v>
      </c>
      <c r="Q355" s="146" t="n">
        <v>7824.566873161</v>
      </c>
      <c r="R355" s="146" t="n">
        <v>0.263876654235212</v>
      </c>
      <c r="S355" s="146" t="n">
        <v>0.0458482348659723</v>
      </c>
      <c r="T355" s="146" t="n">
        <v>0.00808896046632361</v>
      </c>
      <c r="U355" s="29"/>
      <c r="V355" s="29"/>
      <c r="W355" s="29"/>
      <c r="X355" s="29"/>
      <c r="Y355" s="29"/>
      <c r="Z355" s="75"/>
    </row>
    <row r="356" customFormat="false" ht="12.75" hidden="false" customHeight="true" outlineLevel="0" collapsed="false">
      <c r="A356" s="2"/>
      <c r="B356" s="2"/>
      <c r="C356" s="75"/>
      <c r="D356" s="75"/>
      <c r="E356" s="75"/>
      <c r="F356" s="75"/>
      <c r="G356" s="75"/>
      <c r="H356" s="75"/>
      <c r="I356" s="2"/>
      <c r="J356" s="83"/>
      <c r="K356" s="83"/>
      <c r="L356" s="83"/>
      <c r="M356" s="83"/>
      <c r="N356" s="83"/>
      <c r="O356" s="2"/>
      <c r="P356" s="75" t="n">
        <v>353</v>
      </c>
      <c r="Q356" s="146" t="n">
        <v>7847.620575312</v>
      </c>
      <c r="R356" s="146" t="n">
        <v>0.264113515053061</v>
      </c>
      <c r="S356" s="146" t="n">
        <v>0.0387887643230443</v>
      </c>
      <c r="T356" s="146" t="n">
        <v>0.0106962922625196</v>
      </c>
      <c r="U356" s="29"/>
      <c r="V356" s="29"/>
      <c r="W356" s="29"/>
      <c r="X356" s="29"/>
      <c r="Y356" s="29"/>
      <c r="Z356" s="75"/>
    </row>
    <row r="357" customFormat="false" ht="12.75" hidden="false" customHeight="true" outlineLevel="0" collapsed="false">
      <c r="A357" s="2"/>
      <c r="B357" s="2"/>
      <c r="C357" s="75"/>
      <c r="D357" s="75"/>
      <c r="E357" s="75"/>
      <c r="F357" s="75"/>
      <c r="G357" s="75"/>
      <c r="H357" s="75"/>
      <c r="I357" s="2"/>
      <c r="J357" s="83"/>
      <c r="K357" s="83"/>
      <c r="L357" s="83"/>
      <c r="M357" s="83"/>
      <c r="N357" s="83"/>
      <c r="O357" s="2"/>
      <c r="P357" s="75" t="n">
        <v>354</v>
      </c>
      <c r="Q357" s="146" t="n">
        <v>7870.074479757</v>
      </c>
      <c r="R357" s="146" t="n">
        <v>0.264569186233107</v>
      </c>
      <c r="S357" s="146" t="n">
        <v>0.0383739816430199</v>
      </c>
      <c r="T357" s="146" t="n">
        <v>0.0114207927577801</v>
      </c>
      <c r="U357" s="29"/>
      <c r="V357" s="29"/>
      <c r="W357" s="29"/>
      <c r="X357" s="29"/>
      <c r="Y357" s="29"/>
      <c r="Z357" s="75"/>
    </row>
    <row r="358" customFormat="false" ht="12.75" hidden="false" customHeight="true" outlineLevel="0" collapsed="false">
      <c r="A358" s="2"/>
      <c r="B358" s="2"/>
      <c r="C358" s="75"/>
      <c r="D358" s="75"/>
      <c r="E358" s="75"/>
      <c r="F358" s="75"/>
      <c r="G358" s="75"/>
      <c r="H358" s="75"/>
      <c r="I358" s="2"/>
      <c r="J358" s="83"/>
      <c r="K358" s="83"/>
      <c r="L358" s="83"/>
      <c r="M358" s="83"/>
      <c r="N358" s="83"/>
      <c r="O358" s="2"/>
      <c r="P358" s="75" t="n">
        <v>355</v>
      </c>
      <c r="Q358" s="146" t="n">
        <v>7893.091930147</v>
      </c>
      <c r="R358" s="146" t="n">
        <v>0.264921271530494</v>
      </c>
      <c r="S358" s="146" t="n">
        <v>0.0374557225203468</v>
      </c>
      <c r="T358" s="146" t="n">
        <v>0.0115404764521403</v>
      </c>
      <c r="U358" s="29"/>
      <c r="V358" s="29"/>
      <c r="W358" s="29"/>
      <c r="X358" s="29"/>
      <c r="Y358" s="29"/>
      <c r="Z358" s="75"/>
    </row>
    <row r="359" customFormat="false" ht="12.75" hidden="false" customHeight="true" outlineLevel="0" collapsed="false">
      <c r="A359" s="2"/>
      <c r="B359" s="2"/>
      <c r="C359" s="75"/>
      <c r="D359" s="75"/>
      <c r="E359" s="75"/>
      <c r="F359" s="75"/>
      <c r="G359" s="75"/>
      <c r="H359" s="75"/>
      <c r="I359" s="2"/>
      <c r="J359" s="83"/>
      <c r="K359" s="83"/>
      <c r="L359" s="83"/>
      <c r="M359" s="83"/>
      <c r="N359" s="83"/>
      <c r="O359" s="2"/>
      <c r="P359" s="75" t="n">
        <v>356</v>
      </c>
      <c r="Q359" s="146" t="n">
        <v>7915.083229475</v>
      </c>
      <c r="R359" s="146" t="n">
        <v>0.265019783685485</v>
      </c>
      <c r="S359" s="146" t="n">
        <v>0.0381605960465291</v>
      </c>
      <c r="T359" s="146" t="n">
        <v>0.0128738151218618</v>
      </c>
      <c r="U359" s="29"/>
      <c r="V359" s="29"/>
      <c r="W359" s="29"/>
      <c r="X359" s="29"/>
      <c r="Y359" s="29"/>
      <c r="Z359" s="75"/>
    </row>
    <row r="360" customFormat="false" ht="12.75" hidden="false" customHeight="true" outlineLevel="0" collapsed="false">
      <c r="A360" s="2"/>
      <c r="B360" s="2"/>
      <c r="C360" s="75"/>
      <c r="D360" s="75"/>
      <c r="E360" s="75"/>
      <c r="F360" s="75"/>
      <c r="G360" s="75"/>
      <c r="H360" s="75"/>
      <c r="I360" s="2"/>
      <c r="J360" s="83"/>
      <c r="K360" s="83"/>
      <c r="L360" s="83"/>
      <c r="M360" s="83"/>
      <c r="N360" s="83"/>
      <c r="O360" s="2"/>
      <c r="P360" s="75" t="n">
        <v>357</v>
      </c>
      <c r="Q360" s="146" t="n">
        <v>7938.166170252</v>
      </c>
      <c r="R360" s="146" t="n">
        <v>0.264868402789745</v>
      </c>
      <c r="S360" s="146" t="n">
        <v>0.0412836503420073</v>
      </c>
      <c r="T360" s="146" t="n">
        <v>0.013032767386735</v>
      </c>
      <c r="U360" s="29"/>
      <c r="V360" s="29"/>
      <c r="W360" s="29"/>
      <c r="X360" s="29"/>
      <c r="Y360" s="29"/>
      <c r="Z360" s="75"/>
    </row>
    <row r="361" customFormat="false" ht="12.75" hidden="false" customHeight="true" outlineLevel="0" collapsed="false">
      <c r="A361" s="2"/>
      <c r="B361" s="2"/>
      <c r="C361" s="75"/>
      <c r="D361" s="75"/>
      <c r="E361" s="75"/>
      <c r="F361" s="75"/>
      <c r="G361" s="75"/>
      <c r="H361" s="75"/>
      <c r="I361" s="2"/>
      <c r="J361" s="83"/>
      <c r="K361" s="83"/>
      <c r="L361" s="83"/>
      <c r="M361" s="83"/>
      <c r="N361" s="83"/>
      <c r="O361" s="2"/>
      <c r="P361" s="75" t="n">
        <v>358</v>
      </c>
      <c r="Q361" s="146" t="n">
        <v>7960.336456167</v>
      </c>
      <c r="R361" s="146" t="n">
        <v>0.264713373487435</v>
      </c>
      <c r="S361" s="146" t="n">
        <v>0.0424053793041373</v>
      </c>
      <c r="T361" s="146" t="n">
        <v>0.0141695556268612</v>
      </c>
      <c r="U361" s="29"/>
      <c r="V361" s="29"/>
      <c r="W361" s="29"/>
      <c r="X361" s="29"/>
      <c r="Y361" s="29"/>
      <c r="Z361" s="75"/>
    </row>
    <row r="362" customFormat="false" ht="12.75" hidden="false" customHeight="true" outlineLevel="0" collapsed="false">
      <c r="A362" s="2"/>
      <c r="B362" s="2"/>
      <c r="C362" s="75"/>
      <c r="D362" s="75"/>
      <c r="E362" s="75"/>
      <c r="F362" s="75"/>
      <c r="G362" s="75"/>
      <c r="H362" s="75"/>
      <c r="I362" s="2"/>
      <c r="J362" s="83"/>
      <c r="K362" s="83"/>
      <c r="L362" s="83"/>
      <c r="M362" s="83"/>
      <c r="N362" s="83"/>
      <c r="O362" s="2"/>
      <c r="P362" s="75" t="n">
        <v>359</v>
      </c>
      <c r="Q362" s="146" t="n">
        <v>7983.412076133</v>
      </c>
      <c r="R362" s="146" t="n">
        <v>0.264597717789241</v>
      </c>
      <c r="S362" s="146" t="n">
        <v>0.0488180987436886</v>
      </c>
      <c r="T362" s="146" t="n">
        <v>0.0140536837423835</v>
      </c>
      <c r="U362" s="29"/>
      <c r="V362" s="29"/>
      <c r="W362" s="29"/>
      <c r="X362" s="29"/>
      <c r="Y362" s="29"/>
      <c r="Z362" s="75"/>
    </row>
    <row r="363" customFormat="false" ht="12.75" hidden="false" customHeight="true" outlineLevel="0" collapsed="false">
      <c r="A363" s="2"/>
      <c r="B363" s="2"/>
      <c r="C363" s="75"/>
      <c r="D363" s="75"/>
      <c r="E363" s="75"/>
      <c r="F363" s="75"/>
      <c r="G363" s="75"/>
      <c r="H363" s="75"/>
      <c r="I363" s="2"/>
      <c r="J363" s="83"/>
      <c r="K363" s="83"/>
      <c r="L363" s="83"/>
      <c r="M363" s="83"/>
      <c r="N363" s="83"/>
      <c r="O363" s="2"/>
      <c r="P363" s="75" t="n">
        <v>360</v>
      </c>
      <c r="Q363" s="146" t="n">
        <v>8005.624783893</v>
      </c>
      <c r="R363" s="146" t="n">
        <v>0.264516105693843</v>
      </c>
      <c r="S363" s="146" t="n">
        <v>0.0497474123325563</v>
      </c>
      <c r="T363" s="146" t="n">
        <v>0.0152077429043593</v>
      </c>
      <c r="U363" s="29"/>
      <c r="V363" s="29"/>
      <c r="W363" s="29"/>
      <c r="X363" s="29"/>
      <c r="Y363" s="29"/>
      <c r="Z363" s="75"/>
    </row>
    <row r="364" customFormat="false" ht="12.75" hidden="false" customHeight="true" outlineLevel="0" collapsed="false">
      <c r="A364" s="2"/>
      <c r="B364" s="2"/>
      <c r="C364" s="75"/>
      <c r="D364" s="75"/>
      <c r="E364" s="75"/>
      <c r="F364" s="75"/>
      <c r="G364" s="75"/>
      <c r="H364" s="75"/>
      <c r="I364" s="2"/>
      <c r="J364" s="83"/>
      <c r="K364" s="83"/>
      <c r="L364" s="83"/>
      <c r="M364" s="83"/>
      <c r="N364" s="83"/>
      <c r="O364" s="2"/>
      <c r="P364" s="75" t="n">
        <v>361</v>
      </c>
      <c r="Q364" s="146" t="n">
        <v>8028.372359221</v>
      </c>
      <c r="R364" s="146" t="n">
        <v>0.264507581184931</v>
      </c>
      <c r="S364" s="146" t="n">
        <v>0.0585988868808979</v>
      </c>
      <c r="T364" s="146" t="n">
        <v>0.0149614635744673</v>
      </c>
      <c r="U364" s="29"/>
      <c r="V364" s="29"/>
      <c r="W364" s="29"/>
      <c r="X364" s="29"/>
      <c r="Y364" s="29"/>
      <c r="Z364" s="75"/>
    </row>
    <row r="365" customFormat="false" ht="12.75" hidden="false" customHeight="true" outlineLevel="0" collapsed="false">
      <c r="A365" s="2"/>
      <c r="B365" s="2"/>
      <c r="C365" s="75"/>
      <c r="D365" s="75"/>
      <c r="E365" s="75"/>
      <c r="F365" s="75"/>
      <c r="G365" s="75"/>
      <c r="H365" s="75"/>
      <c r="I365" s="2"/>
      <c r="J365" s="83"/>
      <c r="K365" s="83"/>
      <c r="L365" s="83"/>
      <c r="M365" s="83"/>
      <c r="N365" s="83"/>
      <c r="O365" s="2"/>
      <c r="P365" s="75" t="n">
        <v>362</v>
      </c>
      <c r="Q365" s="146" t="n">
        <v>8050.592248543</v>
      </c>
      <c r="R365" s="146" t="n">
        <v>0.264988497310847</v>
      </c>
      <c r="S365" s="146" t="n">
        <v>0.0589216185775565</v>
      </c>
      <c r="T365" s="146" t="n">
        <v>0.0160968036913478</v>
      </c>
      <c r="U365" s="29"/>
      <c r="V365" s="29"/>
      <c r="W365" s="29"/>
      <c r="X365" s="29"/>
      <c r="Y365" s="29"/>
      <c r="Z365" s="75"/>
    </row>
    <row r="366" customFormat="false" ht="12.75" hidden="false" customHeight="true" outlineLevel="0" collapsed="false">
      <c r="A366" s="2"/>
      <c r="B366" s="2"/>
      <c r="C366" s="75"/>
      <c r="D366" s="75"/>
      <c r="E366" s="75"/>
      <c r="F366" s="75"/>
      <c r="G366" s="75"/>
      <c r="H366" s="75"/>
      <c r="I366" s="2"/>
      <c r="J366" s="83"/>
      <c r="K366" s="83"/>
      <c r="L366" s="83"/>
      <c r="M366" s="83"/>
      <c r="N366" s="83"/>
      <c r="O366" s="2"/>
      <c r="P366" s="75" t="n">
        <v>363</v>
      </c>
      <c r="Q366" s="146" t="n">
        <v>8073.305211184</v>
      </c>
      <c r="R366" s="146" t="n">
        <v>0.265231976567167</v>
      </c>
      <c r="S366" s="146" t="n">
        <v>0.0673848927911849</v>
      </c>
      <c r="T366" s="146" t="n">
        <v>0.0164330444001242</v>
      </c>
      <c r="U366" s="29"/>
      <c r="V366" s="29"/>
      <c r="W366" s="29"/>
      <c r="X366" s="29"/>
      <c r="Y366" s="29"/>
      <c r="Z366" s="75"/>
    </row>
    <row r="367" customFormat="false" ht="12.75" hidden="false" customHeight="true" outlineLevel="0" collapsed="false">
      <c r="A367" s="2"/>
      <c r="B367" s="2"/>
      <c r="C367" s="75"/>
      <c r="D367" s="75"/>
      <c r="E367" s="75"/>
      <c r="F367" s="75"/>
      <c r="G367" s="75"/>
      <c r="H367" s="75"/>
      <c r="I367" s="2"/>
      <c r="J367" s="83"/>
      <c r="K367" s="83"/>
      <c r="L367" s="83"/>
      <c r="M367" s="83"/>
      <c r="N367" s="83"/>
      <c r="O367" s="2"/>
      <c r="P367" s="75" t="n">
        <v>364</v>
      </c>
      <c r="Q367" s="146" t="n">
        <v>8095.181428079</v>
      </c>
      <c r="R367" s="146" t="n">
        <v>0.266053466189613</v>
      </c>
      <c r="S367" s="146" t="n">
        <v>0.068083868170601</v>
      </c>
      <c r="T367" s="146" t="n">
        <v>0.0163522219854847</v>
      </c>
      <c r="U367" s="29"/>
      <c r="V367" s="29"/>
      <c r="W367" s="29"/>
      <c r="X367" s="29"/>
      <c r="Y367" s="29"/>
      <c r="Z367" s="75"/>
    </row>
    <row r="368" customFormat="false" ht="12.75" hidden="false" customHeight="true" outlineLevel="0" collapsed="false">
      <c r="A368" s="2"/>
      <c r="B368" s="2"/>
      <c r="C368" s="75"/>
      <c r="D368" s="75"/>
      <c r="E368" s="75"/>
      <c r="F368" s="75"/>
      <c r="G368" s="75"/>
      <c r="H368" s="75"/>
      <c r="I368" s="2"/>
      <c r="J368" s="83"/>
      <c r="K368" s="83"/>
      <c r="L368" s="83"/>
      <c r="M368" s="83"/>
      <c r="N368" s="83"/>
      <c r="O368" s="2"/>
      <c r="P368" s="75" t="n">
        <v>365</v>
      </c>
      <c r="Q368" s="146" t="n">
        <v>8117.618606017</v>
      </c>
      <c r="R368" s="146" t="n">
        <v>0.266524257015649</v>
      </c>
      <c r="S368" s="146" t="n">
        <v>0.072776862171574</v>
      </c>
      <c r="T368" s="146" t="n">
        <v>0.0163964849883939</v>
      </c>
      <c r="U368" s="29"/>
      <c r="V368" s="29"/>
      <c r="W368" s="29"/>
      <c r="X368" s="29"/>
      <c r="Y368" s="29"/>
      <c r="Z368" s="75"/>
    </row>
    <row r="369" customFormat="false" ht="12.75" hidden="false" customHeight="true" outlineLevel="0" collapsed="false">
      <c r="A369" s="2"/>
      <c r="B369" s="2"/>
      <c r="C369" s="75"/>
      <c r="D369" s="75"/>
      <c r="E369" s="75"/>
      <c r="F369" s="75"/>
      <c r="G369" s="75"/>
      <c r="H369" s="75"/>
      <c r="I369" s="2"/>
      <c r="J369" s="83"/>
      <c r="K369" s="83"/>
      <c r="L369" s="83"/>
      <c r="M369" s="83"/>
      <c r="N369" s="83"/>
      <c r="O369" s="2"/>
      <c r="P369" s="75" t="n">
        <v>366</v>
      </c>
      <c r="Q369" s="146" t="n">
        <v>8139.692502458</v>
      </c>
      <c r="R369" s="146" t="n">
        <v>0.267369632884953</v>
      </c>
      <c r="S369" s="146" t="n">
        <v>0.0746611474998432</v>
      </c>
      <c r="T369" s="146" t="n">
        <v>0.0163156918987417</v>
      </c>
      <c r="U369" s="29"/>
      <c r="V369" s="29"/>
      <c r="W369" s="29"/>
      <c r="X369" s="29"/>
      <c r="Y369" s="29"/>
      <c r="Z369" s="75"/>
    </row>
    <row r="370" customFormat="false" ht="12.75" hidden="false" customHeight="true" outlineLevel="0" collapsed="false">
      <c r="A370" s="2"/>
      <c r="B370" s="2"/>
      <c r="C370" s="75"/>
      <c r="D370" s="75"/>
      <c r="E370" s="75"/>
      <c r="F370" s="75"/>
      <c r="G370" s="75"/>
      <c r="H370" s="75"/>
      <c r="I370" s="2"/>
      <c r="J370" s="83"/>
      <c r="K370" s="83"/>
      <c r="L370" s="83"/>
      <c r="M370" s="83"/>
      <c r="N370" s="83"/>
      <c r="O370" s="2"/>
      <c r="P370" s="75" t="n">
        <v>367</v>
      </c>
      <c r="Q370" s="146" t="n">
        <v>8162.3130949</v>
      </c>
      <c r="R370" s="146" t="n">
        <v>0.267160562181421</v>
      </c>
      <c r="S370" s="146" t="n">
        <v>0.0776411679438618</v>
      </c>
      <c r="T370" s="146" t="n">
        <v>0.0175506862651427</v>
      </c>
      <c r="U370" s="29"/>
      <c r="V370" s="29"/>
      <c r="W370" s="29"/>
      <c r="X370" s="29"/>
      <c r="Y370" s="29"/>
      <c r="Z370" s="75"/>
    </row>
    <row r="371" customFormat="false" ht="12.75" hidden="false" customHeight="true" outlineLevel="0" collapsed="false">
      <c r="A371" s="2"/>
      <c r="B371" s="2"/>
      <c r="C371" s="75"/>
      <c r="D371" s="75"/>
      <c r="E371" s="75"/>
      <c r="F371" s="75"/>
      <c r="G371" s="75"/>
      <c r="H371" s="75"/>
      <c r="I371" s="2"/>
      <c r="J371" s="83"/>
      <c r="K371" s="83"/>
      <c r="L371" s="83"/>
      <c r="M371" s="83"/>
      <c r="N371" s="83"/>
      <c r="O371" s="2"/>
      <c r="P371" s="75" t="n">
        <v>368</v>
      </c>
      <c r="Q371" s="146" t="n">
        <v>8184.574443459</v>
      </c>
      <c r="R371" s="146" t="n">
        <v>0.268277427886717</v>
      </c>
      <c r="S371" s="146" t="n">
        <v>0.0798837327065602</v>
      </c>
      <c r="T371" s="146" t="n">
        <v>0.0177362250989255</v>
      </c>
      <c r="U371" s="29"/>
      <c r="V371" s="29"/>
      <c r="W371" s="29"/>
      <c r="X371" s="29"/>
      <c r="Y371" s="29"/>
      <c r="Z371" s="75"/>
    </row>
    <row r="372" customFormat="false" ht="12.75" hidden="false" customHeight="true" outlineLevel="0" collapsed="false">
      <c r="A372" s="2"/>
      <c r="B372" s="2"/>
      <c r="C372" s="75"/>
      <c r="D372" s="75"/>
      <c r="E372" s="75"/>
      <c r="F372" s="75"/>
      <c r="G372" s="75"/>
      <c r="H372" s="75"/>
      <c r="I372" s="2"/>
      <c r="J372" s="83"/>
      <c r="K372" s="83"/>
      <c r="L372" s="83"/>
      <c r="M372" s="83"/>
      <c r="N372" s="83"/>
      <c r="O372" s="2"/>
      <c r="P372" s="75" t="n">
        <v>369</v>
      </c>
      <c r="Q372" s="146" t="n">
        <v>8207.216547028</v>
      </c>
      <c r="R372" s="146" t="n">
        <v>0.267932732231017</v>
      </c>
      <c r="S372" s="146" t="n">
        <v>0.0819753966517783</v>
      </c>
      <c r="T372" s="146" t="n">
        <v>0.0186335372076611</v>
      </c>
      <c r="U372" s="29"/>
      <c r="V372" s="29"/>
      <c r="W372" s="29"/>
      <c r="X372" s="29"/>
      <c r="Y372" s="29"/>
      <c r="Z372" s="75"/>
    </row>
    <row r="373" customFormat="false" ht="12.75" hidden="false" customHeight="true" outlineLevel="0" collapsed="false">
      <c r="A373" s="2"/>
      <c r="B373" s="2"/>
      <c r="C373" s="75"/>
      <c r="D373" s="75"/>
      <c r="E373" s="75"/>
      <c r="F373" s="75"/>
      <c r="G373" s="75"/>
      <c r="H373" s="75"/>
      <c r="I373" s="2"/>
      <c r="J373" s="83"/>
      <c r="K373" s="83"/>
      <c r="L373" s="83"/>
      <c r="M373" s="83"/>
      <c r="N373" s="83"/>
      <c r="O373" s="2"/>
      <c r="P373" s="75" t="n">
        <v>370</v>
      </c>
      <c r="Q373" s="146" t="n">
        <v>8229.800047753</v>
      </c>
      <c r="R373" s="146" t="n">
        <v>0.26794634447014</v>
      </c>
      <c r="S373" s="146" t="n">
        <v>0.0847104536377109</v>
      </c>
      <c r="T373" s="146" t="n">
        <v>0.019204921403892</v>
      </c>
      <c r="U373" s="29"/>
      <c r="V373" s="29"/>
      <c r="W373" s="29"/>
      <c r="X373" s="29"/>
      <c r="Y373" s="29"/>
      <c r="Z373" s="75"/>
    </row>
    <row r="374" customFormat="false" ht="12.75" hidden="false" customHeight="true" outlineLevel="0" collapsed="false">
      <c r="A374" s="2"/>
      <c r="B374" s="2"/>
      <c r="C374" s="75"/>
      <c r="D374" s="75"/>
      <c r="E374" s="75"/>
      <c r="F374" s="75"/>
      <c r="G374" s="75"/>
      <c r="H374" s="75"/>
      <c r="I374" s="2"/>
      <c r="J374" s="83"/>
      <c r="K374" s="83"/>
      <c r="L374" s="83"/>
      <c r="M374" s="83"/>
      <c r="N374" s="83"/>
      <c r="O374" s="2"/>
      <c r="P374" s="75" t="n">
        <v>371</v>
      </c>
      <c r="Q374" s="146" t="n">
        <v>8252.267906865</v>
      </c>
      <c r="R374" s="146" t="n">
        <v>0.267553849080236</v>
      </c>
      <c r="S374" s="146" t="n">
        <v>0.0883580823928284</v>
      </c>
      <c r="T374" s="146" t="n">
        <v>0.0197343142159385</v>
      </c>
      <c r="U374" s="29"/>
      <c r="V374" s="29"/>
      <c r="W374" s="29"/>
      <c r="X374" s="29"/>
      <c r="Y374" s="29"/>
      <c r="Z374" s="75"/>
    </row>
    <row r="375" customFormat="false" ht="12.75" hidden="false" customHeight="true" outlineLevel="0" collapsed="false">
      <c r="A375" s="2"/>
      <c r="B375" s="2"/>
      <c r="C375" s="75"/>
      <c r="D375" s="75"/>
      <c r="E375" s="75"/>
      <c r="F375" s="75"/>
      <c r="G375" s="75"/>
      <c r="H375" s="75"/>
      <c r="I375" s="2"/>
      <c r="J375" s="83"/>
      <c r="K375" s="83"/>
      <c r="L375" s="83"/>
      <c r="M375" s="83"/>
      <c r="N375" s="83"/>
      <c r="O375" s="2"/>
      <c r="P375" s="75" t="n">
        <v>372</v>
      </c>
      <c r="Q375" s="146" t="n">
        <v>8274.677276522</v>
      </c>
      <c r="R375" s="146" t="n">
        <v>0.266854382663388</v>
      </c>
      <c r="S375" s="146" t="n">
        <v>0.0919123976458014</v>
      </c>
      <c r="T375" s="146" t="n">
        <v>0.0206374515730307</v>
      </c>
      <c r="U375" s="29"/>
      <c r="V375" s="29"/>
      <c r="W375" s="29"/>
      <c r="X375" s="29"/>
      <c r="Y375" s="29"/>
      <c r="Z375" s="75"/>
    </row>
    <row r="376" customFormat="false" ht="12.75" hidden="false" customHeight="true" outlineLevel="0" collapsed="false">
      <c r="A376" s="2"/>
      <c r="B376" s="2"/>
      <c r="C376" s="75"/>
      <c r="D376" s="75"/>
      <c r="E376" s="75"/>
      <c r="F376" s="75"/>
      <c r="G376" s="75"/>
      <c r="H376" s="75"/>
      <c r="I376" s="2"/>
      <c r="J376" s="83"/>
      <c r="K376" s="83"/>
      <c r="L376" s="83"/>
      <c r="M376" s="83"/>
      <c r="N376" s="83"/>
      <c r="O376" s="2"/>
      <c r="P376" s="75" t="n">
        <v>373</v>
      </c>
      <c r="Q376" s="146" t="n">
        <v>8296.847261684</v>
      </c>
      <c r="R376" s="146" t="n">
        <v>0.265877740211326</v>
      </c>
      <c r="S376" s="146" t="n">
        <v>0.0951517520518421</v>
      </c>
      <c r="T376" s="146" t="n">
        <v>0.0224413130315505</v>
      </c>
      <c r="U376" s="29"/>
      <c r="V376" s="29"/>
      <c r="W376" s="29"/>
      <c r="X376" s="29"/>
      <c r="Y376" s="29"/>
      <c r="Z376" s="75"/>
    </row>
    <row r="377" customFormat="false" ht="12.75" hidden="false" customHeight="true" outlineLevel="0" collapsed="false">
      <c r="A377" s="2"/>
      <c r="B377" s="2"/>
      <c r="C377" s="75"/>
      <c r="D377" s="75"/>
      <c r="E377" s="75"/>
      <c r="F377" s="75"/>
      <c r="G377" s="75"/>
      <c r="H377" s="75"/>
      <c r="I377" s="2"/>
      <c r="J377" s="83"/>
      <c r="K377" s="83"/>
      <c r="L377" s="83"/>
      <c r="M377" s="83"/>
      <c r="N377" s="83"/>
      <c r="O377" s="2"/>
      <c r="P377" s="75" t="n">
        <v>374</v>
      </c>
      <c r="Q377" s="146" t="n">
        <v>8319.186538762</v>
      </c>
      <c r="R377" s="146" t="n">
        <v>0.265239124128977</v>
      </c>
      <c r="S377" s="146" t="n">
        <v>0.0973669253909725</v>
      </c>
      <c r="T377" s="146" t="n">
        <v>0.0245968679061428</v>
      </c>
      <c r="U377" s="29"/>
      <c r="V377" s="29"/>
      <c r="W377" s="29"/>
      <c r="X377" s="29"/>
      <c r="Y377" s="29"/>
      <c r="Z377" s="75"/>
    </row>
    <row r="378" customFormat="false" ht="12.75" hidden="false" customHeight="true" outlineLevel="0" collapsed="false">
      <c r="A378" s="2"/>
      <c r="B378" s="2"/>
      <c r="C378" s="75"/>
      <c r="D378" s="75"/>
      <c r="E378" s="75"/>
      <c r="F378" s="75"/>
      <c r="G378" s="75"/>
      <c r="H378" s="75"/>
      <c r="I378" s="2"/>
      <c r="J378" s="83"/>
      <c r="K378" s="83"/>
      <c r="L378" s="83"/>
      <c r="M378" s="83"/>
      <c r="N378" s="83"/>
      <c r="O378" s="2"/>
      <c r="P378" s="75" t="n">
        <v>375</v>
      </c>
      <c r="Q378" s="146" t="n">
        <v>8341.443964716</v>
      </c>
      <c r="R378" s="146" t="n">
        <v>0.264920512099565</v>
      </c>
      <c r="S378" s="146" t="n">
        <v>0.0972970758706715</v>
      </c>
      <c r="T378" s="146" t="n">
        <v>0.0268527377295322</v>
      </c>
      <c r="U378" s="29"/>
      <c r="V378" s="29"/>
      <c r="W378" s="29"/>
      <c r="X378" s="29"/>
      <c r="Y378" s="29"/>
      <c r="Z378" s="75"/>
    </row>
    <row r="379" customFormat="false" ht="12.75" hidden="false" customHeight="true" outlineLevel="0" collapsed="false">
      <c r="A379" s="2"/>
      <c r="B379" s="2"/>
      <c r="C379" s="75"/>
      <c r="D379" s="75"/>
      <c r="E379" s="75"/>
      <c r="F379" s="75"/>
      <c r="G379" s="75"/>
      <c r="H379" s="75"/>
      <c r="I379" s="2"/>
      <c r="J379" s="83"/>
      <c r="K379" s="83"/>
      <c r="L379" s="83"/>
      <c r="M379" s="83"/>
      <c r="N379" s="83"/>
      <c r="O379" s="2"/>
      <c r="P379" s="75" t="n">
        <v>376</v>
      </c>
      <c r="Q379" s="146" t="n">
        <v>8363.659958229</v>
      </c>
      <c r="R379" s="146" t="n">
        <v>0.2648359811293</v>
      </c>
      <c r="S379" s="146" t="n">
        <v>0.093837972227077</v>
      </c>
      <c r="T379" s="146" t="n">
        <v>0.0285643166800389</v>
      </c>
      <c r="U379" s="29"/>
      <c r="V379" s="29"/>
      <c r="W379" s="29"/>
      <c r="X379" s="29"/>
      <c r="Y379" s="29"/>
      <c r="Z379" s="75"/>
    </row>
    <row r="380" customFormat="false" ht="12.75" hidden="false" customHeight="true" outlineLevel="0" collapsed="false">
      <c r="A380" s="2"/>
      <c r="B380" s="2"/>
      <c r="C380" s="75"/>
      <c r="D380" s="75"/>
      <c r="E380" s="75"/>
      <c r="F380" s="75"/>
      <c r="G380" s="75"/>
      <c r="H380" s="75"/>
      <c r="I380" s="2"/>
      <c r="J380" s="83"/>
      <c r="K380" s="83"/>
      <c r="L380" s="83"/>
      <c r="M380" s="83"/>
      <c r="N380" s="83"/>
      <c r="O380" s="2"/>
      <c r="P380" s="75" t="n">
        <v>377</v>
      </c>
      <c r="Q380" s="146" t="n">
        <v>8386.300057396</v>
      </c>
      <c r="R380" s="146" t="n">
        <v>0.265542747304517</v>
      </c>
      <c r="S380" s="146" t="n">
        <v>0.0858410157247877</v>
      </c>
      <c r="T380" s="146" t="n">
        <v>0.029284398789038</v>
      </c>
      <c r="U380" s="29"/>
      <c r="V380" s="29"/>
      <c r="W380" s="29"/>
      <c r="X380" s="29"/>
      <c r="Y380" s="29"/>
      <c r="Z380" s="75"/>
    </row>
    <row r="381" customFormat="false" ht="12.75" hidden="false" customHeight="true" outlineLevel="0" collapsed="false">
      <c r="A381" s="2"/>
      <c r="B381" s="2"/>
      <c r="C381" s="75"/>
      <c r="D381" s="75"/>
      <c r="E381" s="75"/>
      <c r="F381" s="75"/>
      <c r="G381" s="75"/>
      <c r="H381" s="75"/>
      <c r="I381" s="2"/>
      <c r="J381" s="83"/>
      <c r="K381" s="83"/>
      <c r="L381" s="83"/>
      <c r="M381" s="83"/>
      <c r="N381" s="83"/>
      <c r="O381" s="2"/>
      <c r="P381" s="75" t="n">
        <v>378</v>
      </c>
      <c r="Q381" s="146" t="n">
        <v>8409.081155248</v>
      </c>
      <c r="R381" s="146" t="n">
        <v>0.266385080928361</v>
      </c>
      <c r="S381" s="146" t="n">
        <v>0.0751325128715379</v>
      </c>
      <c r="T381" s="146" t="n">
        <v>0.0304974740260575</v>
      </c>
      <c r="U381" s="29"/>
      <c r="V381" s="29"/>
      <c r="W381" s="29"/>
      <c r="X381" s="29"/>
      <c r="Y381" s="29"/>
      <c r="Z381" s="75"/>
    </row>
    <row r="382" customFormat="false" ht="12.75" hidden="false" customHeight="true" outlineLevel="0" collapsed="false">
      <c r="A382" s="2"/>
      <c r="B382" s="2"/>
      <c r="C382" s="75"/>
      <c r="D382" s="75"/>
      <c r="E382" s="75"/>
      <c r="F382" s="75"/>
      <c r="G382" s="75"/>
      <c r="H382" s="75"/>
      <c r="I382" s="2"/>
      <c r="J382" s="83"/>
      <c r="K382" s="83"/>
      <c r="L382" s="83"/>
      <c r="M382" s="83"/>
      <c r="N382" s="83"/>
      <c r="O382" s="2"/>
      <c r="P382" s="75" t="n">
        <v>379</v>
      </c>
      <c r="Q382" s="146" t="n">
        <v>8431.598789827</v>
      </c>
      <c r="R382" s="146" t="n">
        <v>0.267338921997625</v>
      </c>
      <c r="S382" s="146" t="n">
        <v>0.0662441368079808</v>
      </c>
      <c r="T382" s="146" t="n">
        <v>0.0315370936167179</v>
      </c>
      <c r="U382" s="29"/>
      <c r="V382" s="29"/>
      <c r="W382" s="29"/>
      <c r="X382" s="29"/>
      <c r="Y382" s="29"/>
      <c r="Z382" s="75"/>
    </row>
    <row r="383" customFormat="false" ht="12.75" hidden="false" customHeight="true" outlineLevel="0" collapsed="false">
      <c r="A383" s="2"/>
      <c r="B383" s="2"/>
      <c r="C383" s="75"/>
      <c r="D383" s="75"/>
      <c r="E383" s="75"/>
      <c r="F383" s="75"/>
      <c r="G383" s="75"/>
      <c r="H383" s="75"/>
      <c r="I383" s="2"/>
      <c r="J383" s="83"/>
      <c r="K383" s="83"/>
      <c r="L383" s="83"/>
      <c r="M383" s="83"/>
      <c r="N383" s="83"/>
      <c r="O383" s="2"/>
      <c r="P383" s="75" t="n">
        <v>380</v>
      </c>
      <c r="Q383" s="146" t="n">
        <v>8453.77105267</v>
      </c>
      <c r="R383" s="146" t="n">
        <v>0.268257090060235</v>
      </c>
      <c r="S383" s="146" t="n">
        <v>0.0620986498859212</v>
      </c>
      <c r="T383" s="146" t="n">
        <v>0.0326576623793271</v>
      </c>
      <c r="U383" s="29"/>
      <c r="V383" s="29"/>
      <c r="W383" s="29"/>
      <c r="X383" s="29"/>
      <c r="Y383" s="29"/>
      <c r="Z383" s="75"/>
    </row>
    <row r="384" customFormat="false" ht="12.75" hidden="false" customHeight="true" outlineLevel="0" collapsed="false">
      <c r="A384" s="2"/>
      <c r="B384" s="2"/>
      <c r="C384" s="75"/>
      <c r="D384" s="75"/>
      <c r="E384" s="75"/>
      <c r="F384" s="75"/>
      <c r="G384" s="75"/>
      <c r="H384" s="75"/>
      <c r="I384" s="2"/>
      <c r="J384" s="83"/>
      <c r="K384" s="83"/>
      <c r="L384" s="83"/>
      <c r="M384" s="83"/>
      <c r="N384" s="83"/>
      <c r="O384" s="2"/>
      <c r="P384" s="75" t="n">
        <v>381</v>
      </c>
      <c r="Q384" s="146" t="n">
        <v>8476.48801426</v>
      </c>
      <c r="R384" s="146" t="n">
        <v>0.268817774493328</v>
      </c>
      <c r="S384" s="146" t="n">
        <v>0.0535661575339869</v>
      </c>
      <c r="T384" s="146" t="n">
        <v>0.0314008475420661</v>
      </c>
      <c r="U384" s="29"/>
      <c r="V384" s="29"/>
      <c r="W384" s="29"/>
      <c r="X384" s="29"/>
      <c r="Y384" s="29"/>
      <c r="Z384" s="75"/>
    </row>
    <row r="385" customFormat="false" ht="12.75" hidden="false" customHeight="true" outlineLevel="0" collapsed="false">
      <c r="A385" s="2"/>
      <c r="B385" s="2"/>
      <c r="C385" s="75"/>
      <c r="D385" s="75"/>
      <c r="E385" s="75"/>
      <c r="F385" s="75"/>
      <c r="G385" s="75"/>
      <c r="H385" s="75"/>
      <c r="I385" s="2"/>
      <c r="J385" s="83"/>
      <c r="K385" s="83"/>
      <c r="L385" s="83"/>
      <c r="M385" s="83"/>
      <c r="N385" s="83"/>
      <c r="O385" s="2"/>
      <c r="P385" s="75" t="n">
        <v>382</v>
      </c>
      <c r="Q385" s="146" t="n">
        <v>8498.590437983</v>
      </c>
      <c r="R385" s="146" t="n">
        <v>0.269636801347346</v>
      </c>
      <c r="S385" s="146" t="n">
        <v>0.0516926902580788</v>
      </c>
      <c r="T385" s="146" t="n">
        <v>0.0318368305769379</v>
      </c>
      <c r="U385" s="29"/>
      <c r="V385" s="29"/>
      <c r="W385" s="29"/>
      <c r="X385" s="29"/>
      <c r="Y385" s="29"/>
      <c r="Z385" s="75"/>
    </row>
    <row r="386" customFormat="false" ht="12.75" hidden="false" customHeight="true" outlineLevel="0" collapsed="false">
      <c r="A386" s="2"/>
      <c r="B386" s="2"/>
      <c r="C386" s="75"/>
      <c r="D386" s="75"/>
      <c r="E386" s="75"/>
      <c r="F386" s="75"/>
      <c r="G386" s="75"/>
      <c r="H386" s="75"/>
      <c r="I386" s="2"/>
      <c r="J386" s="83"/>
      <c r="K386" s="83"/>
      <c r="L386" s="83"/>
      <c r="M386" s="83"/>
      <c r="N386" s="83"/>
      <c r="O386" s="2"/>
      <c r="P386" s="75" t="n">
        <v>383</v>
      </c>
      <c r="Q386" s="146" t="n">
        <v>8521.156088387</v>
      </c>
      <c r="R386" s="146" t="n">
        <v>0.270036033034227</v>
      </c>
      <c r="S386" s="146" t="n">
        <v>0.0489070200871665</v>
      </c>
      <c r="T386" s="146" t="n">
        <v>0.0316403435823977</v>
      </c>
      <c r="U386" s="29"/>
      <c r="V386" s="29"/>
      <c r="W386" s="29"/>
      <c r="X386" s="29"/>
      <c r="Y386" s="29"/>
      <c r="Z386" s="75"/>
    </row>
    <row r="387" customFormat="false" ht="12.75" hidden="false" customHeight="true" outlineLevel="0" collapsed="false">
      <c r="A387" s="2"/>
      <c r="B387" s="2"/>
      <c r="C387" s="75"/>
      <c r="D387" s="75"/>
      <c r="E387" s="75"/>
      <c r="F387" s="75"/>
      <c r="G387" s="75"/>
      <c r="H387" s="75"/>
      <c r="I387" s="2"/>
      <c r="J387" s="83"/>
      <c r="K387" s="83"/>
      <c r="L387" s="83"/>
      <c r="M387" s="83"/>
      <c r="N387" s="83"/>
      <c r="O387" s="2"/>
      <c r="P387" s="75" t="n">
        <v>384</v>
      </c>
      <c r="Q387" s="146" t="n">
        <v>8543.762083964</v>
      </c>
      <c r="R387" s="146" t="n">
        <v>0.270520107199051</v>
      </c>
      <c r="S387" s="146" t="n">
        <v>0.0485306350036797</v>
      </c>
      <c r="T387" s="146" t="n">
        <v>0.0319398905693818</v>
      </c>
      <c r="U387" s="29"/>
      <c r="V387" s="29"/>
      <c r="W387" s="29"/>
      <c r="X387" s="29"/>
      <c r="Y387" s="29"/>
      <c r="Z387" s="75"/>
    </row>
    <row r="388" customFormat="false" ht="12.75" hidden="false" customHeight="true" outlineLevel="0" collapsed="false">
      <c r="A388" s="2"/>
      <c r="B388" s="2"/>
      <c r="C388" s="75"/>
      <c r="D388" s="75"/>
      <c r="E388" s="75"/>
      <c r="F388" s="75"/>
      <c r="G388" s="75"/>
      <c r="H388" s="75"/>
      <c r="I388" s="2"/>
      <c r="J388" s="83"/>
      <c r="K388" s="83"/>
      <c r="L388" s="83"/>
      <c r="M388" s="83"/>
      <c r="N388" s="83"/>
      <c r="O388" s="2"/>
      <c r="P388" s="75" t="n">
        <v>385</v>
      </c>
      <c r="Q388" s="146" t="n">
        <v>8566.186571282</v>
      </c>
      <c r="R388" s="146" t="n">
        <v>0.270747082743756</v>
      </c>
      <c r="S388" s="146" t="n">
        <v>0.0511218685155284</v>
      </c>
      <c r="T388" s="146" t="n">
        <v>0.031957413926702</v>
      </c>
      <c r="U388" s="29"/>
      <c r="V388" s="29"/>
      <c r="W388" s="29"/>
      <c r="X388" s="29"/>
      <c r="Y388" s="29"/>
      <c r="Z388" s="75"/>
    </row>
    <row r="389" customFormat="false" ht="12.75" hidden="false" customHeight="true" outlineLevel="0" collapsed="false">
      <c r="A389" s="2"/>
      <c r="B389" s="2"/>
      <c r="C389" s="75"/>
      <c r="D389" s="75"/>
      <c r="E389" s="75"/>
      <c r="F389" s="75"/>
      <c r="G389" s="75"/>
      <c r="H389" s="75"/>
      <c r="I389" s="2"/>
      <c r="J389" s="83"/>
      <c r="K389" s="83"/>
      <c r="L389" s="83"/>
      <c r="M389" s="83"/>
      <c r="N389" s="83"/>
      <c r="O389" s="2"/>
      <c r="P389" s="75" t="n">
        <v>386</v>
      </c>
      <c r="Q389" s="146" t="n">
        <v>8589.087210872</v>
      </c>
      <c r="R389" s="146" t="n">
        <v>0.270900466505452</v>
      </c>
      <c r="S389" s="146" t="n">
        <v>0.0578500507949306</v>
      </c>
      <c r="T389" s="146" t="n">
        <v>0.0323427656951591</v>
      </c>
      <c r="U389" s="29"/>
      <c r="V389" s="29"/>
      <c r="W389" s="29"/>
      <c r="X389" s="29"/>
      <c r="Y389" s="29"/>
      <c r="Z389" s="75"/>
    </row>
    <row r="390" customFormat="false" ht="12.75" hidden="false" customHeight="true" outlineLevel="0" collapsed="false">
      <c r="A390" s="2"/>
      <c r="B390" s="2"/>
      <c r="C390" s="75"/>
      <c r="D390" s="75"/>
      <c r="E390" s="75"/>
      <c r="F390" s="75"/>
      <c r="G390" s="75"/>
      <c r="H390" s="75"/>
      <c r="I390" s="2"/>
      <c r="J390" s="83"/>
      <c r="K390" s="83"/>
      <c r="L390" s="83"/>
      <c r="M390" s="83"/>
      <c r="N390" s="83"/>
      <c r="O390" s="2"/>
      <c r="P390" s="75" t="n">
        <v>387</v>
      </c>
      <c r="Q390" s="146" t="n">
        <v>8611.517786068</v>
      </c>
      <c r="R390" s="146" t="n">
        <v>0.270896150974344</v>
      </c>
      <c r="S390" s="146" t="n">
        <v>0.0614274279989151</v>
      </c>
      <c r="T390" s="146" t="n">
        <v>0.0312982744552144</v>
      </c>
      <c r="U390" s="29"/>
      <c r="V390" s="29"/>
      <c r="W390" s="29"/>
      <c r="X390" s="29"/>
      <c r="Y390" s="29"/>
      <c r="Z390" s="75"/>
    </row>
    <row r="391" customFormat="false" ht="12.75" hidden="false" customHeight="true" outlineLevel="0" collapsed="false">
      <c r="A391" s="2"/>
      <c r="B391" s="2"/>
      <c r="C391" s="75"/>
      <c r="D391" s="75"/>
      <c r="E391" s="75"/>
      <c r="F391" s="75"/>
      <c r="G391" s="75"/>
      <c r="H391" s="75"/>
      <c r="I391" s="2"/>
      <c r="J391" s="83"/>
      <c r="K391" s="83"/>
      <c r="L391" s="83"/>
      <c r="M391" s="83"/>
      <c r="N391" s="83"/>
      <c r="O391" s="2"/>
      <c r="P391" s="75" t="n">
        <v>388</v>
      </c>
      <c r="Q391" s="146" t="n">
        <v>8634.340563289</v>
      </c>
      <c r="R391" s="146" t="n">
        <v>0.270858062731228</v>
      </c>
      <c r="S391" s="146" t="n">
        <v>0.0745572071849888</v>
      </c>
      <c r="T391" s="146" t="n">
        <v>0.0313000555872332</v>
      </c>
      <c r="U391" s="29"/>
      <c r="V391" s="29"/>
      <c r="W391" s="29"/>
      <c r="X391" s="29"/>
      <c r="Y391" s="29"/>
      <c r="Z391" s="75"/>
    </row>
    <row r="392" customFormat="false" ht="12.75" hidden="false" customHeight="true" outlineLevel="0" collapsed="false">
      <c r="A392" s="2"/>
      <c r="B392" s="2"/>
      <c r="C392" s="75"/>
      <c r="D392" s="75"/>
      <c r="E392" s="75"/>
      <c r="F392" s="75"/>
      <c r="G392" s="75"/>
      <c r="H392" s="75"/>
      <c r="I392" s="2"/>
      <c r="J392" s="83"/>
      <c r="K392" s="83"/>
      <c r="L392" s="83"/>
      <c r="M392" s="83"/>
      <c r="N392" s="83"/>
      <c r="O392" s="2"/>
      <c r="P392" s="75" t="n">
        <v>389</v>
      </c>
      <c r="Q392" s="146" t="n">
        <v>8656.272634239</v>
      </c>
      <c r="R392" s="146" t="n">
        <v>0.270870605077705</v>
      </c>
      <c r="S392" s="146" t="n">
        <v>0.075818538984996</v>
      </c>
      <c r="T392" s="146" t="n">
        <v>0.029667485480911</v>
      </c>
      <c r="U392" s="29"/>
      <c r="V392" s="29"/>
      <c r="W392" s="29"/>
      <c r="X392" s="29"/>
      <c r="Y392" s="29"/>
      <c r="Z392" s="75"/>
    </row>
    <row r="393" customFormat="false" ht="12.75" hidden="false" customHeight="true" outlineLevel="0" collapsed="false">
      <c r="A393" s="2"/>
      <c r="B393" s="2"/>
      <c r="C393" s="75"/>
      <c r="D393" s="75"/>
      <c r="E393" s="75"/>
      <c r="F393" s="75"/>
      <c r="G393" s="75"/>
      <c r="H393" s="75"/>
      <c r="I393" s="2"/>
      <c r="J393" s="83"/>
      <c r="K393" s="83"/>
      <c r="L393" s="83"/>
      <c r="M393" s="83"/>
      <c r="N393" s="83"/>
      <c r="O393" s="2"/>
      <c r="P393" s="75" t="n">
        <v>390</v>
      </c>
      <c r="Q393" s="146" t="n">
        <v>8678.574223573</v>
      </c>
      <c r="R393" s="146" t="n">
        <v>0.2709462982388</v>
      </c>
      <c r="S393" s="146" t="n">
        <v>0.0777367276756733</v>
      </c>
      <c r="T393" s="146" t="n">
        <v>0.0282167168086044</v>
      </c>
      <c r="U393" s="29"/>
      <c r="V393" s="29"/>
      <c r="W393" s="29"/>
      <c r="X393" s="29"/>
      <c r="Y393" s="29"/>
      <c r="Z393" s="75"/>
    </row>
    <row r="394" customFormat="false" ht="12.75" hidden="false" customHeight="true" outlineLevel="0" collapsed="false">
      <c r="A394" s="2"/>
      <c r="B394" s="2"/>
      <c r="C394" s="75"/>
      <c r="D394" s="75"/>
      <c r="E394" s="75"/>
      <c r="F394" s="75"/>
      <c r="G394" s="75"/>
      <c r="H394" s="75"/>
      <c r="I394" s="2"/>
      <c r="J394" s="83"/>
      <c r="K394" s="83"/>
      <c r="L394" s="83"/>
      <c r="M394" s="83"/>
      <c r="N394" s="83"/>
      <c r="O394" s="2"/>
      <c r="P394" s="75" t="n">
        <v>391</v>
      </c>
      <c r="Q394" s="146" t="n">
        <v>8700.974267046</v>
      </c>
      <c r="R394" s="146" t="n">
        <v>0.271035966659201</v>
      </c>
      <c r="S394" s="146" t="n">
        <v>0.0808928071742158</v>
      </c>
      <c r="T394" s="146" t="n">
        <v>0.0270562353483368</v>
      </c>
      <c r="U394" s="29"/>
      <c r="V394" s="29"/>
      <c r="W394" s="29"/>
      <c r="X394" s="29"/>
      <c r="Y394" s="29"/>
      <c r="Z394" s="75"/>
    </row>
    <row r="395" customFormat="false" ht="12.75" hidden="false" customHeight="true" outlineLevel="0" collapsed="false">
      <c r="A395" s="2"/>
      <c r="B395" s="2"/>
      <c r="C395" s="75"/>
      <c r="D395" s="75"/>
      <c r="E395" s="75"/>
      <c r="F395" s="75"/>
      <c r="G395" s="75"/>
      <c r="H395" s="75"/>
      <c r="I395" s="2"/>
      <c r="J395" s="83"/>
      <c r="K395" s="83"/>
      <c r="L395" s="83"/>
      <c r="M395" s="83"/>
      <c r="N395" s="83"/>
      <c r="O395" s="2"/>
      <c r="P395" s="75" t="n">
        <v>392</v>
      </c>
      <c r="Q395" s="146" t="n">
        <v>8723.333442727</v>
      </c>
      <c r="R395" s="146" t="n">
        <v>0.271275069613885</v>
      </c>
      <c r="S395" s="146" t="n">
        <v>0.083195364018708</v>
      </c>
      <c r="T395" s="146" t="n">
        <v>0.0258169254364804</v>
      </c>
      <c r="U395" s="29"/>
      <c r="V395" s="29"/>
      <c r="W395" s="29"/>
      <c r="X395" s="29"/>
      <c r="Y395" s="29"/>
      <c r="Z395" s="75"/>
    </row>
    <row r="396" customFormat="false" ht="12.75" hidden="false" customHeight="true" outlineLevel="0" collapsed="false">
      <c r="A396" s="2"/>
      <c r="B396" s="2"/>
      <c r="C396" s="75"/>
      <c r="D396" s="75"/>
      <c r="E396" s="75"/>
      <c r="F396" s="75"/>
      <c r="G396" s="75"/>
      <c r="H396" s="75"/>
      <c r="I396" s="2"/>
      <c r="J396" s="83"/>
      <c r="K396" s="83"/>
      <c r="L396" s="83"/>
      <c r="M396" s="83"/>
      <c r="N396" s="83"/>
      <c r="O396" s="2"/>
      <c r="P396" s="75" t="n">
        <v>393</v>
      </c>
      <c r="Q396" s="146" t="n">
        <v>8745.718622618</v>
      </c>
      <c r="R396" s="146" t="n">
        <v>0.271282401823373</v>
      </c>
      <c r="S396" s="146" t="n">
        <v>0.0849407523733407</v>
      </c>
      <c r="T396" s="146" t="n">
        <v>0.0243491453541437</v>
      </c>
      <c r="U396" s="29"/>
      <c r="V396" s="29"/>
      <c r="W396" s="29"/>
      <c r="X396" s="29"/>
      <c r="Y396" s="29"/>
      <c r="Z396" s="75"/>
    </row>
    <row r="397" customFormat="false" ht="12.75" hidden="false" customHeight="true" outlineLevel="0" collapsed="false">
      <c r="A397" s="2"/>
      <c r="B397" s="2"/>
      <c r="C397" s="75"/>
      <c r="D397" s="75"/>
      <c r="E397" s="75"/>
      <c r="F397" s="75"/>
      <c r="G397" s="75"/>
      <c r="H397" s="75"/>
      <c r="I397" s="2"/>
      <c r="J397" s="83"/>
      <c r="K397" s="83"/>
      <c r="L397" s="83"/>
      <c r="M397" s="83"/>
      <c r="N397" s="83"/>
      <c r="O397" s="2"/>
      <c r="P397" s="75" t="n">
        <v>394</v>
      </c>
      <c r="Q397" s="146" t="n">
        <v>8768.11142321</v>
      </c>
      <c r="R397" s="146" t="n">
        <v>0.271288372329345</v>
      </c>
      <c r="S397" s="146" t="n">
        <v>0.0861865477887166</v>
      </c>
      <c r="T397" s="146" t="n">
        <v>0.0225868674986066</v>
      </c>
      <c r="U397" s="29"/>
      <c r="V397" s="29"/>
      <c r="W397" s="29"/>
      <c r="X397" s="29"/>
      <c r="Y397" s="29"/>
      <c r="Z397" s="75"/>
    </row>
    <row r="398" customFormat="false" ht="12.75" hidden="false" customHeight="true" outlineLevel="0" collapsed="false">
      <c r="A398" s="2"/>
      <c r="B398" s="2"/>
      <c r="C398" s="75"/>
      <c r="D398" s="75"/>
      <c r="E398" s="75"/>
      <c r="F398" s="75"/>
      <c r="G398" s="75"/>
      <c r="H398" s="75"/>
      <c r="I398" s="2"/>
      <c r="J398" s="83"/>
      <c r="K398" s="83"/>
      <c r="L398" s="83"/>
      <c r="M398" s="83"/>
      <c r="N398" s="83"/>
      <c r="O398" s="2"/>
      <c r="P398" s="75" t="n">
        <v>395</v>
      </c>
      <c r="Q398" s="146" t="n">
        <v>8790.254030287</v>
      </c>
      <c r="R398" s="146" t="n">
        <v>0.271350892200378</v>
      </c>
      <c r="S398" s="146" t="n">
        <v>0.0864801741282573</v>
      </c>
      <c r="T398" s="146" t="n">
        <v>0.0216857170571336</v>
      </c>
      <c r="U398" s="29"/>
      <c r="V398" s="29"/>
      <c r="W398" s="29"/>
      <c r="X398" s="29"/>
      <c r="Y398" s="29"/>
      <c r="Z398" s="75"/>
    </row>
    <row r="399" customFormat="false" ht="12.75" hidden="false" customHeight="true" outlineLevel="0" collapsed="false">
      <c r="A399" s="2"/>
      <c r="B399" s="2"/>
      <c r="C399" s="75"/>
      <c r="D399" s="75"/>
      <c r="E399" s="75"/>
      <c r="F399" s="75"/>
      <c r="G399" s="75"/>
      <c r="H399" s="75"/>
      <c r="I399" s="2"/>
      <c r="J399" s="83"/>
      <c r="K399" s="83"/>
      <c r="L399" s="83"/>
      <c r="M399" s="83"/>
      <c r="N399" s="83"/>
      <c r="O399" s="2"/>
      <c r="P399" s="75" t="n">
        <v>396</v>
      </c>
      <c r="Q399" s="146" t="n">
        <v>8812.77329946</v>
      </c>
      <c r="R399" s="146" t="n">
        <v>0.271352322328782</v>
      </c>
      <c r="S399" s="146" t="n">
        <v>0.0868555151747583</v>
      </c>
      <c r="T399" s="146" t="n">
        <v>0.0208799912899208</v>
      </c>
      <c r="U399" s="29"/>
      <c r="V399" s="29"/>
      <c r="W399" s="29"/>
      <c r="X399" s="29"/>
      <c r="Y399" s="29"/>
      <c r="Z399" s="75"/>
    </row>
    <row r="400" customFormat="false" ht="12.75" hidden="false" customHeight="true" outlineLevel="0" collapsed="false">
      <c r="A400" s="2"/>
      <c r="B400" s="2"/>
      <c r="C400" s="75"/>
      <c r="D400" s="75"/>
      <c r="E400" s="75"/>
      <c r="F400" s="75"/>
      <c r="G400" s="75"/>
      <c r="H400" s="75"/>
      <c r="I400" s="2"/>
      <c r="J400" s="83"/>
      <c r="K400" s="83"/>
      <c r="L400" s="83"/>
      <c r="M400" s="83"/>
      <c r="N400" s="83"/>
      <c r="O400" s="2"/>
      <c r="P400" s="75" t="n">
        <v>397</v>
      </c>
      <c r="Q400" s="146" t="n">
        <v>8834.704610774</v>
      </c>
      <c r="R400" s="146" t="n">
        <v>0.271320971115136</v>
      </c>
      <c r="S400" s="146" t="n">
        <v>0.0874854823614397</v>
      </c>
      <c r="T400" s="146" t="n">
        <v>0.0213389024652801</v>
      </c>
      <c r="U400" s="29"/>
      <c r="V400" s="29"/>
      <c r="W400" s="29"/>
      <c r="X400" s="29"/>
      <c r="Y400" s="29"/>
      <c r="Z400" s="75"/>
    </row>
    <row r="401" customFormat="false" ht="12.75" hidden="false" customHeight="true" outlineLevel="0" collapsed="false">
      <c r="A401" s="2"/>
      <c r="B401" s="2"/>
      <c r="C401" s="75"/>
      <c r="D401" s="75"/>
      <c r="E401" s="75"/>
      <c r="F401" s="75"/>
      <c r="G401" s="75"/>
      <c r="H401" s="75"/>
      <c r="I401" s="2"/>
      <c r="J401" s="83"/>
      <c r="K401" s="83"/>
      <c r="L401" s="83"/>
      <c r="M401" s="83"/>
      <c r="N401" s="83"/>
      <c r="O401" s="2"/>
      <c r="P401" s="75" t="n">
        <v>398</v>
      </c>
      <c r="Q401" s="146" t="n">
        <v>8857.593896059</v>
      </c>
      <c r="R401" s="146" t="n">
        <v>0.271784678865938</v>
      </c>
      <c r="S401" s="146" t="n">
        <v>0.090053484975967</v>
      </c>
      <c r="T401" s="146" t="n">
        <v>0.0223827938406278</v>
      </c>
      <c r="U401" s="29"/>
      <c r="V401" s="29"/>
      <c r="W401" s="29"/>
      <c r="X401" s="29"/>
      <c r="Y401" s="29"/>
      <c r="Z401" s="75"/>
    </row>
    <row r="402" customFormat="false" ht="12.75" hidden="false" customHeight="true" outlineLevel="0" collapsed="false">
      <c r="A402" s="2"/>
      <c r="B402" s="2"/>
      <c r="C402" s="75"/>
      <c r="D402" s="75"/>
      <c r="E402" s="75"/>
      <c r="F402" s="75"/>
      <c r="G402" s="75"/>
      <c r="H402" s="75"/>
      <c r="I402" s="2"/>
      <c r="J402" s="83"/>
      <c r="K402" s="83"/>
      <c r="L402" s="83"/>
      <c r="M402" s="83"/>
      <c r="N402" s="83"/>
      <c r="O402" s="2"/>
      <c r="P402" s="75" t="n">
        <v>399</v>
      </c>
      <c r="Q402" s="146" t="n">
        <v>8879.829925376</v>
      </c>
      <c r="R402" s="146" t="n">
        <v>0.271252647847397</v>
      </c>
      <c r="S402" s="146" t="n">
        <v>0.0921069909679179</v>
      </c>
      <c r="T402" s="146" t="n">
        <v>0.0238142322512757</v>
      </c>
      <c r="U402" s="29"/>
      <c r="V402" s="29"/>
      <c r="W402" s="29"/>
      <c r="X402" s="29"/>
      <c r="Y402" s="29"/>
      <c r="Z402" s="75"/>
    </row>
    <row r="403" customFormat="false" ht="12.75" hidden="false" customHeight="true" outlineLevel="0" collapsed="false">
      <c r="A403" s="2"/>
      <c r="B403" s="2"/>
      <c r="C403" s="75"/>
      <c r="D403" s="75"/>
      <c r="E403" s="75"/>
      <c r="F403" s="75"/>
      <c r="G403" s="75"/>
      <c r="H403" s="75"/>
      <c r="I403" s="2"/>
      <c r="J403" s="83"/>
      <c r="K403" s="83"/>
      <c r="L403" s="83"/>
      <c r="M403" s="83"/>
      <c r="N403" s="83"/>
      <c r="O403" s="2"/>
      <c r="P403" s="75" t="n">
        <v>400</v>
      </c>
      <c r="Q403" s="146" t="n">
        <v>8902.269626867</v>
      </c>
      <c r="R403" s="146" t="n">
        <v>0.27086831166426</v>
      </c>
      <c r="S403" s="146" t="n">
        <v>0.103173262853162</v>
      </c>
      <c r="T403" s="146" t="n">
        <v>0.0260410366778171</v>
      </c>
      <c r="U403" s="29"/>
      <c r="V403" s="29"/>
      <c r="W403" s="29"/>
      <c r="X403" s="29"/>
      <c r="Y403" s="29"/>
      <c r="Z403" s="75"/>
    </row>
    <row r="404" customFormat="false" ht="12.75" hidden="false" customHeight="true" outlineLevel="0" collapsed="false">
      <c r="A404" s="2"/>
      <c r="B404" s="2"/>
      <c r="C404" s="75"/>
      <c r="D404" s="75"/>
      <c r="E404" s="75"/>
      <c r="F404" s="75"/>
      <c r="G404" s="75"/>
      <c r="H404" s="75"/>
      <c r="I404" s="2"/>
      <c r="J404" s="83"/>
      <c r="K404" s="83"/>
      <c r="L404" s="83"/>
      <c r="M404" s="83"/>
      <c r="N404" s="83"/>
      <c r="O404" s="2"/>
      <c r="P404" s="75" t="n">
        <v>401</v>
      </c>
      <c r="Q404" s="146" t="n">
        <v>8924.284618017</v>
      </c>
      <c r="R404" s="146" t="n">
        <v>0.270511983882934</v>
      </c>
      <c r="S404" s="146" t="n">
        <v>0.106485741267247</v>
      </c>
      <c r="T404" s="146" t="n">
        <v>0.0282088539025121</v>
      </c>
      <c r="U404" s="29"/>
      <c r="V404" s="29"/>
      <c r="W404" s="29"/>
      <c r="X404" s="29"/>
      <c r="Y404" s="29"/>
      <c r="Z404" s="75"/>
    </row>
    <row r="405" customFormat="false" ht="12.75" hidden="false" customHeight="true" outlineLevel="0" collapsed="false">
      <c r="A405" s="2"/>
      <c r="B405" s="2"/>
      <c r="C405" s="75"/>
      <c r="D405" s="75"/>
      <c r="E405" s="75"/>
      <c r="F405" s="75"/>
      <c r="G405" s="75"/>
      <c r="H405" s="75"/>
      <c r="I405" s="2"/>
      <c r="J405" s="83"/>
      <c r="K405" s="83"/>
      <c r="L405" s="83"/>
      <c r="M405" s="83"/>
      <c r="N405" s="83"/>
      <c r="O405" s="2"/>
      <c r="P405" s="75" t="n">
        <v>402</v>
      </c>
      <c r="Q405" s="146" t="n">
        <v>8947.08625115</v>
      </c>
      <c r="R405" s="146" t="n">
        <v>0.270697140944946</v>
      </c>
      <c r="S405" s="146" t="n">
        <v>0.116820962247999</v>
      </c>
      <c r="T405" s="146" t="n">
        <v>0.030818660374737</v>
      </c>
      <c r="U405" s="29"/>
      <c r="V405" s="29"/>
      <c r="W405" s="29"/>
      <c r="X405" s="29"/>
      <c r="Y405" s="29"/>
      <c r="Z405" s="75"/>
    </row>
    <row r="406" customFormat="false" ht="12.75" hidden="false" customHeight="true" outlineLevel="0" collapsed="false">
      <c r="A406" s="2"/>
      <c r="B406" s="2"/>
      <c r="C406" s="75"/>
      <c r="D406" s="75"/>
      <c r="E406" s="75"/>
      <c r="F406" s="75"/>
      <c r="G406" s="75"/>
      <c r="H406" s="75"/>
      <c r="I406" s="2"/>
      <c r="J406" s="83"/>
      <c r="K406" s="83"/>
      <c r="L406" s="83"/>
      <c r="M406" s="83"/>
      <c r="N406" s="83"/>
      <c r="O406" s="2"/>
      <c r="P406" s="75" t="n">
        <v>403</v>
      </c>
      <c r="Q406" s="146" t="n">
        <v>8969.261658571</v>
      </c>
      <c r="R406" s="146" t="n">
        <v>0.270055165798582</v>
      </c>
      <c r="S406" s="146" t="n">
        <v>0.119554704732516</v>
      </c>
      <c r="T406" s="146" t="n">
        <v>0.0323607366258885</v>
      </c>
      <c r="U406" s="29"/>
      <c r="V406" s="29"/>
      <c r="W406" s="29"/>
      <c r="X406" s="29"/>
      <c r="Y406" s="29"/>
      <c r="Z406" s="75"/>
    </row>
    <row r="407" customFormat="false" ht="12.75" hidden="false" customHeight="true" outlineLevel="0" collapsed="false">
      <c r="A407" s="2"/>
      <c r="B407" s="2"/>
      <c r="C407" s="75"/>
      <c r="D407" s="75"/>
      <c r="E407" s="75"/>
      <c r="F407" s="75"/>
      <c r="G407" s="75"/>
      <c r="H407" s="75"/>
      <c r="I407" s="2"/>
      <c r="J407" s="83"/>
      <c r="K407" s="83"/>
      <c r="L407" s="83"/>
      <c r="M407" s="83"/>
      <c r="N407" s="83"/>
      <c r="O407" s="2"/>
      <c r="P407" s="75" t="n">
        <v>404</v>
      </c>
      <c r="Q407" s="146" t="n">
        <v>8991.314583135</v>
      </c>
      <c r="R407" s="146" t="n">
        <v>0.269916144869045</v>
      </c>
      <c r="S407" s="146" t="n">
        <v>0.122969870910686</v>
      </c>
      <c r="T407" s="146" t="n">
        <v>0.0335934654548659</v>
      </c>
      <c r="U407" s="29"/>
      <c r="V407" s="29"/>
      <c r="W407" s="29"/>
      <c r="X407" s="29"/>
      <c r="Y407" s="29"/>
      <c r="Z407" s="75"/>
    </row>
    <row r="408" customFormat="false" ht="12.75" hidden="false" customHeight="true" outlineLevel="0" collapsed="false">
      <c r="A408" s="2"/>
      <c r="B408" s="2"/>
      <c r="C408" s="75"/>
      <c r="D408" s="75"/>
      <c r="E408" s="75"/>
      <c r="F408" s="75"/>
      <c r="G408" s="75"/>
      <c r="H408" s="75"/>
      <c r="I408" s="2"/>
      <c r="J408" s="83"/>
      <c r="K408" s="83"/>
      <c r="L408" s="83"/>
      <c r="M408" s="83"/>
      <c r="N408" s="83"/>
      <c r="O408" s="2"/>
      <c r="P408" s="75" t="n">
        <v>405</v>
      </c>
      <c r="Q408" s="146" t="n">
        <v>9013.920450353</v>
      </c>
      <c r="R408" s="146" t="n">
        <v>0.270003579497193</v>
      </c>
      <c r="S408" s="146" t="n">
        <v>0.12323731413535</v>
      </c>
      <c r="T408" s="146" t="n">
        <v>0.0359862692421296</v>
      </c>
      <c r="U408" s="29"/>
      <c r="V408" s="29"/>
      <c r="W408" s="29"/>
      <c r="X408" s="29"/>
      <c r="Y408" s="29"/>
      <c r="Z408" s="75"/>
    </row>
    <row r="409" customFormat="false" ht="12.75" hidden="false" customHeight="true" outlineLevel="0" collapsed="false">
      <c r="A409" s="2"/>
      <c r="B409" s="2"/>
      <c r="C409" s="75"/>
      <c r="D409" s="75"/>
      <c r="E409" s="75"/>
      <c r="F409" s="75"/>
      <c r="G409" s="75"/>
      <c r="H409" s="75"/>
      <c r="I409" s="2"/>
      <c r="J409" s="83"/>
      <c r="K409" s="83"/>
      <c r="L409" s="83"/>
      <c r="M409" s="83"/>
      <c r="N409" s="83"/>
      <c r="O409" s="2"/>
      <c r="P409" s="75" t="n">
        <v>406</v>
      </c>
      <c r="Q409" s="146" t="n">
        <v>9035.539319433</v>
      </c>
      <c r="R409" s="146" t="n">
        <v>0.27008338202657</v>
      </c>
      <c r="S409" s="146" t="n">
        <v>0.122781266382629</v>
      </c>
      <c r="T409" s="146" t="n">
        <v>0.0371317291944195</v>
      </c>
      <c r="U409" s="29"/>
      <c r="V409" s="29"/>
      <c r="W409" s="29"/>
      <c r="X409" s="29"/>
      <c r="Y409" s="29"/>
      <c r="Z409" s="75"/>
    </row>
    <row r="410" customFormat="false" ht="12.75" hidden="false" customHeight="true" outlineLevel="0" collapsed="false">
      <c r="A410" s="2"/>
      <c r="B410" s="2"/>
      <c r="C410" s="75"/>
      <c r="D410" s="75"/>
      <c r="E410" s="75"/>
      <c r="F410" s="75"/>
      <c r="G410" s="75"/>
      <c r="H410" s="75"/>
      <c r="I410" s="2"/>
      <c r="J410" s="83"/>
      <c r="K410" s="83"/>
      <c r="L410" s="83"/>
      <c r="M410" s="83"/>
      <c r="N410" s="83"/>
      <c r="O410" s="2"/>
      <c r="P410" s="75" t="n">
        <v>407</v>
      </c>
      <c r="Q410" s="146" t="n">
        <v>9058.672185167</v>
      </c>
      <c r="R410" s="146" t="n">
        <v>0.271666806676549</v>
      </c>
      <c r="S410" s="146" t="n">
        <v>0.112771199756584</v>
      </c>
      <c r="T410" s="146" t="n">
        <v>0.0390157928993519</v>
      </c>
      <c r="U410" s="29"/>
      <c r="V410" s="29"/>
      <c r="W410" s="29"/>
      <c r="X410" s="29"/>
      <c r="Y410" s="29"/>
      <c r="Z410" s="75"/>
    </row>
    <row r="411" customFormat="false" ht="12.75" hidden="false" customHeight="true" outlineLevel="0" collapsed="false">
      <c r="A411" s="2"/>
      <c r="B411" s="2"/>
      <c r="C411" s="75"/>
      <c r="D411" s="75"/>
      <c r="E411" s="75"/>
      <c r="F411" s="75"/>
      <c r="G411" s="75"/>
      <c r="H411" s="75"/>
      <c r="I411" s="2"/>
      <c r="J411" s="83"/>
      <c r="K411" s="83"/>
      <c r="L411" s="83"/>
      <c r="M411" s="83"/>
      <c r="N411" s="83"/>
      <c r="O411" s="2"/>
      <c r="P411" s="75" t="n">
        <v>408</v>
      </c>
      <c r="Q411" s="146" t="n">
        <v>9080.60099224</v>
      </c>
      <c r="R411" s="146" t="n">
        <v>0.272240888182112</v>
      </c>
      <c r="S411" s="146" t="n">
        <v>0.109537349446571</v>
      </c>
      <c r="T411" s="146" t="n">
        <v>0.0400938106652419</v>
      </c>
      <c r="U411" s="29"/>
      <c r="V411" s="29"/>
      <c r="W411" s="29"/>
      <c r="X411" s="29"/>
      <c r="Y411" s="29"/>
      <c r="Z411" s="75"/>
    </row>
    <row r="412" customFormat="false" ht="12.75" hidden="false" customHeight="true" outlineLevel="0" collapsed="false">
      <c r="A412" s="2"/>
      <c r="B412" s="2"/>
      <c r="C412" s="75"/>
      <c r="D412" s="75"/>
      <c r="E412" s="75"/>
      <c r="F412" s="75"/>
      <c r="G412" s="75"/>
      <c r="H412" s="75"/>
      <c r="I412" s="2"/>
      <c r="J412" s="83"/>
      <c r="K412" s="83"/>
      <c r="L412" s="83"/>
      <c r="M412" s="83"/>
      <c r="N412" s="83"/>
      <c r="O412" s="2"/>
      <c r="P412" s="75" t="n">
        <v>409</v>
      </c>
      <c r="Q412" s="146" t="n">
        <v>9103.999968147</v>
      </c>
      <c r="R412" s="146" t="n">
        <v>0.274462057666093</v>
      </c>
      <c r="S412" s="146" t="n">
        <v>0.0883212684238643</v>
      </c>
      <c r="T412" s="146" t="n">
        <v>0.0395301859905747</v>
      </c>
      <c r="U412" s="29"/>
      <c r="V412" s="29"/>
      <c r="W412" s="29"/>
      <c r="X412" s="29"/>
      <c r="Y412" s="29"/>
      <c r="Z412" s="75"/>
    </row>
    <row r="413" customFormat="false" ht="12.75" hidden="false" customHeight="true" outlineLevel="0" collapsed="false">
      <c r="A413" s="2"/>
      <c r="B413" s="2"/>
      <c r="C413" s="75"/>
      <c r="D413" s="75"/>
      <c r="E413" s="75"/>
      <c r="F413" s="75"/>
      <c r="G413" s="75"/>
      <c r="H413" s="75"/>
      <c r="I413" s="2"/>
      <c r="J413" s="83"/>
      <c r="K413" s="83"/>
      <c r="L413" s="83"/>
      <c r="M413" s="83"/>
      <c r="N413" s="83"/>
      <c r="O413" s="2"/>
      <c r="P413" s="75" t="n">
        <v>410</v>
      </c>
      <c r="Q413" s="146" t="n">
        <v>9126.255187889</v>
      </c>
      <c r="R413" s="146" t="n">
        <v>0.27482255195384</v>
      </c>
      <c r="S413" s="146" t="n">
        <v>0.0836994345722411</v>
      </c>
      <c r="T413" s="146" t="n">
        <v>0.0413683925393999</v>
      </c>
      <c r="U413" s="29"/>
      <c r="V413" s="29"/>
      <c r="W413" s="29"/>
      <c r="X413" s="29"/>
      <c r="Y413" s="29"/>
      <c r="Z413" s="75"/>
    </row>
    <row r="414" customFormat="false" ht="12.75" hidden="false" customHeight="true" outlineLevel="0" collapsed="false">
      <c r="A414" s="2"/>
      <c r="B414" s="2"/>
      <c r="C414" s="75"/>
      <c r="D414" s="75"/>
      <c r="E414" s="75"/>
      <c r="F414" s="75"/>
      <c r="G414" s="75"/>
      <c r="H414" s="75"/>
      <c r="I414" s="2"/>
      <c r="J414" s="83"/>
      <c r="K414" s="83"/>
      <c r="L414" s="83"/>
      <c r="M414" s="83"/>
      <c r="N414" s="83"/>
      <c r="O414" s="2"/>
      <c r="P414" s="75" t="n">
        <v>411</v>
      </c>
      <c r="Q414" s="146" t="n">
        <v>9148.653024559</v>
      </c>
      <c r="R414" s="146" t="n">
        <v>0.275839853029461</v>
      </c>
      <c r="S414" s="146" t="n">
        <v>0.0787059002095477</v>
      </c>
      <c r="T414" s="146" t="n">
        <v>0.0420574007255034</v>
      </c>
      <c r="U414" s="29"/>
      <c r="V414" s="29"/>
      <c r="W414" s="29"/>
      <c r="X414" s="29"/>
      <c r="Y414" s="29"/>
      <c r="Z414" s="75"/>
    </row>
    <row r="415" customFormat="false" ht="12.75" hidden="false" customHeight="true" outlineLevel="0" collapsed="false">
      <c r="A415" s="2"/>
      <c r="B415" s="2"/>
      <c r="C415" s="75"/>
      <c r="D415" s="75"/>
      <c r="E415" s="75"/>
      <c r="F415" s="75"/>
      <c r="G415" s="75"/>
      <c r="H415" s="75"/>
      <c r="I415" s="2"/>
      <c r="J415" s="83"/>
      <c r="K415" s="83"/>
      <c r="L415" s="83"/>
      <c r="M415" s="83"/>
      <c r="N415" s="83"/>
      <c r="O415" s="2"/>
      <c r="P415" s="75" t="n">
        <v>412</v>
      </c>
      <c r="Q415" s="146" t="n">
        <v>9171.195044121</v>
      </c>
      <c r="R415" s="146" t="n">
        <v>0.277306862431968</v>
      </c>
      <c r="S415" s="146" t="n">
        <v>0.0731923534459936</v>
      </c>
      <c r="T415" s="146" t="n">
        <v>0.0412747499460441</v>
      </c>
      <c r="U415" s="29"/>
      <c r="V415" s="29"/>
      <c r="W415" s="29"/>
      <c r="X415" s="29"/>
      <c r="Y415" s="29"/>
      <c r="Z415" s="75"/>
    </row>
    <row r="416" customFormat="false" ht="12.75" hidden="false" customHeight="true" outlineLevel="0" collapsed="false">
      <c r="A416" s="2"/>
      <c r="B416" s="2"/>
      <c r="C416" s="75"/>
      <c r="D416" s="75"/>
      <c r="E416" s="75"/>
      <c r="F416" s="75"/>
      <c r="G416" s="75"/>
      <c r="H416" s="75"/>
      <c r="I416" s="2"/>
      <c r="J416" s="83"/>
      <c r="K416" s="83"/>
      <c r="L416" s="83"/>
      <c r="M416" s="83"/>
      <c r="N416" s="83"/>
      <c r="O416" s="2"/>
      <c r="P416" s="75" t="n">
        <v>413</v>
      </c>
      <c r="Q416" s="146" t="n">
        <v>9193.461361723</v>
      </c>
      <c r="R416" s="146" t="n">
        <v>0.277437127846801</v>
      </c>
      <c r="S416" s="146" t="n">
        <v>0.0697015478265314</v>
      </c>
      <c r="T416" s="146" t="n">
        <v>0.041125380703355</v>
      </c>
      <c r="U416" s="29"/>
      <c r="V416" s="29"/>
      <c r="W416" s="29"/>
      <c r="X416" s="29"/>
      <c r="Y416" s="29"/>
      <c r="Z416" s="75"/>
    </row>
    <row r="417" customFormat="false" ht="12.75" hidden="false" customHeight="true" outlineLevel="0" collapsed="false">
      <c r="A417" s="2"/>
      <c r="B417" s="2"/>
      <c r="C417" s="75"/>
      <c r="D417" s="75"/>
      <c r="E417" s="75"/>
      <c r="F417" s="75"/>
      <c r="G417" s="75"/>
      <c r="H417" s="75"/>
      <c r="I417" s="2"/>
      <c r="J417" s="83"/>
      <c r="K417" s="83"/>
      <c r="L417" s="83"/>
      <c r="M417" s="83"/>
      <c r="N417" s="83"/>
      <c r="O417" s="2"/>
      <c r="P417" s="75" t="n">
        <v>414</v>
      </c>
      <c r="Q417" s="146" t="n">
        <v>9216.133586916</v>
      </c>
      <c r="R417" s="146" t="n">
        <v>0.277962772556601</v>
      </c>
      <c r="S417" s="146" t="n">
        <v>0.0659843026395536</v>
      </c>
      <c r="T417" s="146" t="n">
        <v>0.041010818596022</v>
      </c>
      <c r="U417" s="29"/>
      <c r="V417" s="29"/>
      <c r="W417" s="29"/>
      <c r="X417" s="29"/>
      <c r="Y417" s="29"/>
      <c r="Z417" s="75"/>
    </row>
    <row r="418" customFormat="false" ht="12.75" hidden="false" customHeight="true" outlineLevel="0" collapsed="false">
      <c r="A418" s="2"/>
      <c r="B418" s="2"/>
      <c r="C418" s="75"/>
      <c r="D418" s="75"/>
      <c r="E418" s="75"/>
      <c r="F418" s="75"/>
      <c r="G418" s="75"/>
      <c r="H418" s="75"/>
      <c r="I418" s="2"/>
      <c r="J418" s="83"/>
      <c r="K418" s="83"/>
      <c r="L418" s="83"/>
      <c r="M418" s="83"/>
      <c r="N418" s="83"/>
      <c r="O418" s="2"/>
      <c r="P418" s="75" t="n">
        <v>415</v>
      </c>
      <c r="Q418" s="146" t="n">
        <v>9238.539128603</v>
      </c>
      <c r="R418" s="146" t="n">
        <v>0.277808560753405</v>
      </c>
      <c r="S418" s="146" t="n">
        <v>0.0660500059126958</v>
      </c>
      <c r="T418" s="146" t="n">
        <v>0.0409183046026975</v>
      </c>
      <c r="U418" s="29"/>
      <c r="V418" s="29"/>
      <c r="W418" s="29"/>
      <c r="X418" s="29"/>
      <c r="Y418" s="29"/>
      <c r="Z418" s="75"/>
    </row>
    <row r="419" customFormat="false" ht="12.75" hidden="false" customHeight="true" outlineLevel="0" collapsed="false">
      <c r="A419" s="2"/>
      <c r="B419" s="2"/>
      <c r="C419" s="75"/>
      <c r="D419" s="75"/>
      <c r="E419" s="75"/>
      <c r="F419" s="75"/>
      <c r="G419" s="75"/>
      <c r="H419" s="75"/>
      <c r="I419" s="2"/>
      <c r="J419" s="83"/>
      <c r="K419" s="83"/>
      <c r="L419" s="83"/>
      <c r="M419" s="83"/>
      <c r="N419" s="83"/>
      <c r="O419" s="2"/>
      <c r="P419" s="75" t="n">
        <v>416</v>
      </c>
      <c r="Q419" s="146" t="n">
        <v>9261.270803577</v>
      </c>
      <c r="R419" s="146" t="n">
        <v>0.27760799469643</v>
      </c>
      <c r="S419" s="146" t="n">
        <v>0.0687167960295453</v>
      </c>
      <c r="T419" s="146" t="n">
        <v>0.0416475829388486</v>
      </c>
      <c r="U419" s="29"/>
      <c r="V419" s="29"/>
      <c r="W419" s="29"/>
      <c r="X419" s="29"/>
      <c r="Y419" s="29"/>
      <c r="Z419" s="75"/>
    </row>
    <row r="420" customFormat="false" ht="12.75" hidden="false" customHeight="true" outlineLevel="0" collapsed="false">
      <c r="A420" s="2"/>
      <c r="B420" s="2"/>
      <c r="C420" s="75"/>
      <c r="D420" s="75"/>
      <c r="E420" s="75"/>
      <c r="F420" s="75"/>
      <c r="G420" s="75"/>
      <c r="H420" s="75"/>
      <c r="I420" s="2"/>
      <c r="J420" s="83"/>
      <c r="K420" s="83"/>
      <c r="L420" s="83"/>
      <c r="M420" s="83"/>
      <c r="N420" s="83"/>
      <c r="O420" s="2"/>
      <c r="P420" s="75" t="n">
        <v>417</v>
      </c>
      <c r="Q420" s="146" t="n">
        <v>9283.782884749</v>
      </c>
      <c r="R420" s="146" t="n">
        <v>0.277322663695222</v>
      </c>
      <c r="S420" s="146" t="n">
        <v>0.0737500219292873</v>
      </c>
      <c r="T420" s="146" t="n">
        <v>0.0425816506041223</v>
      </c>
      <c r="U420" s="29"/>
      <c r="V420" s="29"/>
      <c r="W420" s="29"/>
      <c r="X420" s="29"/>
      <c r="Y420" s="29"/>
      <c r="Z420" s="75"/>
    </row>
    <row r="421" customFormat="false" ht="12.75" hidden="false" customHeight="true" outlineLevel="0" collapsed="false">
      <c r="A421" s="2"/>
      <c r="B421" s="2"/>
      <c r="C421" s="75"/>
      <c r="D421" s="75"/>
      <c r="E421" s="75"/>
      <c r="F421" s="75"/>
      <c r="G421" s="75"/>
      <c r="H421" s="75"/>
      <c r="I421" s="2"/>
      <c r="J421" s="83"/>
      <c r="K421" s="83"/>
      <c r="L421" s="83"/>
      <c r="M421" s="83"/>
      <c r="N421" s="83"/>
      <c r="O421" s="2"/>
      <c r="P421" s="75" t="n">
        <v>418</v>
      </c>
      <c r="Q421" s="146" t="n">
        <v>9306.59062795</v>
      </c>
      <c r="R421" s="146" t="n">
        <v>0.276865306038682</v>
      </c>
      <c r="S421" s="146" t="n">
        <v>0.0802297998850506</v>
      </c>
      <c r="T421" s="146" t="n">
        <v>0.0433965571807143</v>
      </c>
      <c r="U421" s="29"/>
      <c r="V421" s="29"/>
      <c r="W421" s="29"/>
      <c r="X421" s="29"/>
      <c r="Y421" s="29"/>
      <c r="Z421" s="75"/>
    </row>
    <row r="422" customFormat="false" ht="12.75" hidden="false" customHeight="true" outlineLevel="0" collapsed="false">
      <c r="A422" s="2"/>
      <c r="B422" s="2"/>
      <c r="C422" s="75"/>
      <c r="D422" s="75"/>
      <c r="E422" s="75"/>
      <c r="F422" s="75"/>
      <c r="G422" s="75"/>
      <c r="H422" s="75"/>
      <c r="I422" s="2"/>
      <c r="J422" s="83"/>
      <c r="K422" s="83"/>
      <c r="L422" s="83"/>
      <c r="M422" s="83"/>
      <c r="N422" s="83"/>
      <c r="O422" s="2"/>
      <c r="P422" s="75" t="n">
        <v>419</v>
      </c>
      <c r="Q422" s="146" t="n">
        <v>9329.060125492</v>
      </c>
      <c r="R422" s="146" t="n">
        <v>0.276205581312636</v>
      </c>
      <c r="S422" s="146" t="n">
        <v>0.0833394720499932</v>
      </c>
      <c r="T422" s="146" t="n">
        <v>0.0431815635211733</v>
      </c>
      <c r="U422" s="29"/>
      <c r="V422" s="29"/>
      <c r="W422" s="29"/>
      <c r="X422" s="29"/>
      <c r="Y422" s="29"/>
      <c r="Z422" s="75"/>
    </row>
    <row r="423" customFormat="false" ht="12.75" hidden="false" customHeight="true" outlineLevel="0" collapsed="false">
      <c r="A423" s="2"/>
      <c r="B423" s="2"/>
      <c r="C423" s="75"/>
      <c r="D423" s="75"/>
      <c r="E423" s="75"/>
      <c r="F423" s="75"/>
      <c r="G423" s="75"/>
      <c r="H423" s="75"/>
      <c r="I423" s="2"/>
      <c r="J423" s="83"/>
      <c r="K423" s="83"/>
      <c r="L423" s="83"/>
      <c r="M423" s="83"/>
      <c r="N423" s="83"/>
      <c r="O423" s="2"/>
      <c r="P423" s="75" t="n">
        <v>420</v>
      </c>
      <c r="Q423" s="146" t="n">
        <v>9351.813141461</v>
      </c>
      <c r="R423" s="146" t="n">
        <v>0.275914964256956</v>
      </c>
      <c r="S423" s="146" t="n">
        <v>0.0872684373128348</v>
      </c>
      <c r="T423" s="146" t="n">
        <v>0.0432548662846464</v>
      </c>
      <c r="U423" s="29"/>
      <c r="V423" s="29"/>
      <c r="W423" s="29"/>
      <c r="X423" s="29"/>
      <c r="Y423" s="29"/>
      <c r="Z423" s="75"/>
    </row>
    <row r="424" customFormat="false" ht="12.75" hidden="false" customHeight="true" outlineLevel="0" collapsed="false">
      <c r="A424" s="2"/>
      <c r="B424" s="2"/>
      <c r="C424" s="75"/>
      <c r="D424" s="75"/>
      <c r="E424" s="75"/>
      <c r="F424" s="75"/>
      <c r="G424" s="75"/>
      <c r="H424" s="75"/>
      <c r="I424" s="2"/>
      <c r="J424" s="83"/>
      <c r="K424" s="83"/>
      <c r="L424" s="83"/>
      <c r="M424" s="83"/>
      <c r="N424" s="83"/>
      <c r="O424" s="2"/>
      <c r="P424" s="75" t="n">
        <v>421</v>
      </c>
      <c r="Q424" s="146" t="n">
        <v>9374.004490593</v>
      </c>
      <c r="R424" s="146" t="n">
        <v>0.274821742988831</v>
      </c>
      <c r="S424" s="146" t="n">
        <v>0.0891718261689123</v>
      </c>
      <c r="T424" s="146" t="n">
        <v>0.042899466299366</v>
      </c>
      <c r="U424" s="29"/>
      <c r="V424" s="29"/>
      <c r="W424" s="29"/>
      <c r="X424" s="29"/>
      <c r="Y424" s="29"/>
      <c r="Z424" s="75"/>
    </row>
    <row r="425" customFormat="false" ht="12.75" hidden="false" customHeight="true" outlineLevel="0" collapsed="false">
      <c r="A425" s="2"/>
      <c r="B425" s="2"/>
      <c r="C425" s="75"/>
      <c r="D425" s="75"/>
      <c r="E425" s="75"/>
      <c r="F425" s="75"/>
      <c r="G425" s="75"/>
      <c r="H425" s="75"/>
      <c r="I425" s="2"/>
      <c r="J425" s="83"/>
      <c r="K425" s="83"/>
      <c r="L425" s="83"/>
      <c r="M425" s="83"/>
      <c r="N425" s="83"/>
      <c r="O425" s="2"/>
      <c r="P425" s="75" t="n">
        <v>422</v>
      </c>
      <c r="Q425" s="146" t="n">
        <v>9396.658986796</v>
      </c>
      <c r="R425" s="146" t="n">
        <v>0.274208943474415</v>
      </c>
      <c r="S425" s="146" t="n">
        <v>0.0882486175056353</v>
      </c>
      <c r="T425" s="146" t="n">
        <v>0.042435139657978</v>
      </c>
      <c r="U425" s="29"/>
      <c r="V425" s="29"/>
      <c r="W425" s="29"/>
      <c r="X425" s="29"/>
      <c r="Y425" s="29"/>
      <c r="Z425" s="75"/>
    </row>
    <row r="426" customFormat="false" ht="12.75" hidden="false" customHeight="true" outlineLevel="0" collapsed="false">
      <c r="A426" s="2"/>
      <c r="B426" s="2"/>
      <c r="C426" s="75"/>
      <c r="D426" s="75"/>
      <c r="E426" s="75"/>
      <c r="F426" s="75"/>
      <c r="G426" s="75"/>
      <c r="H426" s="75"/>
      <c r="I426" s="2"/>
      <c r="J426" s="83"/>
      <c r="K426" s="83"/>
      <c r="L426" s="83"/>
      <c r="M426" s="83"/>
      <c r="N426" s="83"/>
      <c r="O426" s="2"/>
      <c r="P426" s="75" t="n">
        <v>423</v>
      </c>
      <c r="Q426" s="146" t="n">
        <v>9419.284629514</v>
      </c>
      <c r="R426" s="146" t="n">
        <v>0.273633138148348</v>
      </c>
      <c r="S426" s="146" t="n">
        <v>0.0850381921837465</v>
      </c>
      <c r="T426" s="146" t="n">
        <v>0.042325084356429</v>
      </c>
      <c r="U426" s="29"/>
      <c r="V426" s="29"/>
      <c r="W426" s="29"/>
      <c r="X426" s="29"/>
      <c r="Y426" s="29"/>
      <c r="Z426" s="75"/>
    </row>
    <row r="427" customFormat="false" ht="12.75" hidden="false" customHeight="true" outlineLevel="0" collapsed="false">
      <c r="A427" s="2"/>
      <c r="B427" s="2"/>
      <c r="C427" s="75"/>
      <c r="D427" s="75"/>
      <c r="E427" s="75"/>
      <c r="F427" s="75"/>
      <c r="G427" s="75"/>
      <c r="H427" s="75"/>
      <c r="I427" s="2"/>
      <c r="J427" s="83"/>
      <c r="K427" s="83"/>
      <c r="L427" s="83"/>
      <c r="M427" s="83"/>
      <c r="N427" s="83"/>
      <c r="O427" s="2"/>
      <c r="P427" s="75" t="n">
        <v>424</v>
      </c>
      <c r="Q427" s="146" t="n">
        <v>9442.158010573</v>
      </c>
      <c r="R427" s="146" t="n">
        <v>0.273412013224911</v>
      </c>
      <c r="S427" s="146" t="n">
        <v>0.0801060608325749</v>
      </c>
      <c r="T427" s="146" t="n">
        <v>0.0420454557640777</v>
      </c>
      <c r="U427" s="29"/>
      <c r="V427" s="29"/>
      <c r="W427" s="29"/>
      <c r="X427" s="29"/>
      <c r="Y427" s="29"/>
      <c r="Z427" s="75"/>
    </row>
    <row r="428" customFormat="false" ht="12.75" hidden="false" customHeight="true" outlineLevel="0" collapsed="false">
      <c r="A428" s="2"/>
      <c r="B428" s="2"/>
      <c r="C428" s="75"/>
      <c r="D428" s="75"/>
      <c r="E428" s="75"/>
      <c r="F428" s="75"/>
      <c r="G428" s="75"/>
      <c r="H428" s="75"/>
      <c r="I428" s="2"/>
      <c r="J428" s="83"/>
      <c r="K428" s="83"/>
      <c r="L428" s="83"/>
      <c r="M428" s="83"/>
      <c r="N428" s="83"/>
      <c r="O428" s="2"/>
      <c r="P428" s="75" t="n">
        <v>425</v>
      </c>
      <c r="Q428" s="146" t="n">
        <v>9465.001384322</v>
      </c>
      <c r="R428" s="146" t="n">
        <v>0.273185511688949</v>
      </c>
      <c r="S428" s="146" t="n">
        <v>0.073344580455164</v>
      </c>
      <c r="T428" s="146" t="n">
        <v>0.0418356455048674</v>
      </c>
      <c r="U428" s="29"/>
      <c r="V428" s="29"/>
      <c r="W428" s="29"/>
      <c r="X428" s="29"/>
      <c r="Y428" s="29"/>
      <c r="Z428" s="75"/>
    </row>
    <row r="429" customFormat="false" ht="12.75" hidden="false" customHeight="true" outlineLevel="0" collapsed="false">
      <c r="A429" s="2"/>
      <c r="B429" s="2"/>
      <c r="C429" s="75"/>
      <c r="D429" s="75"/>
      <c r="E429" s="75"/>
      <c r="F429" s="75"/>
      <c r="G429" s="75"/>
      <c r="H429" s="75"/>
      <c r="I429" s="2"/>
      <c r="J429" s="83"/>
      <c r="K429" s="83"/>
      <c r="L429" s="83"/>
      <c r="M429" s="83"/>
      <c r="N429" s="83"/>
      <c r="O429" s="2"/>
      <c r="P429" s="75" t="n">
        <v>426</v>
      </c>
      <c r="Q429" s="146" t="n">
        <v>9487.985333</v>
      </c>
      <c r="R429" s="146" t="n">
        <v>0.273204826174055</v>
      </c>
      <c r="S429" s="146" t="n">
        <v>0.0677591121565573</v>
      </c>
      <c r="T429" s="146" t="n">
        <v>0.0416100143454158</v>
      </c>
      <c r="U429" s="29"/>
      <c r="V429" s="29"/>
      <c r="W429" s="29"/>
      <c r="X429" s="29"/>
      <c r="Y429" s="29"/>
      <c r="Z429" s="75"/>
    </row>
    <row r="430" customFormat="false" ht="12.75" hidden="false" customHeight="true" outlineLevel="0" collapsed="false">
      <c r="A430" s="2"/>
      <c r="B430" s="2"/>
      <c r="C430" s="75"/>
      <c r="D430" s="75"/>
      <c r="E430" s="75"/>
      <c r="F430" s="75"/>
      <c r="G430" s="75"/>
      <c r="H430" s="75"/>
      <c r="I430" s="2"/>
      <c r="J430" s="83"/>
      <c r="K430" s="83"/>
      <c r="L430" s="83"/>
      <c r="M430" s="83"/>
      <c r="N430" s="83"/>
      <c r="O430" s="2"/>
      <c r="P430" s="75" t="n">
        <v>427</v>
      </c>
      <c r="Q430" s="146" t="n">
        <v>9510.587319042</v>
      </c>
      <c r="R430" s="146" t="n">
        <v>0.273136559325988</v>
      </c>
      <c r="S430" s="146" t="n">
        <v>0.0622024909545923</v>
      </c>
      <c r="T430" s="146" t="n">
        <v>0.0411009706534074</v>
      </c>
      <c r="U430" s="29"/>
      <c r="V430" s="29"/>
      <c r="W430" s="29"/>
      <c r="X430" s="29"/>
      <c r="Y430" s="29"/>
      <c r="Z430" s="75"/>
    </row>
    <row r="431" customFormat="false" ht="12.75" hidden="false" customHeight="true" outlineLevel="0" collapsed="false">
      <c r="A431" s="2"/>
      <c r="B431" s="2"/>
      <c r="C431" s="75"/>
      <c r="D431" s="75"/>
      <c r="E431" s="75"/>
      <c r="F431" s="75"/>
      <c r="G431" s="75"/>
      <c r="H431" s="75"/>
      <c r="I431" s="2"/>
      <c r="J431" s="83"/>
      <c r="K431" s="83"/>
      <c r="L431" s="83"/>
      <c r="M431" s="83"/>
      <c r="N431" s="83"/>
      <c r="O431" s="2"/>
      <c r="P431" s="75" t="n">
        <v>428</v>
      </c>
      <c r="Q431" s="146" t="n">
        <v>9533.060459139</v>
      </c>
      <c r="R431" s="146" t="n">
        <v>0.273144115774945</v>
      </c>
      <c r="S431" s="146" t="n">
        <v>0.0584495631199854</v>
      </c>
      <c r="T431" s="146" t="n">
        <v>0.0409505262689813</v>
      </c>
      <c r="U431" s="29"/>
      <c r="V431" s="29"/>
      <c r="W431" s="29"/>
      <c r="X431" s="29"/>
      <c r="Y431" s="29"/>
      <c r="Z431" s="75"/>
    </row>
    <row r="432" customFormat="false" ht="12.75" hidden="false" customHeight="true" outlineLevel="0" collapsed="false">
      <c r="A432" s="2"/>
      <c r="B432" s="2"/>
      <c r="C432" s="75"/>
      <c r="D432" s="75"/>
      <c r="E432" s="75"/>
      <c r="F432" s="75"/>
      <c r="G432" s="75"/>
      <c r="H432" s="75"/>
      <c r="I432" s="2"/>
      <c r="J432" s="83"/>
      <c r="K432" s="83"/>
      <c r="L432" s="83"/>
      <c r="M432" s="83"/>
      <c r="N432" s="83"/>
      <c r="O432" s="2"/>
      <c r="P432" s="75" t="n">
        <v>429</v>
      </c>
      <c r="Q432" s="146" t="n">
        <v>9555.56273644</v>
      </c>
      <c r="R432" s="146" t="n">
        <v>0.272693162850999</v>
      </c>
      <c r="S432" s="146" t="n">
        <v>0.0542751533737088</v>
      </c>
      <c r="T432" s="146" t="n">
        <v>0.0397878587196266</v>
      </c>
      <c r="U432" s="29"/>
      <c r="V432" s="29"/>
      <c r="W432" s="29"/>
      <c r="X432" s="29"/>
      <c r="Y432" s="29"/>
      <c r="Z432" s="75"/>
    </row>
    <row r="433" customFormat="false" ht="12.75" hidden="false" customHeight="true" outlineLevel="0" collapsed="false">
      <c r="A433" s="2"/>
      <c r="B433" s="2"/>
      <c r="C433" s="75"/>
      <c r="D433" s="75"/>
      <c r="E433" s="75"/>
      <c r="F433" s="75"/>
      <c r="G433" s="75"/>
      <c r="H433" s="75"/>
      <c r="I433" s="2"/>
      <c r="J433" s="83"/>
      <c r="K433" s="83"/>
      <c r="L433" s="83"/>
      <c r="M433" s="83"/>
      <c r="N433" s="83"/>
      <c r="O433" s="2"/>
      <c r="P433" s="75" t="n">
        <v>430</v>
      </c>
      <c r="Q433" s="146" t="n">
        <v>9577.515381635</v>
      </c>
      <c r="R433" s="146" t="n">
        <v>0.272684207366234</v>
      </c>
      <c r="S433" s="146" t="n">
        <v>0.0539327361760327</v>
      </c>
      <c r="T433" s="146" t="n">
        <v>0.0391265119383686</v>
      </c>
      <c r="U433" s="29"/>
      <c r="V433" s="29"/>
      <c r="W433" s="29"/>
      <c r="X433" s="29"/>
      <c r="Y433" s="29"/>
      <c r="Z433" s="75"/>
    </row>
    <row r="434" customFormat="false" ht="12.75" hidden="false" customHeight="true" outlineLevel="0" collapsed="false">
      <c r="A434" s="2"/>
      <c r="B434" s="2"/>
      <c r="C434" s="75"/>
      <c r="D434" s="75"/>
      <c r="E434" s="75"/>
      <c r="F434" s="75"/>
      <c r="G434" s="75"/>
      <c r="H434" s="75"/>
      <c r="I434" s="2"/>
      <c r="J434" s="83"/>
      <c r="K434" s="83"/>
      <c r="L434" s="83"/>
      <c r="M434" s="83"/>
      <c r="N434" s="83"/>
      <c r="O434" s="2"/>
      <c r="P434" s="75" t="n">
        <v>431</v>
      </c>
      <c r="Q434" s="146" t="n">
        <v>9599.897757294</v>
      </c>
      <c r="R434" s="146" t="n">
        <v>0.271709327100593</v>
      </c>
      <c r="S434" s="146" t="n">
        <v>0.054924852645929</v>
      </c>
      <c r="T434" s="146" t="n">
        <v>0.0383584836541515</v>
      </c>
      <c r="U434" s="29"/>
      <c r="V434" s="29"/>
      <c r="W434" s="29"/>
      <c r="X434" s="29"/>
      <c r="Y434" s="29"/>
      <c r="Z434" s="75"/>
    </row>
    <row r="435" customFormat="false" ht="12.75" hidden="false" customHeight="true" outlineLevel="0" collapsed="false">
      <c r="A435" s="2"/>
      <c r="B435" s="2"/>
      <c r="C435" s="75"/>
      <c r="D435" s="75"/>
      <c r="E435" s="75"/>
      <c r="F435" s="75"/>
      <c r="G435" s="75"/>
      <c r="H435" s="75"/>
      <c r="I435" s="2"/>
      <c r="J435" s="83"/>
      <c r="K435" s="83"/>
      <c r="L435" s="83"/>
      <c r="M435" s="83"/>
      <c r="N435" s="83"/>
      <c r="O435" s="2"/>
      <c r="P435" s="75" t="n">
        <v>432</v>
      </c>
      <c r="Q435" s="146" t="n">
        <v>9622.858106806</v>
      </c>
      <c r="R435" s="146" t="n">
        <v>0.270208825733445</v>
      </c>
      <c r="S435" s="146" t="n">
        <v>0.0591078420969053</v>
      </c>
      <c r="T435" s="146" t="n">
        <v>0.0376763082853882</v>
      </c>
      <c r="U435" s="29"/>
      <c r="V435" s="29"/>
      <c r="W435" s="29"/>
      <c r="X435" s="29"/>
      <c r="Y435" s="29"/>
      <c r="Z435" s="75"/>
    </row>
    <row r="436" customFormat="false" ht="12.75" hidden="false" customHeight="true" outlineLevel="0" collapsed="false">
      <c r="A436" s="2"/>
      <c r="B436" s="2"/>
      <c r="C436" s="75"/>
      <c r="D436" s="75"/>
      <c r="E436" s="75"/>
      <c r="F436" s="75"/>
      <c r="G436" s="75"/>
      <c r="H436" s="75"/>
      <c r="I436" s="2"/>
      <c r="J436" s="83"/>
      <c r="K436" s="83"/>
      <c r="L436" s="83"/>
      <c r="M436" s="83"/>
      <c r="N436" s="83"/>
      <c r="O436" s="2"/>
      <c r="P436" s="75" t="n">
        <v>433</v>
      </c>
      <c r="Q436" s="146" t="n">
        <v>9645.943511429</v>
      </c>
      <c r="R436" s="146" t="n">
        <v>0.268962419838651</v>
      </c>
      <c r="S436" s="146" t="n">
        <v>0.069425844522703</v>
      </c>
      <c r="T436" s="146" t="n">
        <v>0.0376372007213462</v>
      </c>
      <c r="U436" s="29"/>
      <c r="V436" s="29"/>
      <c r="W436" s="29"/>
      <c r="X436" s="29"/>
      <c r="Y436" s="29"/>
      <c r="Z436" s="75"/>
    </row>
    <row r="437" customFormat="false" ht="12.75" hidden="false" customHeight="true" outlineLevel="0" collapsed="false">
      <c r="A437" s="2"/>
      <c r="B437" s="2"/>
      <c r="C437" s="75"/>
      <c r="D437" s="75"/>
      <c r="E437" s="75"/>
      <c r="F437" s="75"/>
      <c r="G437" s="75"/>
      <c r="H437" s="75"/>
      <c r="I437" s="2"/>
      <c r="J437" s="83"/>
      <c r="K437" s="83"/>
      <c r="L437" s="83"/>
      <c r="M437" s="83"/>
      <c r="N437" s="83"/>
      <c r="O437" s="2"/>
      <c r="P437" s="75" t="n">
        <v>434</v>
      </c>
      <c r="Q437" s="146" t="n">
        <v>9668.872849624</v>
      </c>
      <c r="R437" s="146" t="n">
        <v>0.26717941056181</v>
      </c>
      <c r="S437" s="146" t="n">
        <v>0.0771325793061677</v>
      </c>
      <c r="T437" s="146" t="n">
        <v>0.0362163104715186</v>
      </c>
      <c r="U437" s="29"/>
      <c r="V437" s="29"/>
      <c r="W437" s="29"/>
      <c r="X437" s="29"/>
      <c r="Y437" s="29"/>
      <c r="Z437" s="75"/>
    </row>
    <row r="438" customFormat="false" ht="12.75" hidden="false" customHeight="true" outlineLevel="0" collapsed="false">
      <c r="A438" s="2"/>
      <c r="B438" s="2"/>
      <c r="C438" s="75"/>
      <c r="D438" s="75"/>
      <c r="E438" s="75"/>
      <c r="F438" s="75"/>
      <c r="G438" s="75"/>
      <c r="H438" s="75"/>
      <c r="I438" s="2"/>
      <c r="J438" s="83"/>
      <c r="K438" s="83"/>
      <c r="L438" s="83"/>
      <c r="M438" s="83"/>
      <c r="N438" s="83"/>
      <c r="O438" s="2"/>
      <c r="P438" s="75" t="n">
        <v>435</v>
      </c>
      <c r="Q438" s="146" t="n">
        <v>9691.619535899</v>
      </c>
      <c r="R438" s="146" t="n">
        <v>0.265836561096327</v>
      </c>
      <c r="S438" s="146" t="n">
        <v>0.0818279314749475</v>
      </c>
      <c r="T438" s="146" t="n">
        <v>0.0353899393444031</v>
      </c>
      <c r="U438" s="29"/>
      <c r="V438" s="29"/>
      <c r="W438" s="29"/>
      <c r="X438" s="29"/>
      <c r="Y438" s="29"/>
      <c r="Z438" s="75"/>
    </row>
    <row r="439" customFormat="false" ht="12.75" hidden="false" customHeight="true" outlineLevel="0" collapsed="false">
      <c r="A439" s="2"/>
      <c r="B439" s="2"/>
      <c r="C439" s="75"/>
      <c r="D439" s="75"/>
      <c r="E439" s="75"/>
      <c r="F439" s="75"/>
      <c r="G439" s="75"/>
      <c r="H439" s="75"/>
      <c r="I439" s="2"/>
      <c r="J439" s="83"/>
      <c r="K439" s="83"/>
      <c r="L439" s="83"/>
      <c r="M439" s="83"/>
      <c r="N439" s="83"/>
      <c r="O439" s="2"/>
      <c r="P439" s="75" t="n">
        <v>436</v>
      </c>
      <c r="Q439" s="146" t="n">
        <v>9714.718950686</v>
      </c>
      <c r="R439" s="146" t="n">
        <v>0.264704910701038</v>
      </c>
      <c r="S439" s="146" t="n">
        <v>0.0837029239122064</v>
      </c>
      <c r="T439" s="146" t="n">
        <v>0.0347664291017591</v>
      </c>
      <c r="U439" s="29"/>
      <c r="V439" s="29"/>
      <c r="W439" s="29"/>
      <c r="X439" s="29"/>
      <c r="Y439" s="29"/>
      <c r="Z439" s="75"/>
    </row>
    <row r="440" customFormat="false" ht="12.75" hidden="false" customHeight="true" outlineLevel="0" collapsed="false">
      <c r="A440" s="2"/>
      <c r="B440" s="2"/>
      <c r="C440" s="75"/>
      <c r="D440" s="75"/>
      <c r="E440" s="75"/>
      <c r="F440" s="75"/>
      <c r="G440" s="75"/>
      <c r="H440" s="75"/>
      <c r="I440" s="2"/>
      <c r="J440" s="83"/>
      <c r="K440" s="83"/>
      <c r="L440" s="83"/>
      <c r="M440" s="83"/>
      <c r="N440" s="83"/>
      <c r="O440" s="2"/>
      <c r="P440" s="75" t="n">
        <v>437</v>
      </c>
      <c r="Q440" s="146" t="n">
        <v>9737.36328931</v>
      </c>
      <c r="R440" s="146" t="n">
        <v>0.264145494827661</v>
      </c>
      <c r="S440" s="146" t="n">
        <v>0.0823196550840082</v>
      </c>
      <c r="T440" s="146" t="n">
        <v>0.0342981782765361</v>
      </c>
      <c r="U440" s="29"/>
      <c r="V440" s="29"/>
      <c r="W440" s="29"/>
      <c r="X440" s="29"/>
      <c r="Y440" s="29"/>
      <c r="Z440" s="75"/>
    </row>
    <row r="441" customFormat="false" ht="12.75" hidden="false" customHeight="true" outlineLevel="0" collapsed="false">
      <c r="A441" s="2"/>
      <c r="B441" s="2"/>
      <c r="C441" s="75"/>
      <c r="D441" s="75"/>
      <c r="E441" s="75"/>
      <c r="F441" s="75"/>
      <c r="G441" s="75"/>
      <c r="H441" s="75"/>
      <c r="I441" s="2"/>
      <c r="J441" s="83"/>
      <c r="K441" s="83"/>
      <c r="L441" s="83"/>
      <c r="M441" s="83"/>
      <c r="N441" s="83"/>
      <c r="O441" s="2"/>
      <c r="P441" s="75" t="n">
        <v>438</v>
      </c>
      <c r="Q441" s="146" t="n">
        <v>9760.239562167</v>
      </c>
      <c r="R441" s="146" t="n">
        <v>0.263893443817584</v>
      </c>
      <c r="S441" s="146" t="n">
        <v>0.0777136461187039</v>
      </c>
      <c r="T441" s="146" t="n">
        <v>0.0344942243733732</v>
      </c>
      <c r="U441" s="29"/>
      <c r="V441" s="29"/>
      <c r="W441" s="29"/>
      <c r="X441" s="29"/>
      <c r="Y441" s="29"/>
      <c r="Z441" s="75"/>
    </row>
    <row r="442" customFormat="false" ht="12.75" hidden="false" customHeight="true" outlineLevel="0" collapsed="false">
      <c r="A442" s="2"/>
      <c r="B442" s="2"/>
      <c r="C442" s="75"/>
      <c r="D442" s="75"/>
      <c r="E442" s="75"/>
      <c r="F442" s="75"/>
      <c r="G442" s="75"/>
      <c r="H442" s="75"/>
      <c r="I442" s="2"/>
      <c r="J442" s="83"/>
      <c r="K442" s="83"/>
      <c r="L442" s="83"/>
      <c r="M442" s="83"/>
      <c r="N442" s="83"/>
      <c r="O442" s="2"/>
      <c r="P442" s="75" t="n">
        <v>439</v>
      </c>
      <c r="Q442" s="146" t="n">
        <v>9783.080993494</v>
      </c>
      <c r="R442" s="146" t="n">
        <v>0.264022002968958</v>
      </c>
      <c r="S442" s="146" t="n">
        <v>0.0707631272395447</v>
      </c>
      <c r="T442" s="146" t="n">
        <v>0.0345469899449552</v>
      </c>
      <c r="U442" s="29"/>
      <c r="V442" s="29"/>
      <c r="W442" s="29"/>
      <c r="X442" s="29"/>
      <c r="Y442" s="29"/>
      <c r="Z442" s="75"/>
    </row>
    <row r="443" customFormat="false" ht="12.75" hidden="false" customHeight="true" outlineLevel="0" collapsed="false">
      <c r="A443" s="2"/>
      <c r="B443" s="2"/>
      <c r="C443" s="75"/>
      <c r="D443" s="75"/>
      <c r="E443" s="75"/>
      <c r="F443" s="75"/>
      <c r="G443" s="75"/>
      <c r="H443" s="75"/>
      <c r="I443" s="2"/>
      <c r="J443" s="83"/>
      <c r="K443" s="83"/>
      <c r="L443" s="83"/>
      <c r="M443" s="83"/>
      <c r="N443" s="83"/>
      <c r="O443" s="2"/>
      <c r="P443" s="75" t="n">
        <v>440</v>
      </c>
      <c r="Q443" s="146" t="n">
        <v>9806.160077782</v>
      </c>
      <c r="R443" s="146" t="n">
        <v>0.264207307068647</v>
      </c>
      <c r="S443" s="146" t="n">
        <v>0.0626629333364573</v>
      </c>
      <c r="T443" s="146" t="n">
        <v>0.0346346536413296</v>
      </c>
      <c r="U443" s="29"/>
      <c r="V443" s="29"/>
      <c r="W443" s="29"/>
      <c r="X443" s="29"/>
      <c r="Y443" s="29"/>
      <c r="Z443" s="75"/>
    </row>
    <row r="444" customFormat="false" ht="12.75" hidden="false" customHeight="true" outlineLevel="0" collapsed="false">
      <c r="A444" s="2"/>
      <c r="B444" s="2"/>
      <c r="C444" s="75"/>
      <c r="D444" s="75"/>
      <c r="E444" s="75"/>
      <c r="F444" s="75"/>
      <c r="G444" s="75"/>
      <c r="H444" s="75"/>
      <c r="I444" s="2"/>
      <c r="J444" s="83"/>
      <c r="K444" s="83"/>
      <c r="L444" s="83"/>
      <c r="M444" s="83"/>
      <c r="N444" s="83"/>
      <c r="O444" s="2"/>
      <c r="P444" s="75" t="n">
        <v>441</v>
      </c>
      <c r="Q444" s="146" t="n">
        <v>9828.5978744</v>
      </c>
      <c r="R444" s="146" t="n">
        <v>0.264718606968405</v>
      </c>
      <c r="S444" s="146" t="n">
        <v>0.0546187716643702</v>
      </c>
      <c r="T444" s="146" t="n">
        <v>0.034779738565566</v>
      </c>
      <c r="U444" s="29"/>
      <c r="V444" s="29"/>
      <c r="W444" s="29"/>
      <c r="X444" s="29"/>
      <c r="Y444" s="29"/>
      <c r="Z444" s="75"/>
    </row>
    <row r="445" customFormat="false" ht="12.75" hidden="false" customHeight="true" outlineLevel="0" collapsed="false">
      <c r="A445" s="2"/>
      <c r="B445" s="2"/>
      <c r="C445" s="75"/>
      <c r="D445" s="75"/>
      <c r="E445" s="75"/>
      <c r="F445" s="75"/>
      <c r="G445" s="75"/>
      <c r="H445" s="75"/>
      <c r="I445" s="2"/>
      <c r="J445" s="83"/>
      <c r="K445" s="83"/>
      <c r="L445" s="83"/>
      <c r="M445" s="83"/>
      <c r="N445" s="83"/>
      <c r="O445" s="2"/>
      <c r="P445" s="75" t="n">
        <v>442</v>
      </c>
      <c r="Q445" s="146" t="n">
        <v>9851.255490191</v>
      </c>
      <c r="R445" s="146" t="n">
        <v>0.265389965219152</v>
      </c>
      <c r="S445" s="146" t="n">
        <v>0.0476270786790766</v>
      </c>
      <c r="T445" s="146" t="n">
        <v>0.0348415367183674</v>
      </c>
      <c r="U445" s="29"/>
      <c r="V445" s="29"/>
      <c r="W445" s="29"/>
      <c r="X445" s="29"/>
      <c r="Y445" s="29"/>
      <c r="Z445" s="75"/>
    </row>
    <row r="446" customFormat="false" ht="12.75" hidden="false" customHeight="true" outlineLevel="0" collapsed="false">
      <c r="A446" s="2"/>
      <c r="B446" s="2"/>
      <c r="C446" s="75"/>
      <c r="D446" s="75"/>
      <c r="E446" s="75"/>
      <c r="F446" s="75"/>
      <c r="G446" s="75"/>
      <c r="H446" s="75"/>
      <c r="I446" s="2"/>
      <c r="J446" s="83"/>
      <c r="K446" s="83"/>
      <c r="L446" s="83"/>
      <c r="M446" s="83"/>
      <c r="N446" s="83"/>
      <c r="O446" s="2"/>
      <c r="P446" s="75" t="n">
        <v>443</v>
      </c>
      <c r="Q446" s="146" t="n">
        <v>9873.964075279</v>
      </c>
      <c r="R446" s="146" t="n">
        <v>0.266115768927813</v>
      </c>
      <c r="S446" s="146" t="n">
        <v>0.0429227174828995</v>
      </c>
      <c r="T446" s="146" t="n">
        <v>0.0348601333065405</v>
      </c>
      <c r="U446" s="29"/>
      <c r="V446" s="29"/>
      <c r="W446" s="29"/>
      <c r="X446" s="29"/>
      <c r="Y446" s="29"/>
      <c r="Z446" s="75"/>
    </row>
    <row r="447" customFormat="false" ht="12.75" hidden="false" customHeight="true" outlineLevel="0" collapsed="false">
      <c r="A447" s="2"/>
      <c r="B447" s="2"/>
      <c r="C447" s="75"/>
      <c r="D447" s="75"/>
      <c r="E447" s="75"/>
      <c r="F447" s="75"/>
      <c r="G447" s="75"/>
      <c r="H447" s="75"/>
      <c r="I447" s="2"/>
      <c r="J447" s="83"/>
      <c r="K447" s="83"/>
      <c r="L447" s="83"/>
      <c r="M447" s="83"/>
      <c r="N447" s="83"/>
      <c r="O447" s="2"/>
      <c r="P447" s="75" t="n">
        <v>444</v>
      </c>
      <c r="Q447" s="146" t="n">
        <v>9896.360353992</v>
      </c>
      <c r="R447" s="146" t="n">
        <v>0.266600013286357</v>
      </c>
      <c r="S447" s="146" t="n">
        <v>0.0407504920380223</v>
      </c>
      <c r="T447" s="146" t="n">
        <v>0.034910203466103</v>
      </c>
      <c r="U447" s="29"/>
      <c r="V447" s="29"/>
      <c r="W447" s="29"/>
      <c r="X447" s="29"/>
      <c r="Y447" s="29"/>
      <c r="Z447" s="75"/>
    </row>
    <row r="448" customFormat="false" ht="12.75" hidden="false" customHeight="true" outlineLevel="0" collapsed="false">
      <c r="A448" s="2"/>
      <c r="B448" s="2"/>
      <c r="C448" s="75"/>
      <c r="D448" s="75"/>
      <c r="E448" s="75"/>
      <c r="F448" s="75"/>
      <c r="G448" s="75"/>
      <c r="H448" s="75"/>
      <c r="I448" s="2"/>
      <c r="J448" s="83"/>
      <c r="K448" s="83"/>
      <c r="L448" s="83"/>
      <c r="M448" s="83"/>
      <c r="N448" s="83"/>
      <c r="O448" s="2"/>
      <c r="P448" s="75" t="n">
        <v>445</v>
      </c>
      <c r="Q448" s="146" t="n">
        <v>9918.98867734</v>
      </c>
      <c r="R448" s="146" t="n">
        <v>0.26708714209833</v>
      </c>
      <c r="S448" s="146" t="n">
        <v>0.0425994192227718</v>
      </c>
      <c r="T448" s="146" t="n">
        <v>0.0343281982647607</v>
      </c>
      <c r="U448" s="29"/>
      <c r="V448" s="29"/>
      <c r="W448" s="29"/>
      <c r="X448" s="29"/>
      <c r="Y448" s="29"/>
      <c r="Z448" s="75"/>
    </row>
    <row r="449" customFormat="false" ht="12.75" hidden="false" customHeight="true" outlineLevel="0" collapsed="false">
      <c r="A449" s="2"/>
      <c r="B449" s="2"/>
      <c r="C449" s="75"/>
      <c r="D449" s="75"/>
      <c r="E449" s="75"/>
      <c r="F449" s="75"/>
      <c r="G449" s="75"/>
      <c r="H449" s="75"/>
      <c r="I449" s="2"/>
      <c r="J449" s="83"/>
      <c r="K449" s="83"/>
      <c r="L449" s="83"/>
      <c r="M449" s="83"/>
      <c r="N449" s="83"/>
      <c r="O449" s="2"/>
      <c r="P449" s="75" t="n">
        <v>446</v>
      </c>
      <c r="Q449" s="146" t="n">
        <v>9941.545643862</v>
      </c>
      <c r="R449" s="146" t="n">
        <v>0.267461216520158</v>
      </c>
      <c r="S449" s="146" t="n">
        <v>0.04911762006226</v>
      </c>
      <c r="T449" s="146" t="n">
        <v>0.0339627130470171</v>
      </c>
      <c r="U449" s="29"/>
      <c r="V449" s="29"/>
      <c r="W449" s="29"/>
      <c r="X449" s="29"/>
      <c r="Y449" s="29"/>
      <c r="Z449" s="75"/>
    </row>
    <row r="450" customFormat="false" ht="12.75" hidden="false" customHeight="true" outlineLevel="0" collapsed="false">
      <c r="A450" s="2"/>
      <c r="B450" s="2"/>
      <c r="C450" s="75"/>
      <c r="D450" s="75"/>
      <c r="E450" s="75"/>
      <c r="F450" s="75"/>
      <c r="G450" s="75"/>
      <c r="H450" s="75"/>
      <c r="I450" s="2"/>
      <c r="J450" s="83"/>
      <c r="K450" s="83"/>
      <c r="L450" s="83"/>
      <c r="M450" s="83"/>
      <c r="N450" s="83"/>
      <c r="O450" s="2"/>
      <c r="P450" s="75" t="n">
        <v>447</v>
      </c>
      <c r="Q450" s="146" t="n">
        <v>9964.336195412</v>
      </c>
      <c r="R450" s="146" t="n">
        <v>0.268061160582546</v>
      </c>
      <c r="S450" s="146" t="n">
        <v>0.0592926002945424</v>
      </c>
      <c r="T450" s="146" t="n">
        <v>0.0343064000760487</v>
      </c>
      <c r="U450" s="29"/>
      <c r="V450" s="29"/>
      <c r="W450" s="29"/>
      <c r="X450" s="29"/>
      <c r="Y450" s="29"/>
      <c r="Z450" s="75"/>
    </row>
    <row r="451" customFormat="false" ht="12.75" hidden="false" customHeight="true" outlineLevel="0" collapsed="false">
      <c r="A451" s="2"/>
      <c r="B451" s="2"/>
      <c r="C451" s="75"/>
      <c r="D451" s="75"/>
      <c r="E451" s="75"/>
      <c r="F451" s="75"/>
      <c r="G451" s="75"/>
      <c r="H451" s="75"/>
      <c r="I451" s="2"/>
      <c r="J451" s="83"/>
      <c r="K451" s="83"/>
      <c r="L451" s="83"/>
      <c r="M451" s="83"/>
      <c r="N451" s="83"/>
      <c r="O451" s="2"/>
      <c r="P451" s="75" t="n">
        <v>448</v>
      </c>
      <c r="Q451" s="146" t="n">
        <v>9987.217738809</v>
      </c>
      <c r="R451" s="146" t="n">
        <v>0.268502103895473</v>
      </c>
      <c r="S451" s="146" t="n">
        <v>0.0671114384172699</v>
      </c>
      <c r="T451" s="146" t="n">
        <v>0.0347353651013914</v>
      </c>
      <c r="U451" s="29"/>
      <c r="V451" s="29"/>
      <c r="W451" s="29"/>
      <c r="X451" s="29"/>
      <c r="Y451" s="29"/>
      <c r="Z451" s="75"/>
    </row>
    <row r="452" customFormat="false" ht="12.75" hidden="false" customHeight="true" outlineLevel="0" collapsed="false">
      <c r="A452" s="2"/>
      <c r="B452" s="2"/>
      <c r="C452" s="75"/>
      <c r="D452" s="75"/>
      <c r="E452" s="75"/>
      <c r="F452" s="75"/>
      <c r="G452" s="75"/>
      <c r="H452" s="75"/>
      <c r="I452" s="2"/>
      <c r="J452" s="83"/>
      <c r="K452" s="83"/>
      <c r="L452" s="83"/>
      <c r="M452" s="83"/>
      <c r="N452" s="83"/>
      <c r="O452" s="2"/>
      <c r="P452" s="75" t="n">
        <v>449</v>
      </c>
      <c r="Q452" s="146" t="n">
        <v>10009.749817761</v>
      </c>
      <c r="R452" s="146" t="n">
        <v>0.269520127955472</v>
      </c>
      <c r="S452" s="146" t="n">
        <v>0.0728228412162519</v>
      </c>
      <c r="T452" s="146" t="n">
        <v>0.03486488950535</v>
      </c>
      <c r="U452" s="29"/>
      <c r="V452" s="29"/>
      <c r="W452" s="29"/>
      <c r="X452" s="29"/>
      <c r="Y452" s="29"/>
      <c r="Z452" s="75"/>
    </row>
    <row r="453" customFormat="false" ht="12.75" hidden="false" customHeight="true" outlineLevel="0" collapsed="false">
      <c r="A453" s="2"/>
      <c r="B453" s="2"/>
      <c r="C453" s="75"/>
      <c r="D453" s="75"/>
      <c r="E453" s="75"/>
      <c r="F453" s="75"/>
      <c r="G453" s="75"/>
      <c r="H453" s="75"/>
      <c r="I453" s="2"/>
      <c r="J453" s="83"/>
      <c r="K453" s="83"/>
      <c r="L453" s="83"/>
      <c r="M453" s="83"/>
      <c r="N453" s="83"/>
      <c r="O453" s="2"/>
      <c r="P453" s="75" t="n">
        <v>450</v>
      </c>
      <c r="Q453" s="146" t="n">
        <v>10032.609739374</v>
      </c>
      <c r="R453" s="146" t="n">
        <v>0.270364786125898</v>
      </c>
      <c r="S453" s="146" t="n">
        <v>0.0807988843289273</v>
      </c>
      <c r="T453" s="146" t="n">
        <v>0.0346422953152536</v>
      </c>
      <c r="U453" s="29"/>
      <c r="V453" s="29"/>
      <c r="W453" s="29"/>
      <c r="X453" s="29"/>
      <c r="Y453" s="29"/>
      <c r="Z453" s="75"/>
    </row>
    <row r="454" customFormat="false" ht="12.75" hidden="false" customHeight="true" outlineLevel="0" collapsed="false">
      <c r="A454" s="2"/>
      <c r="B454" s="2"/>
      <c r="C454" s="75"/>
      <c r="D454" s="75"/>
      <c r="E454" s="75"/>
      <c r="F454" s="75"/>
      <c r="G454" s="75"/>
      <c r="H454" s="75"/>
      <c r="I454" s="2"/>
      <c r="J454" s="83"/>
      <c r="K454" s="83"/>
      <c r="L454" s="83"/>
      <c r="M454" s="83"/>
      <c r="N454" s="83"/>
      <c r="O454" s="2"/>
      <c r="P454" s="75" t="n">
        <v>451</v>
      </c>
      <c r="Q454" s="146" t="n">
        <v>10054.613829823</v>
      </c>
      <c r="R454" s="146" t="n">
        <v>0.271043124755694</v>
      </c>
      <c r="S454" s="146" t="n">
        <v>0.0841383471015604</v>
      </c>
      <c r="T454" s="146" t="n">
        <v>0.0344991543717772</v>
      </c>
      <c r="U454" s="29"/>
      <c r="V454" s="29"/>
      <c r="W454" s="29"/>
      <c r="X454" s="29"/>
      <c r="Y454" s="29"/>
      <c r="Z454" s="75"/>
    </row>
    <row r="455" customFormat="false" ht="12.75" hidden="false" customHeight="true" outlineLevel="0" collapsed="false">
      <c r="A455" s="2"/>
      <c r="B455" s="2"/>
      <c r="C455" s="75"/>
      <c r="D455" s="75"/>
      <c r="E455" s="75"/>
      <c r="F455" s="75"/>
      <c r="G455" s="75"/>
      <c r="H455" s="75"/>
      <c r="I455" s="2"/>
      <c r="J455" s="83"/>
      <c r="K455" s="83"/>
      <c r="L455" s="83"/>
      <c r="M455" s="83"/>
      <c r="N455" s="83"/>
      <c r="O455" s="2"/>
      <c r="P455" s="75" t="n">
        <v>452</v>
      </c>
      <c r="Q455" s="146" t="n">
        <v>10077.358217587</v>
      </c>
      <c r="R455" s="146" t="n">
        <v>0.271544599332763</v>
      </c>
      <c r="S455" s="146" t="n">
        <v>0.0916423929528044</v>
      </c>
      <c r="T455" s="146" t="n">
        <v>0.0342982735352785</v>
      </c>
      <c r="U455" s="29"/>
      <c r="V455" s="29"/>
      <c r="W455" s="29"/>
      <c r="X455" s="29"/>
      <c r="Y455" s="29"/>
      <c r="Z455" s="75"/>
    </row>
    <row r="456" customFormat="false" ht="12.75" hidden="false" customHeight="true" outlineLevel="0" collapsed="false">
      <c r="A456" s="2"/>
      <c r="B456" s="2"/>
      <c r="C456" s="75"/>
      <c r="D456" s="75"/>
      <c r="E456" s="75"/>
      <c r="F456" s="75"/>
      <c r="G456" s="75"/>
      <c r="H456" s="75"/>
      <c r="I456" s="2"/>
      <c r="J456" s="83"/>
      <c r="K456" s="83"/>
      <c r="L456" s="83"/>
      <c r="M456" s="83"/>
      <c r="N456" s="83"/>
      <c r="O456" s="2"/>
      <c r="P456" s="75" t="n">
        <v>453</v>
      </c>
      <c r="Q456" s="146" t="n">
        <v>10099.581319493</v>
      </c>
      <c r="R456" s="146" t="n">
        <v>0.271835047575478</v>
      </c>
      <c r="S456" s="146" t="n">
        <v>0.0940284260531485</v>
      </c>
      <c r="T456" s="146" t="n">
        <v>0.033416925796747</v>
      </c>
      <c r="U456" s="29"/>
      <c r="V456" s="29"/>
      <c r="W456" s="29"/>
      <c r="X456" s="29"/>
      <c r="Y456" s="29"/>
      <c r="Z456" s="75"/>
    </row>
    <row r="457" customFormat="false" ht="12.75" hidden="false" customHeight="true" outlineLevel="0" collapsed="false">
      <c r="A457" s="2"/>
      <c r="B457" s="2"/>
      <c r="C457" s="75"/>
      <c r="D457" s="75"/>
      <c r="E457" s="75"/>
      <c r="F457" s="75"/>
      <c r="G457" s="75"/>
      <c r="H457" s="75"/>
      <c r="I457" s="2"/>
      <c r="J457" s="83"/>
      <c r="K457" s="83"/>
      <c r="L457" s="83"/>
      <c r="M457" s="83"/>
      <c r="N457" s="83"/>
      <c r="O457" s="2"/>
      <c r="P457" s="75" t="n">
        <v>454</v>
      </c>
      <c r="Q457" s="146" t="n">
        <v>10122.196221084</v>
      </c>
      <c r="R457" s="146" t="n">
        <v>0.272107384754737</v>
      </c>
      <c r="S457" s="146" t="n">
        <v>0.0965271424988701</v>
      </c>
      <c r="T457" s="146" t="n">
        <v>0.0325591811100135</v>
      </c>
      <c r="U457" s="29"/>
      <c r="V457" s="29"/>
      <c r="W457" s="29"/>
      <c r="X457" s="29"/>
      <c r="Y457" s="29"/>
      <c r="Z457" s="75"/>
    </row>
    <row r="458" customFormat="false" ht="12.75" hidden="false" customHeight="true" outlineLevel="0" collapsed="false">
      <c r="A458" s="2"/>
      <c r="B458" s="2"/>
      <c r="C458" s="75"/>
      <c r="D458" s="75"/>
      <c r="E458" s="75"/>
      <c r="F458" s="75"/>
      <c r="G458" s="75"/>
      <c r="H458" s="75"/>
      <c r="I458" s="2"/>
      <c r="J458" s="83"/>
      <c r="K458" s="83"/>
      <c r="L458" s="83"/>
      <c r="M458" s="83"/>
      <c r="N458" s="83"/>
      <c r="O458" s="2"/>
      <c r="P458" s="75" t="n">
        <v>455</v>
      </c>
      <c r="Q458" s="146" t="n">
        <v>10144.5567316</v>
      </c>
      <c r="R458" s="146" t="n">
        <v>0.272122866443474</v>
      </c>
      <c r="S458" s="146" t="n">
        <v>0.0972576912377332</v>
      </c>
      <c r="T458" s="146" t="n">
        <v>0.0326878820915126</v>
      </c>
      <c r="U458" s="29"/>
      <c r="V458" s="29"/>
      <c r="W458" s="29"/>
      <c r="X458" s="29"/>
      <c r="Y458" s="29"/>
      <c r="Z458" s="75"/>
    </row>
    <row r="459" customFormat="false" ht="12.75" hidden="false" customHeight="true" outlineLevel="0" collapsed="false">
      <c r="A459" s="2"/>
      <c r="B459" s="2"/>
      <c r="C459" s="75"/>
      <c r="D459" s="75"/>
      <c r="E459" s="75"/>
      <c r="F459" s="75"/>
      <c r="G459" s="75"/>
      <c r="H459" s="75"/>
      <c r="I459" s="2"/>
      <c r="J459" s="83"/>
      <c r="K459" s="83"/>
      <c r="L459" s="83"/>
      <c r="M459" s="83"/>
      <c r="N459" s="83"/>
      <c r="O459" s="2"/>
      <c r="P459" s="75" t="n">
        <v>456</v>
      </c>
      <c r="Q459" s="146" t="n">
        <v>10167.213846013</v>
      </c>
      <c r="R459" s="146" t="n">
        <v>0.271884534929277</v>
      </c>
      <c r="S459" s="146" t="n">
        <v>0.0961228260349398</v>
      </c>
      <c r="T459" s="146" t="n">
        <v>0.0320182043671942</v>
      </c>
      <c r="U459" s="29"/>
      <c r="V459" s="29"/>
      <c r="W459" s="29"/>
      <c r="X459" s="29"/>
      <c r="Y459" s="29"/>
      <c r="Z459" s="75"/>
    </row>
    <row r="460" customFormat="false" ht="12.75" hidden="false" customHeight="true" outlineLevel="0" collapsed="false">
      <c r="A460" s="2"/>
      <c r="B460" s="2"/>
      <c r="C460" s="75"/>
      <c r="D460" s="75"/>
      <c r="E460" s="75"/>
      <c r="F460" s="75"/>
      <c r="G460" s="75"/>
      <c r="H460" s="75"/>
      <c r="I460" s="2"/>
      <c r="J460" s="83"/>
      <c r="K460" s="83"/>
      <c r="L460" s="83"/>
      <c r="M460" s="83"/>
      <c r="N460" s="83"/>
      <c r="O460" s="2"/>
      <c r="P460" s="75" t="n">
        <v>457</v>
      </c>
      <c r="Q460" s="146" t="n">
        <v>10190.040194525</v>
      </c>
      <c r="R460" s="146" t="n">
        <v>0.271853239546807</v>
      </c>
      <c r="S460" s="146" t="n">
        <v>0.0930909533360892</v>
      </c>
      <c r="T460" s="146" t="n">
        <v>0.0317719450577986</v>
      </c>
      <c r="U460" s="29"/>
      <c r="V460" s="29"/>
      <c r="W460" s="29"/>
      <c r="X460" s="29"/>
      <c r="Y460" s="29"/>
      <c r="Z460" s="75"/>
    </row>
    <row r="461" customFormat="false" ht="12.75" hidden="false" customHeight="true" outlineLevel="0" collapsed="false">
      <c r="A461" s="2"/>
      <c r="B461" s="2"/>
      <c r="C461" s="75"/>
      <c r="D461" s="75"/>
      <c r="E461" s="75"/>
      <c r="F461" s="75"/>
      <c r="G461" s="75"/>
      <c r="H461" s="75"/>
      <c r="I461" s="2"/>
      <c r="J461" s="83"/>
      <c r="K461" s="83"/>
      <c r="L461" s="83"/>
      <c r="M461" s="83"/>
      <c r="N461" s="83"/>
      <c r="O461" s="2"/>
      <c r="P461" s="75" t="n">
        <v>458</v>
      </c>
      <c r="Q461" s="146" t="n">
        <v>10212.835589053</v>
      </c>
      <c r="R461" s="146" t="n">
        <v>0.271700089921306</v>
      </c>
      <c r="S461" s="146" t="n">
        <v>0.0894027338946826</v>
      </c>
      <c r="T461" s="146" t="n">
        <v>0.0312658848277425</v>
      </c>
      <c r="U461" s="29"/>
      <c r="V461" s="29"/>
      <c r="W461" s="29"/>
      <c r="X461" s="29"/>
      <c r="Y461" s="29"/>
      <c r="Z461" s="75"/>
    </row>
    <row r="462" customFormat="false" ht="12.75" hidden="false" customHeight="true" outlineLevel="0" collapsed="false">
      <c r="A462" s="2"/>
      <c r="B462" s="2"/>
      <c r="C462" s="75"/>
      <c r="D462" s="75"/>
      <c r="E462" s="75"/>
      <c r="F462" s="75"/>
      <c r="G462" s="75"/>
      <c r="H462" s="75"/>
      <c r="I462" s="2"/>
      <c r="J462" s="83"/>
      <c r="K462" s="83"/>
      <c r="L462" s="83"/>
      <c r="M462" s="83"/>
      <c r="N462" s="83"/>
      <c r="O462" s="2"/>
      <c r="P462" s="75" t="n">
        <v>459</v>
      </c>
      <c r="Q462" s="146" t="n">
        <v>10235.599010766</v>
      </c>
      <c r="R462" s="146" t="n">
        <v>0.271456141559008</v>
      </c>
      <c r="S462" s="146" t="n">
        <v>0.0845080298730606</v>
      </c>
      <c r="T462" s="146" t="n">
        <v>0.0305744647927859</v>
      </c>
      <c r="U462" s="29"/>
      <c r="V462" s="29"/>
      <c r="W462" s="29"/>
      <c r="X462" s="29"/>
      <c r="Y462" s="29"/>
      <c r="Z462" s="75"/>
    </row>
    <row r="463" customFormat="false" ht="12.75" hidden="false" customHeight="true" outlineLevel="0" collapsed="false">
      <c r="A463" s="2"/>
      <c r="B463" s="2"/>
      <c r="C463" s="75"/>
      <c r="D463" s="75"/>
      <c r="E463" s="75"/>
      <c r="F463" s="75"/>
      <c r="G463" s="75"/>
      <c r="H463" s="75"/>
      <c r="I463" s="2"/>
      <c r="J463" s="83"/>
      <c r="K463" s="83"/>
      <c r="L463" s="83"/>
      <c r="M463" s="83"/>
      <c r="N463" s="83"/>
      <c r="O463" s="2"/>
      <c r="P463" s="75" t="n">
        <v>460</v>
      </c>
      <c r="Q463" s="146" t="n">
        <v>10258.165140068</v>
      </c>
      <c r="R463" s="146" t="n">
        <v>0.271591483296557</v>
      </c>
      <c r="S463" s="146" t="n">
        <v>0.0808101595991877</v>
      </c>
      <c r="T463" s="146" t="n">
        <v>0.0303044508988296</v>
      </c>
      <c r="U463" s="29"/>
      <c r="V463" s="29"/>
      <c r="W463" s="29"/>
      <c r="X463" s="29"/>
      <c r="Y463" s="29"/>
      <c r="Z463" s="75"/>
    </row>
    <row r="464" customFormat="false" ht="12.75" hidden="false" customHeight="true" outlineLevel="0" collapsed="false">
      <c r="A464" s="2"/>
      <c r="B464" s="2"/>
      <c r="C464" s="75"/>
      <c r="D464" s="75"/>
      <c r="E464" s="75"/>
      <c r="F464" s="75"/>
      <c r="G464" s="75"/>
      <c r="H464" s="75"/>
      <c r="I464" s="2"/>
      <c r="J464" s="83"/>
      <c r="K464" s="83"/>
      <c r="L464" s="83"/>
      <c r="M464" s="83"/>
      <c r="N464" s="83"/>
      <c r="O464" s="2"/>
      <c r="P464" s="75" t="n">
        <v>461</v>
      </c>
      <c r="Q464" s="146" t="n">
        <v>10281.079444596</v>
      </c>
      <c r="R464" s="146" t="n">
        <v>0.271468847436535</v>
      </c>
      <c r="S464" s="146" t="n">
        <v>0.0767254021718407</v>
      </c>
      <c r="T464" s="146" t="n">
        <v>0.0293669278070977</v>
      </c>
      <c r="U464" s="29"/>
      <c r="V464" s="29"/>
      <c r="W464" s="29"/>
      <c r="X464" s="29"/>
      <c r="Y464" s="29"/>
      <c r="Z464" s="75"/>
    </row>
    <row r="465" customFormat="false" ht="12.75" hidden="false" customHeight="true" outlineLevel="0" collapsed="false">
      <c r="A465" s="2"/>
      <c r="B465" s="2"/>
      <c r="C465" s="75"/>
      <c r="D465" s="75"/>
      <c r="E465" s="75"/>
      <c r="F465" s="75"/>
      <c r="G465" s="75"/>
      <c r="H465" s="75"/>
      <c r="I465" s="2"/>
      <c r="J465" s="83"/>
      <c r="K465" s="83"/>
      <c r="L465" s="83"/>
      <c r="M465" s="83"/>
      <c r="N465" s="83"/>
      <c r="O465" s="2"/>
      <c r="P465" s="75" t="n">
        <v>462</v>
      </c>
      <c r="Q465" s="146" t="n">
        <v>10303.422515137</v>
      </c>
      <c r="R465" s="146" t="n">
        <v>0.271569229339494</v>
      </c>
      <c r="S465" s="146" t="n">
        <v>0.0755524902638124</v>
      </c>
      <c r="T465" s="146" t="n">
        <v>0.0291400390680762</v>
      </c>
      <c r="U465" s="29"/>
      <c r="V465" s="29"/>
      <c r="W465" s="29"/>
      <c r="X465" s="29"/>
      <c r="Y465" s="29"/>
      <c r="Z465" s="75"/>
    </row>
    <row r="466" customFormat="false" ht="12.75" hidden="false" customHeight="true" outlineLevel="0" collapsed="false">
      <c r="A466" s="2"/>
      <c r="B466" s="2"/>
      <c r="C466" s="75"/>
      <c r="D466" s="75"/>
      <c r="E466" s="75"/>
      <c r="F466" s="75"/>
      <c r="G466" s="75"/>
      <c r="H466" s="75"/>
      <c r="I466" s="2"/>
      <c r="J466" s="83"/>
      <c r="K466" s="83"/>
      <c r="L466" s="83"/>
      <c r="M466" s="83"/>
      <c r="N466" s="83"/>
      <c r="O466" s="2"/>
      <c r="P466" s="75" t="n">
        <v>463</v>
      </c>
      <c r="Q466" s="146" t="n">
        <v>10325.694445868</v>
      </c>
      <c r="R466" s="146" t="n">
        <v>0.271366315895766</v>
      </c>
      <c r="S466" s="146" t="n">
        <v>0.0771025774245215</v>
      </c>
      <c r="T466" s="146" t="n">
        <v>0.0285215413728866</v>
      </c>
      <c r="U466" s="29"/>
      <c r="V466" s="29"/>
      <c r="W466" s="29"/>
      <c r="X466" s="29"/>
      <c r="Y466" s="29"/>
      <c r="Z466" s="75"/>
    </row>
    <row r="467" customFormat="false" ht="12.75" hidden="false" customHeight="true" outlineLevel="0" collapsed="false">
      <c r="A467" s="2"/>
      <c r="B467" s="2"/>
      <c r="C467" s="75"/>
      <c r="D467" s="75"/>
      <c r="E467" s="75"/>
      <c r="F467" s="75"/>
      <c r="G467" s="75"/>
      <c r="H467" s="75"/>
      <c r="I467" s="2"/>
      <c r="J467" s="83"/>
      <c r="K467" s="83"/>
      <c r="L467" s="83"/>
      <c r="M467" s="83"/>
      <c r="N467" s="83"/>
      <c r="O467" s="2"/>
      <c r="P467" s="75" t="n">
        <v>464</v>
      </c>
      <c r="Q467" s="146" t="n">
        <v>10348.64595453</v>
      </c>
      <c r="R467" s="146" t="n">
        <v>0.271005627710522</v>
      </c>
      <c r="S467" s="146" t="n">
        <v>0.0827401515905914</v>
      </c>
      <c r="T467" s="146" t="n">
        <v>0.0279026171230306</v>
      </c>
      <c r="U467" s="29"/>
      <c r="V467" s="29"/>
      <c r="W467" s="29"/>
      <c r="X467" s="29"/>
      <c r="Y467" s="29"/>
      <c r="Z467" s="75"/>
    </row>
    <row r="468" customFormat="false" ht="12.75" hidden="false" customHeight="true" outlineLevel="0" collapsed="false">
      <c r="A468" s="2"/>
      <c r="B468" s="2"/>
      <c r="C468" s="75"/>
      <c r="D468" s="75"/>
      <c r="E468" s="75"/>
      <c r="F468" s="75"/>
      <c r="G468" s="75"/>
      <c r="H468" s="75"/>
      <c r="I468" s="2"/>
      <c r="J468" s="83"/>
      <c r="K468" s="83"/>
      <c r="L468" s="83"/>
      <c r="M468" s="83"/>
      <c r="N468" s="83"/>
      <c r="O468" s="2"/>
      <c r="P468" s="75" t="n">
        <v>465</v>
      </c>
      <c r="Q468" s="146" t="n">
        <v>10371.434753004</v>
      </c>
      <c r="R468" s="146" t="n">
        <v>0.270791775249416</v>
      </c>
      <c r="S468" s="146" t="n">
        <v>0.0930235237892995</v>
      </c>
      <c r="T468" s="146" t="n">
        <v>0.0285162934560573</v>
      </c>
      <c r="U468" s="29"/>
      <c r="V468" s="29"/>
      <c r="W468" s="29"/>
      <c r="X468" s="29"/>
      <c r="Y468" s="29"/>
      <c r="Z468" s="75"/>
    </row>
    <row r="469" customFormat="false" ht="12.75" hidden="false" customHeight="true" outlineLevel="0" collapsed="false">
      <c r="A469" s="2"/>
      <c r="B469" s="2"/>
      <c r="C469" s="75"/>
      <c r="D469" s="75"/>
      <c r="E469" s="75"/>
      <c r="F469" s="75"/>
      <c r="G469" s="75"/>
      <c r="H469" s="75"/>
      <c r="I469" s="2"/>
      <c r="J469" s="83"/>
      <c r="K469" s="83"/>
      <c r="L469" s="83"/>
      <c r="M469" s="83"/>
      <c r="N469" s="83"/>
      <c r="O469" s="2"/>
      <c r="P469" s="75" t="n">
        <v>466</v>
      </c>
      <c r="Q469" s="146" t="n">
        <v>10394.255201763</v>
      </c>
      <c r="R469" s="146" t="n">
        <v>0.270834955580577</v>
      </c>
      <c r="S469" s="146" t="n">
        <v>0.101038796648996</v>
      </c>
      <c r="T469" s="146" t="n">
        <v>0.0295919329459999</v>
      </c>
      <c r="U469" s="29"/>
      <c r="V469" s="29"/>
      <c r="W469" s="29"/>
      <c r="X469" s="29"/>
      <c r="Y469" s="29"/>
      <c r="Z469" s="75"/>
    </row>
    <row r="470" customFormat="false" ht="12.75" hidden="false" customHeight="true" outlineLevel="0" collapsed="false">
      <c r="A470" s="2"/>
      <c r="B470" s="2"/>
      <c r="C470" s="75"/>
      <c r="D470" s="75"/>
      <c r="E470" s="75"/>
      <c r="F470" s="75"/>
      <c r="G470" s="75"/>
      <c r="H470" s="75"/>
      <c r="I470" s="2"/>
      <c r="J470" s="83"/>
      <c r="K470" s="83"/>
      <c r="L470" s="83"/>
      <c r="M470" s="83"/>
      <c r="N470" s="83"/>
      <c r="O470" s="2"/>
      <c r="P470" s="75" t="n">
        <v>467</v>
      </c>
      <c r="Q470" s="146" t="n">
        <v>10417.073260762</v>
      </c>
      <c r="R470" s="146" t="n">
        <v>0.270528398926275</v>
      </c>
      <c r="S470" s="146" t="n">
        <v>0.106973968990009</v>
      </c>
      <c r="T470" s="146" t="n">
        <v>0.0303280392931377</v>
      </c>
      <c r="U470" s="29"/>
      <c r="V470" s="29"/>
      <c r="W470" s="29"/>
      <c r="X470" s="29"/>
      <c r="Y470" s="29"/>
      <c r="Z470" s="75"/>
    </row>
    <row r="471" customFormat="false" ht="12.75" hidden="false" customHeight="true" outlineLevel="0" collapsed="false">
      <c r="A471" s="2"/>
      <c r="B471" s="2"/>
      <c r="C471" s="75"/>
      <c r="D471" s="75"/>
      <c r="E471" s="75"/>
      <c r="F471" s="75"/>
      <c r="G471" s="75"/>
      <c r="H471" s="75"/>
      <c r="I471" s="2"/>
      <c r="J471" s="83"/>
      <c r="K471" s="83"/>
      <c r="L471" s="83"/>
      <c r="M471" s="83"/>
      <c r="N471" s="83"/>
      <c r="O471" s="2"/>
      <c r="P471" s="75" t="n">
        <v>468</v>
      </c>
      <c r="Q471" s="146" t="n">
        <v>10439.821420475</v>
      </c>
      <c r="R471" s="146" t="n">
        <v>0.270019891579922</v>
      </c>
      <c r="S471" s="146" t="n">
        <v>0.110328344433685</v>
      </c>
      <c r="T471" s="146" t="n">
        <v>0.0310754663147727</v>
      </c>
      <c r="U471" s="29"/>
      <c r="V471" s="29"/>
      <c r="W471" s="29"/>
      <c r="X471" s="29"/>
      <c r="Y471" s="29"/>
      <c r="Z471" s="75"/>
    </row>
    <row r="472" customFormat="false" ht="12.75" hidden="false" customHeight="true" outlineLevel="0" collapsed="false">
      <c r="A472" s="2"/>
      <c r="B472" s="2"/>
      <c r="C472" s="75"/>
      <c r="D472" s="75"/>
      <c r="E472" s="75"/>
      <c r="F472" s="75"/>
      <c r="G472" s="75"/>
      <c r="H472" s="75"/>
      <c r="I472" s="2"/>
      <c r="J472" s="83"/>
      <c r="K472" s="83"/>
      <c r="L472" s="83"/>
      <c r="M472" s="83"/>
      <c r="N472" s="83"/>
      <c r="O472" s="2"/>
      <c r="P472" s="75" t="n">
        <v>469</v>
      </c>
      <c r="Q472" s="146" t="n">
        <v>10462.19639245</v>
      </c>
      <c r="R472" s="146" t="n">
        <v>0.269377703145762</v>
      </c>
      <c r="S472" s="146" t="n">
        <v>0.111162083205663</v>
      </c>
      <c r="T472" s="146" t="n">
        <v>0.0315749930065301</v>
      </c>
      <c r="U472" s="29"/>
      <c r="V472" s="29"/>
      <c r="W472" s="29"/>
      <c r="X472" s="29"/>
      <c r="Y472" s="29"/>
      <c r="Z472" s="75"/>
    </row>
    <row r="473" customFormat="false" ht="12.75" hidden="false" customHeight="true" outlineLevel="0" collapsed="false">
      <c r="A473" s="2"/>
      <c r="B473" s="2"/>
      <c r="C473" s="75"/>
      <c r="D473" s="75"/>
      <c r="E473" s="75"/>
      <c r="F473" s="75"/>
      <c r="G473" s="75"/>
      <c r="H473" s="75"/>
      <c r="I473" s="2"/>
      <c r="J473" s="83"/>
      <c r="K473" s="83"/>
      <c r="L473" s="83"/>
      <c r="M473" s="83"/>
      <c r="N473" s="83"/>
      <c r="O473" s="2"/>
      <c r="P473" s="75" t="n">
        <v>470</v>
      </c>
      <c r="Q473" s="146" t="n">
        <v>10485.053597914</v>
      </c>
      <c r="R473" s="146" t="n">
        <v>0.268348344700126</v>
      </c>
      <c r="S473" s="146" t="n">
        <v>0.108041887684718</v>
      </c>
      <c r="T473" s="146" t="n">
        <v>0.0317143202540701</v>
      </c>
      <c r="U473" s="29"/>
      <c r="V473" s="29"/>
      <c r="W473" s="29"/>
      <c r="X473" s="29"/>
      <c r="Y473" s="29"/>
      <c r="Z473" s="75"/>
    </row>
    <row r="474" customFormat="false" ht="12.75" hidden="false" customHeight="true" outlineLevel="0" collapsed="false">
      <c r="A474" s="2"/>
      <c r="B474" s="2"/>
      <c r="C474" s="75"/>
      <c r="D474" s="75"/>
      <c r="E474" s="75"/>
      <c r="F474" s="75"/>
      <c r="G474" s="75"/>
      <c r="H474" s="75"/>
      <c r="I474" s="2"/>
      <c r="J474" s="83"/>
      <c r="K474" s="83"/>
      <c r="L474" s="83"/>
      <c r="M474" s="83"/>
      <c r="N474" s="83"/>
      <c r="O474" s="2"/>
      <c r="P474" s="75" t="n">
        <v>471</v>
      </c>
      <c r="Q474" s="146" t="n">
        <v>10507.13947961</v>
      </c>
      <c r="R474" s="146" t="n">
        <v>0.267623637597351</v>
      </c>
      <c r="S474" s="146" t="n">
        <v>0.105968273280047</v>
      </c>
      <c r="T474" s="146" t="n">
        <v>0.0315536166748629</v>
      </c>
      <c r="U474" s="29"/>
      <c r="V474" s="29"/>
      <c r="W474" s="29"/>
      <c r="X474" s="29"/>
      <c r="Y474" s="29"/>
      <c r="Z474" s="75"/>
    </row>
    <row r="475" customFormat="false" ht="12.75" hidden="false" customHeight="true" outlineLevel="0" collapsed="false">
      <c r="A475" s="2"/>
      <c r="B475" s="2"/>
      <c r="C475" s="75"/>
      <c r="D475" s="75"/>
      <c r="E475" s="75"/>
      <c r="F475" s="75"/>
      <c r="G475" s="75"/>
      <c r="H475" s="75"/>
      <c r="I475" s="2"/>
      <c r="J475" s="83"/>
      <c r="K475" s="83"/>
      <c r="L475" s="83"/>
      <c r="M475" s="83"/>
      <c r="N475" s="83"/>
      <c r="O475" s="2"/>
      <c r="P475" s="75" t="n">
        <v>472</v>
      </c>
      <c r="Q475" s="146" t="n">
        <v>10530.411104431</v>
      </c>
      <c r="R475" s="146" t="n">
        <v>0.267370023971512</v>
      </c>
      <c r="S475" s="146" t="n">
        <v>0.0935366551289069</v>
      </c>
      <c r="T475" s="146" t="n">
        <v>0.0307876216320608</v>
      </c>
      <c r="U475" s="29"/>
      <c r="V475" s="29"/>
      <c r="W475" s="29"/>
      <c r="X475" s="29"/>
      <c r="Y475" s="29"/>
      <c r="Z475" s="75"/>
    </row>
    <row r="476" customFormat="false" ht="12.75" hidden="false" customHeight="true" outlineLevel="0" collapsed="false">
      <c r="A476" s="2"/>
      <c r="B476" s="2"/>
      <c r="C476" s="75"/>
      <c r="D476" s="75"/>
      <c r="E476" s="75"/>
      <c r="F476" s="75"/>
      <c r="G476" s="75"/>
      <c r="H476" s="75"/>
      <c r="I476" s="2"/>
      <c r="J476" s="83"/>
      <c r="K476" s="83"/>
      <c r="L476" s="83"/>
      <c r="M476" s="83"/>
      <c r="N476" s="83"/>
      <c r="O476" s="2"/>
      <c r="P476" s="75" t="n">
        <v>473</v>
      </c>
      <c r="Q476" s="146" t="n">
        <v>10552.710310085</v>
      </c>
      <c r="R476" s="146" t="n">
        <v>0.266046850549516</v>
      </c>
      <c r="S476" s="146" t="n">
        <v>0.0900867804702839</v>
      </c>
      <c r="T476" s="146" t="n">
        <v>0.0296565292590536</v>
      </c>
      <c r="U476" s="29"/>
      <c r="V476" s="29"/>
      <c r="W476" s="29"/>
      <c r="X476" s="29"/>
      <c r="Y476" s="29"/>
      <c r="Z476" s="75"/>
    </row>
    <row r="477" customFormat="false" ht="12.75" hidden="false" customHeight="true" outlineLevel="0" collapsed="false">
      <c r="A477" s="2"/>
      <c r="B477" s="2"/>
      <c r="C477" s="75"/>
      <c r="D477" s="75"/>
      <c r="E477" s="75"/>
      <c r="F477" s="75"/>
      <c r="G477" s="75"/>
      <c r="H477" s="75"/>
      <c r="I477" s="2"/>
      <c r="J477" s="83"/>
      <c r="K477" s="83"/>
      <c r="L477" s="83"/>
      <c r="M477" s="83"/>
      <c r="N477" s="83"/>
      <c r="O477" s="2"/>
      <c r="P477" s="75" t="n">
        <v>474</v>
      </c>
      <c r="Q477" s="146" t="n">
        <v>10575.69148706</v>
      </c>
      <c r="R477" s="146" t="n">
        <v>0.266202582666635</v>
      </c>
      <c r="S477" s="146" t="n">
        <v>0.0837000495530204</v>
      </c>
      <c r="T477" s="146" t="n">
        <v>0.0282864218126808</v>
      </c>
      <c r="U477" s="29"/>
      <c r="V477" s="29"/>
      <c r="W477" s="29"/>
      <c r="X477" s="29"/>
      <c r="Y477" s="29"/>
      <c r="Z477" s="75"/>
    </row>
    <row r="478" customFormat="false" ht="12.75" hidden="false" customHeight="true" outlineLevel="0" collapsed="false">
      <c r="A478" s="2"/>
      <c r="B478" s="2"/>
      <c r="C478" s="75"/>
      <c r="D478" s="75"/>
      <c r="E478" s="75"/>
      <c r="F478" s="75"/>
      <c r="G478" s="75"/>
      <c r="H478" s="75"/>
      <c r="I478" s="2"/>
      <c r="J478" s="83"/>
      <c r="K478" s="83"/>
      <c r="L478" s="83"/>
      <c r="M478" s="83"/>
      <c r="N478" s="83"/>
      <c r="O478" s="2"/>
      <c r="P478" s="75" t="n">
        <v>475</v>
      </c>
      <c r="Q478" s="146" t="n">
        <v>10598.068708346</v>
      </c>
      <c r="R478" s="146" t="n">
        <v>0.266269448220977</v>
      </c>
      <c r="S478" s="146" t="n">
        <v>0.080788414390197</v>
      </c>
      <c r="T478" s="146" t="n">
        <v>0.0268167632931799</v>
      </c>
      <c r="U478" s="29"/>
      <c r="V478" s="29"/>
      <c r="W478" s="29"/>
      <c r="X478" s="29"/>
      <c r="Y478" s="29"/>
      <c r="Z478" s="75"/>
    </row>
    <row r="479" customFormat="false" ht="12.75" hidden="false" customHeight="true" outlineLevel="0" collapsed="false">
      <c r="A479" s="2"/>
      <c r="B479" s="2"/>
      <c r="C479" s="75"/>
      <c r="D479" s="75"/>
      <c r="E479" s="75"/>
      <c r="F479" s="75"/>
      <c r="G479" s="75"/>
      <c r="H479" s="75"/>
      <c r="I479" s="2"/>
      <c r="J479" s="83"/>
      <c r="K479" s="83"/>
      <c r="L479" s="83"/>
      <c r="M479" s="83"/>
      <c r="N479" s="83"/>
      <c r="O479" s="2"/>
      <c r="P479" s="75" t="n">
        <v>476</v>
      </c>
      <c r="Q479" s="146" t="n">
        <v>10620.672448609</v>
      </c>
      <c r="R479" s="146" t="n">
        <v>0.267227522164818</v>
      </c>
      <c r="S479" s="146" t="n">
        <v>0.0784133739636315</v>
      </c>
      <c r="T479" s="146" t="n">
        <v>0.025404930761378</v>
      </c>
      <c r="U479" s="29"/>
      <c r="V479" s="29"/>
      <c r="W479" s="29"/>
      <c r="X479" s="29"/>
      <c r="Y479" s="29"/>
      <c r="Z479" s="75"/>
    </row>
    <row r="480" customFormat="false" ht="12.75" hidden="false" customHeight="true" outlineLevel="0" collapsed="false">
      <c r="A480" s="2"/>
      <c r="B480" s="2"/>
      <c r="C480" s="75"/>
      <c r="D480" s="75"/>
      <c r="E480" s="75"/>
      <c r="F480" s="75"/>
      <c r="G480" s="75"/>
      <c r="H480" s="75"/>
      <c r="I480" s="2"/>
      <c r="J480" s="83"/>
      <c r="K480" s="83"/>
      <c r="L480" s="83"/>
      <c r="M480" s="83"/>
      <c r="N480" s="83"/>
      <c r="O480" s="2"/>
      <c r="P480" s="75" t="n">
        <v>477</v>
      </c>
      <c r="Q480" s="146" t="n">
        <v>10643.420928872</v>
      </c>
      <c r="R480" s="146" t="n">
        <v>0.268492780903467</v>
      </c>
      <c r="S480" s="146" t="n">
        <v>0.0775938120953863</v>
      </c>
      <c r="T480" s="146" t="n">
        <v>0.0243019400295812</v>
      </c>
      <c r="U480" s="29"/>
      <c r="V480" s="29"/>
      <c r="W480" s="29"/>
      <c r="X480" s="29"/>
      <c r="Y480" s="29"/>
      <c r="Z480" s="75"/>
    </row>
    <row r="481" customFormat="false" ht="12.75" hidden="false" customHeight="true" outlineLevel="0" collapsed="false">
      <c r="A481" s="2"/>
      <c r="B481" s="2"/>
      <c r="C481" s="75"/>
      <c r="D481" s="75"/>
      <c r="E481" s="75"/>
      <c r="F481" s="75"/>
      <c r="G481" s="75"/>
      <c r="H481" s="75"/>
      <c r="I481" s="2"/>
      <c r="J481" s="83"/>
      <c r="K481" s="83"/>
      <c r="L481" s="83"/>
      <c r="M481" s="83"/>
      <c r="N481" s="83"/>
      <c r="O481" s="2"/>
      <c r="P481" s="75" t="n">
        <v>478</v>
      </c>
      <c r="Q481" s="146" t="n">
        <v>10666.026692617</v>
      </c>
      <c r="R481" s="146" t="n">
        <v>0.269837095982316</v>
      </c>
      <c r="S481" s="146" t="n">
        <v>0.0776039086405032</v>
      </c>
      <c r="T481" s="146" t="n">
        <v>0.0239661745531807</v>
      </c>
      <c r="U481" s="29"/>
      <c r="V481" s="29"/>
      <c r="W481" s="29"/>
      <c r="X481" s="29"/>
      <c r="Y481" s="29"/>
      <c r="Z481" s="75"/>
    </row>
    <row r="482" customFormat="false" ht="12.75" hidden="false" customHeight="true" outlineLevel="0" collapsed="false">
      <c r="A482" s="2"/>
      <c r="B482" s="2"/>
      <c r="C482" s="75"/>
      <c r="D482" s="75"/>
      <c r="E482" s="75"/>
      <c r="F482" s="75"/>
      <c r="G482" s="75"/>
      <c r="H482" s="75"/>
      <c r="I482" s="2"/>
      <c r="J482" s="83"/>
      <c r="K482" s="83"/>
      <c r="L482" s="83"/>
      <c r="M482" s="83"/>
      <c r="N482" s="83"/>
      <c r="O482" s="2"/>
      <c r="P482" s="75" t="n">
        <v>479</v>
      </c>
      <c r="Q482" s="146" t="n">
        <v>10688.542424337</v>
      </c>
      <c r="R482" s="146" t="n">
        <v>0.271276961890077</v>
      </c>
      <c r="S482" s="146" t="n">
        <v>0.0784017682168517</v>
      </c>
      <c r="T482" s="146" t="n">
        <v>0.0241950549375296</v>
      </c>
      <c r="U482" s="29"/>
      <c r="V482" s="29"/>
      <c r="W482" s="29"/>
      <c r="X482" s="29"/>
      <c r="Y482" s="29"/>
      <c r="Z482" s="75"/>
    </row>
    <row r="483" customFormat="false" ht="12.75" hidden="false" customHeight="true" outlineLevel="0" collapsed="false">
      <c r="A483" s="2"/>
      <c r="B483" s="2"/>
      <c r="C483" s="75"/>
      <c r="D483" s="75"/>
      <c r="E483" s="75"/>
      <c r="F483" s="75"/>
      <c r="G483" s="75"/>
      <c r="H483" s="75"/>
      <c r="I483" s="2"/>
      <c r="J483" s="83"/>
      <c r="K483" s="83"/>
      <c r="L483" s="83"/>
      <c r="M483" s="83"/>
      <c r="N483" s="83"/>
      <c r="O483" s="2"/>
      <c r="P483" s="75" t="n">
        <v>480</v>
      </c>
      <c r="Q483" s="146" t="n">
        <v>10710.643475602</v>
      </c>
      <c r="R483" s="146" t="n">
        <v>0.272181898970643</v>
      </c>
      <c r="S483" s="146" t="n">
        <v>0.0790591775769822</v>
      </c>
      <c r="T483" s="146" t="n">
        <v>0.0249360440091233</v>
      </c>
      <c r="U483" s="29"/>
      <c r="V483" s="29"/>
      <c r="W483" s="29"/>
      <c r="X483" s="29"/>
      <c r="Y483" s="29"/>
      <c r="Z483" s="75"/>
    </row>
    <row r="484" customFormat="false" ht="12.75" hidden="false" customHeight="true" outlineLevel="0" collapsed="false">
      <c r="A484" s="2"/>
      <c r="B484" s="2"/>
      <c r="C484" s="75"/>
      <c r="D484" s="75"/>
      <c r="E484" s="75"/>
      <c r="F484" s="75"/>
      <c r="G484" s="75"/>
      <c r="H484" s="75"/>
      <c r="I484" s="2"/>
      <c r="J484" s="83"/>
      <c r="K484" s="83"/>
      <c r="L484" s="83"/>
      <c r="M484" s="83"/>
      <c r="N484" s="83"/>
      <c r="O484" s="2"/>
      <c r="P484" s="75" t="n">
        <v>481</v>
      </c>
      <c r="Q484" s="146" t="n">
        <v>10732.928239733</v>
      </c>
      <c r="R484" s="146" t="n">
        <v>0.273428057527169</v>
      </c>
      <c r="S484" s="146" t="n">
        <v>0.0821525505073848</v>
      </c>
      <c r="T484" s="146" t="n">
        <v>0.0264124302255991</v>
      </c>
      <c r="U484" s="29"/>
      <c r="V484" s="29"/>
      <c r="W484" s="29"/>
      <c r="X484" s="29"/>
      <c r="Y484" s="29"/>
      <c r="Z484" s="75"/>
    </row>
    <row r="485" customFormat="false" ht="12.75" hidden="false" customHeight="true" outlineLevel="0" collapsed="false">
      <c r="A485" s="2"/>
      <c r="B485" s="2"/>
      <c r="C485" s="75"/>
      <c r="D485" s="75"/>
      <c r="E485" s="75"/>
      <c r="F485" s="75"/>
      <c r="G485" s="75"/>
      <c r="H485" s="75"/>
      <c r="I485" s="2"/>
      <c r="J485" s="83"/>
      <c r="K485" s="83"/>
      <c r="L485" s="83"/>
      <c r="M485" s="83"/>
      <c r="N485" s="83"/>
      <c r="O485" s="2"/>
      <c r="P485" s="75" t="n">
        <v>482</v>
      </c>
      <c r="Q485" s="146" t="n">
        <v>10755.491251798</v>
      </c>
      <c r="R485" s="146" t="n">
        <v>0.273624572555574</v>
      </c>
      <c r="S485" s="146" t="n">
        <v>0.0869456633077876</v>
      </c>
      <c r="T485" s="146" t="n">
        <v>0.0280305087582261</v>
      </c>
      <c r="U485" s="29"/>
      <c r="V485" s="29"/>
      <c r="W485" s="29"/>
      <c r="X485" s="29"/>
      <c r="Y485" s="29"/>
      <c r="Z485" s="75"/>
    </row>
    <row r="486" customFormat="false" ht="12.75" hidden="false" customHeight="true" outlineLevel="0" collapsed="false">
      <c r="A486" s="2"/>
      <c r="B486" s="2"/>
      <c r="C486" s="75"/>
      <c r="D486" s="75"/>
      <c r="E486" s="75"/>
      <c r="F486" s="75"/>
      <c r="G486" s="75"/>
      <c r="H486" s="75"/>
      <c r="I486" s="2"/>
      <c r="J486" s="83"/>
      <c r="K486" s="83"/>
      <c r="L486" s="83"/>
      <c r="M486" s="83"/>
      <c r="N486" s="83"/>
      <c r="O486" s="2"/>
      <c r="P486" s="75" t="n">
        <v>483</v>
      </c>
      <c r="Q486" s="146" t="n">
        <v>10778.214284151</v>
      </c>
      <c r="R486" s="146" t="n">
        <v>0.273147007071927</v>
      </c>
      <c r="S486" s="146" t="n">
        <v>0.0930904544079644</v>
      </c>
      <c r="T486" s="146" t="n">
        <v>0.0303037329734659</v>
      </c>
      <c r="U486" s="29"/>
      <c r="V486" s="29"/>
      <c r="W486" s="29"/>
      <c r="X486" s="29"/>
      <c r="Y486" s="29"/>
      <c r="Z486" s="75"/>
    </row>
    <row r="487" customFormat="false" ht="12.75" hidden="false" customHeight="true" outlineLevel="0" collapsed="false">
      <c r="A487" s="2"/>
      <c r="B487" s="2"/>
      <c r="C487" s="75"/>
      <c r="D487" s="75"/>
      <c r="E487" s="75"/>
      <c r="F487" s="75"/>
      <c r="G487" s="75"/>
      <c r="H487" s="75"/>
      <c r="I487" s="2"/>
      <c r="J487" s="83"/>
      <c r="K487" s="83"/>
      <c r="L487" s="83"/>
      <c r="M487" s="83"/>
      <c r="N487" s="83"/>
      <c r="O487" s="2"/>
      <c r="P487" s="75" t="n">
        <v>484</v>
      </c>
      <c r="Q487" s="146" t="n">
        <v>10801.013066705</v>
      </c>
      <c r="R487" s="146" t="n">
        <v>0.273169837219051</v>
      </c>
      <c r="S487" s="146" t="n">
        <v>0.0986045042686768</v>
      </c>
      <c r="T487" s="146" t="n">
        <v>0.0323528733752222</v>
      </c>
      <c r="U487" s="29"/>
      <c r="V487" s="29"/>
      <c r="W487" s="29"/>
      <c r="X487" s="29"/>
      <c r="Y487" s="29"/>
      <c r="Z487" s="75"/>
    </row>
    <row r="488" customFormat="false" ht="12.75" hidden="false" customHeight="true" outlineLevel="0" collapsed="false">
      <c r="A488" s="2"/>
      <c r="B488" s="2"/>
      <c r="C488" s="75"/>
      <c r="D488" s="75"/>
      <c r="E488" s="75"/>
      <c r="F488" s="75"/>
      <c r="G488" s="75"/>
      <c r="H488" s="75"/>
      <c r="I488" s="2"/>
      <c r="J488" s="83"/>
      <c r="K488" s="83"/>
      <c r="L488" s="83"/>
      <c r="M488" s="83"/>
      <c r="N488" s="83"/>
      <c r="O488" s="2"/>
      <c r="P488" s="75" t="n">
        <v>485</v>
      </c>
      <c r="Q488" s="146" t="n">
        <v>10823.867113092</v>
      </c>
      <c r="R488" s="146" t="n">
        <v>0.272661203340226</v>
      </c>
      <c r="S488" s="146" t="n">
        <v>0.104879209690445</v>
      </c>
      <c r="T488" s="146" t="n">
        <v>0.0342998241456298</v>
      </c>
      <c r="U488" s="29"/>
      <c r="V488" s="29"/>
      <c r="W488" s="29"/>
      <c r="X488" s="29"/>
      <c r="Y488" s="29"/>
      <c r="Z488" s="75"/>
    </row>
    <row r="489" customFormat="false" ht="12.75" hidden="false" customHeight="true" outlineLevel="0" collapsed="false">
      <c r="A489" s="2"/>
      <c r="B489" s="2"/>
      <c r="C489" s="75"/>
      <c r="D489" s="75"/>
      <c r="E489" s="75"/>
      <c r="F489" s="75"/>
      <c r="G489" s="75"/>
      <c r="H489" s="75"/>
      <c r="I489" s="2"/>
      <c r="J489" s="83"/>
      <c r="K489" s="83"/>
      <c r="L489" s="83"/>
      <c r="M489" s="83"/>
      <c r="N489" s="83"/>
      <c r="O489" s="2"/>
      <c r="P489" s="75" t="n">
        <v>486</v>
      </c>
      <c r="Q489" s="146" t="n">
        <v>10846.677337471</v>
      </c>
      <c r="R489" s="146" t="n">
        <v>0.272294027256819</v>
      </c>
      <c r="S489" s="146" t="n">
        <v>0.109701138114834</v>
      </c>
      <c r="T489" s="146" t="n">
        <v>0.0355850561305161</v>
      </c>
      <c r="U489" s="29"/>
      <c r="V489" s="29"/>
      <c r="W489" s="29"/>
      <c r="X489" s="29"/>
      <c r="Y489" s="29"/>
      <c r="Z489" s="75"/>
    </row>
    <row r="490" customFormat="false" ht="12.75" hidden="false" customHeight="true" outlineLevel="0" collapsed="false">
      <c r="A490" s="2"/>
      <c r="B490" s="2"/>
      <c r="C490" s="75"/>
      <c r="D490" s="75"/>
      <c r="E490" s="75"/>
      <c r="F490" s="75"/>
      <c r="G490" s="75"/>
      <c r="H490" s="75"/>
      <c r="I490" s="2"/>
      <c r="J490" s="83"/>
      <c r="K490" s="83"/>
      <c r="L490" s="83"/>
      <c r="M490" s="83"/>
      <c r="N490" s="83"/>
      <c r="O490" s="2"/>
      <c r="P490" s="75" t="n">
        <v>487</v>
      </c>
      <c r="Q490" s="146" t="n">
        <v>10868.980507829</v>
      </c>
      <c r="R490" s="146" t="n">
        <v>0.271848480889939</v>
      </c>
      <c r="S490" s="146" t="n">
        <v>0.112345860695271</v>
      </c>
      <c r="T490" s="146" t="n">
        <v>0.0363193861076963</v>
      </c>
      <c r="U490" s="29"/>
      <c r="V490" s="29"/>
      <c r="W490" s="29"/>
      <c r="X490" s="29"/>
      <c r="Y490" s="29"/>
      <c r="Z490" s="75"/>
    </row>
    <row r="491" customFormat="false" ht="12.75" hidden="false" customHeight="true" outlineLevel="0" collapsed="false">
      <c r="A491" s="2"/>
      <c r="B491" s="2"/>
      <c r="C491" s="75"/>
      <c r="D491" s="75"/>
      <c r="E491" s="75"/>
      <c r="F491" s="75"/>
      <c r="G491" s="75"/>
      <c r="H491" s="75"/>
      <c r="I491" s="2"/>
      <c r="J491" s="83"/>
      <c r="K491" s="83"/>
      <c r="L491" s="83"/>
      <c r="M491" s="83"/>
      <c r="N491" s="83"/>
      <c r="O491" s="2"/>
      <c r="P491" s="75" t="n">
        <v>488</v>
      </c>
      <c r="Q491" s="146" t="n">
        <v>10892.168352539</v>
      </c>
      <c r="R491" s="146" t="n">
        <v>0.271539107932812</v>
      </c>
      <c r="S491" s="146" t="n">
        <v>0.113015538545016</v>
      </c>
      <c r="T491" s="146" t="n">
        <v>0.0373428523413747</v>
      </c>
      <c r="U491" s="29"/>
      <c r="V491" s="29"/>
      <c r="W491" s="29"/>
      <c r="X491" s="29"/>
      <c r="Y491" s="29"/>
      <c r="Z491" s="75"/>
    </row>
    <row r="492" customFormat="false" ht="12.75" hidden="false" customHeight="true" outlineLevel="0" collapsed="false">
      <c r="A492" s="2"/>
      <c r="B492" s="2"/>
      <c r="C492" s="75"/>
      <c r="D492" s="75"/>
      <c r="E492" s="75"/>
      <c r="F492" s="75"/>
      <c r="G492" s="75"/>
      <c r="H492" s="75"/>
      <c r="I492" s="2"/>
      <c r="J492" s="83"/>
      <c r="K492" s="83"/>
      <c r="L492" s="83"/>
      <c r="M492" s="83"/>
      <c r="N492" s="83"/>
      <c r="O492" s="2"/>
      <c r="P492" s="75" t="n">
        <v>489</v>
      </c>
      <c r="Q492" s="146" t="n">
        <v>10914.34148134</v>
      </c>
      <c r="R492" s="146" t="n">
        <v>0.271255500823314</v>
      </c>
      <c r="S492" s="146" t="n">
        <v>0.113473623045112</v>
      </c>
      <c r="T492" s="146" t="n">
        <v>0.0378015683259838</v>
      </c>
      <c r="U492" s="29"/>
      <c r="V492" s="29"/>
      <c r="W492" s="29"/>
      <c r="X492" s="29"/>
      <c r="Y492" s="29"/>
      <c r="Z492" s="75"/>
    </row>
    <row r="493" customFormat="false" ht="12.75" hidden="false" customHeight="true" outlineLevel="0" collapsed="false">
      <c r="A493" s="2"/>
      <c r="B493" s="2"/>
      <c r="C493" s="75"/>
      <c r="D493" s="75"/>
      <c r="E493" s="75"/>
      <c r="F493" s="75"/>
      <c r="G493" s="75"/>
      <c r="H493" s="75"/>
      <c r="I493" s="2"/>
      <c r="J493" s="83"/>
      <c r="K493" s="83"/>
      <c r="L493" s="83"/>
      <c r="M493" s="83"/>
      <c r="N493" s="83"/>
      <c r="O493" s="2"/>
      <c r="P493" s="75" t="n">
        <v>490</v>
      </c>
      <c r="Q493" s="146" t="n">
        <v>10937.02968186</v>
      </c>
      <c r="R493" s="146" t="n">
        <v>0.271283119209478</v>
      </c>
      <c r="S493" s="146" t="n">
        <v>0.112908937442679</v>
      </c>
      <c r="T493" s="146" t="n">
        <v>0.0382036589023929</v>
      </c>
      <c r="U493" s="29"/>
      <c r="V493" s="29"/>
      <c r="W493" s="29"/>
      <c r="X493" s="29"/>
      <c r="Y493" s="29"/>
      <c r="Z493" s="75"/>
    </row>
    <row r="494" customFormat="false" ht="12.75" hidden="false" customHeight="true" outlineLevel="0" collapsed="false">
      <c r="A494" s="2"/>
      <c r="B494" s="2"/>
      <c r="C494" s="75"/>
      <c r="D494" s="75"/>
      <c r="E494" s="75"/>
      <c r="F494" s="75"/>
      <c r="G494" s="75"/>
      <c r="H494" s="75"/>
      <c r="I494" s="2"/>
      <c r="J494" s="83"/>
      <c r="K494" s="83"/>
      <c r="L494" s="83"/>
      <c r="M494" s="83"/>
      <c r="N494" s="83"/>
      <c r="O494" s="2"/>
      <c r="P494" s="75" t="n">
        <v>491</v>
      </c>
      <c r="Q494" s="146" t="n">
        <v>10959.315725457</v>
      </c>
      <c r="R494" s="146" t="n">
        <v>0.271593099464634</v>
      </c>
      <c r="S494" s="146" t="n">
        <v>0.112363129915102</v>
      </c>
      <c r="T494" s="146" t="n">
        <v>0.0381721918847321</v>
      </c>
      <c r="U494" s="29"/>
      <c r="V494" s="29"/>
      <c r="W494" s="29"/>
      <c r="X494" s="29"/>
      <c r="Y494" s="29"/>
      <c r="Z494" s="75"/>
    </row>
    <row r="495" customFormat="false" ht="12.75" hidden="false" customHeight="true" outlineLevel="0" collapsed="false">
      <c r="A495" s="2"/>
      <c r="B495" s="2"/>
      <c r="C495" s="75"/>
      <c r="D495" s="75"/>
      <c r="E495" s="75"/>
      <c r="F495" s="75"/>
      <c r="G495" s="75"/>
      <c r="H495" s="75"/>
      <c r="I495" s="2"/>
      <c r="J495" s="83"/>
      <c r="K495" s="83"/>
      <c r="L495" s="83"/>
      <c r="M495" s="83"/>
      <c r="N495" s="83"/>
      <c r="O495" s="2"/>
      <c r="P495" s="75" t="n">
        <v>492</v>
      </c>
      <c r="Q495" s="146" t="n">
        <v>10981.885495174</v>
      </c>
      <c r="R495" s="146" t="n">
        <v>0.272646886992029</v>
      </c>
      <c r="S495" s="146" t="n">
        <v>0.109851683360838</v>
      </c>
      <c r="T495" s="146" t="n">
        <v>0.0378171267703563</v>
      </c>
      <c r="U495" s="29"/>
      <c r="V495" s="29"/>
      <c r="W495" s="29"/>
      <c r="X495" s="29"/>
      <c r="Y495" s="29"/>
      <c r="Z495" s="75"/>
    </row>
    <row r="496" customFormat="false" ht="12.75" hidden="false" customHeight="true" outlineLevel="0" collapsed="false">
      <c r="A496" s="2"/>
      <c r="B496" s="2"/>
      <c r="C496" s="75"/>
      <c r="D496" s="75"/>
      <c r="E496" s="75"/>
      <c r="F496" s="75"/>
      <c r="G496" s="75"/>
      <c r="H496" s="75"/>
      <c r="I496" s="2"/>
      <c r="J496" s="83"/>
      <c r="K496" s="83"/>
      <c r="L496" s="83"/>
      <c r="M496" s="83"/>
      <c r="N496" s="83"/>
      <c r="O496" s="2"/>
      <c r="P496" s="75" t="n">
        <v>493</v>
      </c>
      <c r="Q496" s="146" t="n">
        <v>11004.55680374</v>
      </c>
      <c r="R496" s="146" t="n">
        <v>0.273786528295291</v>
      </c>
      <c r="S496" s="146" t="n">
        <v>0.107126890843735</v>
      </c>
      <c r="T496" s="146" t="n">
        <v>0.037503811162062</v>
      </c>
      <c r="U496" s="29"/>
      <c r="V496" s="29"/>
      <c r="W496" s="29"/>
      <c r="X496" s="29"/>
      <c r="Y496" s="29"/>
      <c r="Z496" s="75"/>
    </row>
    <row r="497" customFormat="false" ht="12.75" hidden="false" customHeight="true" outlineLevel="0" collapsed="false">
      <c r="A497" s="2"/>
      <c r="B497" s="2"/>
      <c r="C497" s="75"/>
      <c r="D497" s="75"/>
      <c r="E497" s="75"/>
      <c r="F497" s="75"/>
      <c r="G497" s="75"/>
      <c r="H497" s="75"/>
      <c r="I497" s="2"/>
      <c r="J497" s="83"/>
      <c r="K497" s="83"/>
      <c r="L497" s="83"/>
      <c r="M497" s="83"/>
      <c r="N497" s="83"/>
      <c r="O497" s="2"/>
      <c r="P497" s="75" t="n">
        <v>494</v>
      </c>
      <c r="Q497" s="146" t="n">
        <v>11027.53173932</v>
      </c>
      <c r="R497" s="146" t="n">
        <v>0.275081870058556</v>
      </c>
      <c r="S497" s="146" t="n">
        <v>0.104580017038376</v>
      </c>
      <c r="T497" s="146" t="n">
        <v>0.0370622160698056</v>
      </c>
      <c r="U497" s="29"/>
      <c r="V497" s="29"/>
      <c r="W497" s="29"/>
      <c r="X497" s="29"/>
      <c r="Y497" s="29"/>
      <c r="Z497" s="75"/>
    </row>
    <row r="498" customFormat="false" ht="12.75" hidden="false" customHeight="true" outlineLevel="0" collapsed="false">
      <c r="A498" s="2"/>
      <c r="B498" s="2"/>
      <c r="C498" s="75"/>
      <c r="D498" s="75"/>
      <c r="E498" s="75"/>
      <c r="F498" s="75"/>
      <c r="G498" s="75"/>
      <c r="H498" s="75"/>
      <c r="I498" s="2"/>
      <c r="J498" s="83"/>
      <c r="K498" s="83"/>
      <c r="L498" s="83"/>
      <c r="M498" s="83"/>
      <c r="N498" s="83"/>
      <c r="O498" s="2"/>
      <c r="P498" s="75" t="n">
        <v>495</v>
      </c>
      <c r="Q498" s="146" t="n">
        <v>11049.9002113</v>
      </c>
      <c r="R498" s="146" t="n">
        <v>0.276327946080651</v>
      </c>
      <c r="S498" s="146" t="n">
        <v>0.10341675469647</v>
      </c>
      <c r="T498" s="146" t="n">
        <v>0.0367693216081966</v>
      </c>
      <c r="U498" s="29"/>
      <c r="V498" s="29"/>
      <c r="W498" s="29"/>
      <c r="X498" s="29"/>
      <c r="Y498" s="29"/>
      <c r="Z498" s="75"/>
    </row>
    <row r="499" customFormat="false" ht="12.75" hidden="false" customHeight="true" outlineLevel="0" collapsed="false">
      <c r="A499" s="2"/>
      <c r="B499" s="2"/>
      <c r="C499" s="75"/>
      <c r="D499" s="75"/>
      <c r="E499" s="75"/>
      <c r="F499" s="75"/>
      <c r="G499" s="75"/>
      <c r="H499" s="75"/>
      <c r="I499" s="2"/>
      <c r="J499" s="83"/>
      <c r="K499" s="83"/>
      <c r="L499" s="83"/>
      <c r="M499" s="83"/>
      <c r="N499" s="83"/>
      <c r="O499" s="2"/>
      <c r="P499" s="75" t="n">
        <v>496</v>
      </c>
      <c r="Q499" s="146" t="n">
        <v>11072.531986633</v>
      </c>
      <c r="R499" s="146" t="n">
        <v>0.277408626478052</v>
      </c>
      <c r="S499" s="146" t="n">
        <v>0.103595127977537</v>
      </c>
      <c r="T499" s="146" t="n">
        <v>0.0367464821700887</v>
      </c>
      <c r="U499" s="29"/>
      <c r="V499" s="29"/>
      <c r="W499" s="29"/>
      <c r="X499" s="29"/>
      <c r="Y499" s="29"/>
      <c r="Z499" s="75"/>
    </row>
    <row r="500" customFormat="false" ht="12.75" hidden="false" customHeight="true" outlineLevel="0" collapsed="false">
      <c r="A500" s="2"/>
      <c r="B500" s="2"/>
      <c r="C500" s="75"/>
      <c r="D500" s="75"/>
      <c r="E500" s="75"/>
      <c r="F500" s="75"/>
      <c r="G500" s="75"/>
      <c r="H500" s="75"/>
      <c r="I500" s="2"/>
      <c r="J500" s="83"/>
      <c r="K500" s="83"/>
      <c r="L500" s="83"/>
      <c r="M500" s="83"/>
      <c r="N500" s="83"/>
      <c r="O500" s="2"/>
      <c r="P500" s="75" t="n">
        <v>497</v>
      </c>
      <c r="Q500" s="146" t="n">
        <v>11094.868821858</v>
      </c>
      <c r="R500" s="146" t="n">
        <v>0.278230868553287</v>
      </c>
      <c r="S500" s="146" t="n">
        <v>0.105599629213623</v>
      </c>
      <c r="T500" s="146" t="n">
        <v>0.0369917307648702</v>
      </c>
      <c r="U500" s="29"/>
      <c r="V500" s="29"/>
      <c r="W500" s="29"/>
      <c r="X500" s="29"/>
      <c r="Y500" s="29"/>
      <c r="Z500" s="75"/>
    </row>
    <row r="501" customFormat="false" ht="12.75" hidden="false" customHeight="true" outlineLevel="0" collapsed="false">
      <c r="A501" s="2"/>
      <c r="B501" s="2"/>
      <c r="C501" s="75"/>
      <c r="D501" s="75"/>
      <c r="E501" s="75"/>
      <c r="F501" s="75"/>
      <c r="G501" s="75"/>
      <c r="H501" s="75"/>
      <c r="I501" s="2"/>
      <c r="J501" s="83"/>
      <c r="K501" s="83"/>
      <c r="L501" s="83"/>
      <c r="M501" s="83"/>
      <c r="N501" s="83"/>
      <c r="O501" s="2"/>
      <c r="P501" s="75" t="n">
        <v>498</v>
      </c>
      <c r="Q501" s="146" t="n">
        <v>11117.446629174</v>
      </c>
      <c r="R501" s="146" t="n">
        <v>0.278928259927547</v>
      </c>
      <c r="S501" s="146" t="n">
        <v>0.108345175414455</v>
      </c>
      <c r="T501" s="146" t="n">
        <v>0.0371847097969417</v>
      </c>
      <c r="U501" s="29"/>
      <c r="V501" s="29"/>
      <c r="W501" s="29"/>
      <c r="X501" s="29"/>
      <c r="Y501" s="29"/>
      <c r="Z501" s="75"/>
    </row>
    <row r="502" customFormat="false" ht="12.75" hidden="false" customHeight="true" outlineLevel="0" collapsed="false">
      <c r="A502" s="2"/>
      <c r="B502" s="2"/>
      <c r="C502" s="75"/>
      <c r="D502" s="75"/>
      <c r="E502" s="75"/>
      <c r="F502" s="75"/>
      <c r="G502" s="75"/>
      <c r="H502" s="75"/>
      <c r="I502" s="2"/>
      <c r="J502" s="83"/>
      <c r="K502" s="83"/>
      <c r="L502" s="83"/>
      <c r="M502" s="83"/>
      <c r="N502" s="83"/>
      <c r="O502" s="2"/>
      <c r="P502" s="75" t="n">
        <v>499</v>
      </c>
      <c r="Q502" s="146" t="n">
        <v>11140.161742688</v>
      </c>
      <c r="R502" s="146" t="n">
        <v>0.279029121326758</v>
      </c>
      <c r="S502" s="146" t="n">
        <v>0.111683356413423</v>
      </c>
      <c r="T502" s="146" t="n">
        <v>0.0376371626603767</v>
      </c>
      <c r="U502" s="29"/>
      <c r="V502" s="29"/>
      <c r="W502" s="29"/>
      <c r="X502" s="29"/>
      <c r="Y502" s="29"/>
      <c r="Z502" s="75"/>
    </row>
    <row r="503" customFormat="false" ht="12.75" hidden="false" customHeight="true" outlineLevel="0" collapsed="false">
      <c r="A503" s="2"/>
      <c r="B503" s="2"/>
      <c r="C503" s="75"/>
      <c r="D503" s="75"/>
      <c r="E503" s="75"/>
      <c r="F503" s="75"/>
      <c r="G503" s="75"/>
      <c r="H503" s="75"/>
      <c r="I503" s="2"/>
      <c r="J503" s="83"/>
      <c r="K503" s="83"/>
      <c r="L503" s="83"/>
      <c r="M503" s="83"/>
      <c r="N503" s="83"/>
      <c r="O503" s="2"/>
      <c r="P503" s="75" t="n">
        <v>500</v>
      </c>
      <c r="Q503" s="146" t="n">
        <v>11162.894162475</v>
      </c>
      <c r="R503" s="146" t="n">
        <v>0.279040137669319</v>
      </c>
      <c r="S503" s="146" t="n">
        <v>0.114032311029308</v>
      </c>
      <c r="T503" s="146" t="n">
        <v>0.0380105033713871</v>
      </c>
      <c r="U503" s="29"/>
      <c r="V503" s="29"/>
      <c r="W503" s="29"/>
      <c r="X503" s="29"/>
      <c r="Y503" s="29"/>
      <c r="Z503" s="75"/>
    </row>
    <row r="504" customFormat="false" ht="12.75" hidden="false" customHeight="true" outlineLevel="0" collapsed="false">
      <c r="A504" s="2"/>
      <c r="B504" s="2"/>
      <c r="C504" s="75"/>
      <c r="D504" s="75"/>
      <c r="E504" s="75"/>
      <c r="F504" s="75"/>
      <c r="G504" s="75"/>
      <c r="H504" s="75"/>
      <c r="I504" s="2"/>
      <c r="J504" s="83"/>
      <c r="K504" s="83"/>
      <c r="L504" s="83"/>
      <c r="M504" s="83"/>
      <c r="N504" s="83"/>
      <c r="O504" s="2"/>
      <c r="P504" s="75" t="n">
        <v>501</v>
      </c>
      <c r="Q504" s="146" t="n">
        <v>11185.70843695</v>
      </c>
      <c r="R504" s="146" t="n">
        <v>0.278483785104766</v>
      </c>
      <c r="S504" s="146" t="n">
        <v>0.115757969024425</v>
      </c>
      <c r="T504" s="146" t="n">
        <v>0.0378513713868617</v>
      </c>
      <c r="U504" s="29"/>
      <c r="V504" s="29"/>
      <c r="W504" s="29"/>
      <c r="X504" s="29"/>
      <c r="Y504" s="29"/>
      <c r="Z504" s="75"/>
    </row>
    <row r="505" customFormat="false" ht="12.75" hidden="false" customHeight="true" outlineLevel="0" collapsed="false">
      <c r="A505" s="2"/>
      <c r="B505" s="2"/>
      <c r="C505" s="75"/>
      <c r="D505" s="75"/>
      <c r="E505" s="75"/>
      <c r="F505" s="75"/>
      <c r="G505" s="75"/>
      <c r="H505" s="75"/>
      <c r="I505" s="2"/>
      <c r="J505" s="83"/>
      <c r="K505" s="83"/>
      <c r="L505" s="83"/>
      <c r="M505" s="83"/>
      <c r="N505" s="83"/>
      <c r="O505" s="2"/>
      <c r="P505" s="75" t="n">
        <v>502</v>
      </c>
      <c r="Q505" s="146" t="n">
        <v>11208.757469852</v>
      </c>
      <c r="R505" s="146" t="n">
        <v>0.277527338374867</v>
      </c>
      <c r="S505" s="146" t="n">
        <v>0.115868604315443</v>
      </c>
      <c r="T505" s="146" t="n">
        <v>0.037687660274236</v>
      </c>
      <c r="U505" s="29"/>
      <c r="V505" s="29"/>
      <c r="W505" s="29"/>
      <c r="X505" s="29"/>
      <c r="Y505" s="29"/>
      <c r="Z505" s="75"/>
    </row>
    <row r="506" customFormat="false" ht="12.75" hidden="false" customHeight="true" outlineLevel="0" collapsed="false">
      <c r="A506" s="2"/>
      <c r="B506" s="2"/>
      <c r="C506" s="75"/>
      <c r="D506" s="75"/>
      <c r="E506" s="75"/>
      <c r="F506" s="75"/>
      <c r="G506" s="75"/>
      <c r="H506" s="75"/>
      <c r="I506" s="2"/>
      <c r="J506" s="83"/>
      <c r="K506" s="83"/>
      <c r="L506" s="83"/>
      <c r="M506" s="83"/>
      <c r="N506" s="83"/>
      <c r="O506" s="2"/>
      <c r="P506" s="75" t="n">
        <v>503</v>
      </c>
      <c r="Q506" s="146" t="n">
        <v>11231.516591526</v>
      </c>
      <c r="R506" s="146" t="n">
        <v>0.276297177019166</v>
      </c>
      <c r="S506" s="146" t="n">
        <v>0.114007411503537</v>
      </c>
      <c r="T506" s="146" t="n">
        <v>0.0371927653514744</v>
      </c>
      <c r="U506" s="29"/>
      <c r="V506" s="29"/>
      <c r="W506" s="29"/>
      <c r="X506" s="29"/>
      <c r="Y506" s="29"/>
      <c r="Z506" s="75"/>
    </row>
    <row r="507" customFormat="false" ht="12.75" hidden="false" customHeight="true" outlineLevel="0" collapsed="false">
      <c r="A507" s="2"/>
      <c r="B507" s="2"/>
      <c r="C507" s="75"/>
      <c r="D507" s="75"/>
      <c r="E507" s="75"/>
      <c r="F507" s="75"/>
      <c r="G507" s="75"/>
      <c r="H507" s="75"/>
      <c r="I507" s="2"/>
      <c r="J507" s="83"/>
      <c r="K507" s="83"/>
      <c r="L507" s="83"/>
      <c r="M507" s="83"/>
      <c r="N507" s="83"/>
      <c r="O507" s="2"/>
      <c r="P507" s="75" t="n">
        <v>504</v>
      </c>
      <c r="Q507" s="146" t="n">
        <v>11254.377567974</v>
      </c>
      <c r="R507" s="146" t="n">
        <v>0.27488792614647</v>
      </c>
      <c r="S507" s="146" t="n">
        <v>0.110973994065437</v>
      </c>
      <c r="T507" s="146" t="n">
        <v>0.0365154045157503</v>
      </c>
      <c r="U507" s="29"/>
      <c r="V507" s="29"/>
      <c r="W507" s="29"/>
      <c r="X507" s="29"/>
      <c r="Y507" s="29"/>
      <c r="Z507" s="75"/>
    </row>
    <row r="508" customFormat="false" ht="12.75" hidden="false" customHeight="true" outlineLevel="0" collapsed="false">
      <c r="A508" s="2"/>
      <c r="B508" s="2"/>
      <c r="C508" s="75"/>
      <c r="D508" s="75"/>
      <c r="E508" s="75"/>
      <c r="F508" s="75"/>
      <c r="G508" s="75"/>
      <c r="H508" s="75"/>
      <c r="I508" s="2"/>
      <c r="J508" s="83"/>
      <c r="K508" s="83"/>
      <c r="L508" s="83"/>
      <c r="M508" s="83"/>
      <c r="N508" s="83"/>
      <c r="O508" s="2"/>
      <c r="P508" s="75" t="n">
        <v>505</v>
      </c>
      <c r="Q508" s="146" t="n">
        <v>11277.103872627</v>
      </c>
      <c r="R508" s="146" t="n">
        <v>0.273304926099201</v>
      </c>
      <c r="S508" s="146" t="n">
        <v>0.107162098770611</v>
      </c>
      <c r="T508" s="146" t="n">
        <v>0.035787778266436</v>
      </c>
      <c r="U508" s="29"/>
      <c r="V508" s="29"/>
      <c r="W508" s="29"/>
      <c r="X508" s="29"/>
      <c r="Y508" s="29"/>
      <c r="Z508" s="75"/>
    </row>
    <row r="509" customFormat="false" ht="12.75" hidden="false" customHeight="true" outlineLevel="0" collapsed="false">
      <c r="A509" s="2"/>
      <c r="B509" s="2"/>
      <c r="C509" s="75"/>
      <c r="D509" s="75"/>
      <c r="E509" s="75"/>
      <c r="F509" s="75"/>
      <c r="G509" s="75"/>
      <c r="H509" s="75"/>
      <c r="I509" s="2"/>
      <c r="J509" s="83"/>
      <c r="K509" s="83"/>
      <c r="L509" s="83"/>
      <c r="M509" s="83"/>
      <c r="N509" s="83"/>
      <c r="O509" s="2"/>
      <c r="P509" s="75" t="n">
        <v>506</v>
      </c>
      <c r="Q509" s="146" t="n">
        <v>11299.635883202</v>
      </c>
      <c r="R509" s="146" t="n">
        <v>0.271648471907038</v>
      </c>
      <c r="S509" s="146" t="n">
        <v>0.102795922764842</v>
      </c>
      <c r="T509" s="146" t="n">
        <v>0.0350234313502917</v>
      </c>
      <c r="U509" s="29"/>
      <c r="V509" s="29"/>
      <c r="W509" s="29"/>
      <c r="X509" s="29"/>
      <c r="Y509" s="29"/>
      <c r="Z509" s="75"/>
    </row>
    <row r="510" customFormat="false" ht="12.75" hidden="false" customHeight="true" outlineLevel="0" collapsed="false">
      <c r="A510" s="2"/>
      <c r="B510" s="2"/>
      <c r="C510" s="75"/>
      <c r="D510" s="75"/>
      <c r="E510" s="75"/>
      <c r="F510" s="75"/>
      <c r="G510" s="75"/>
      <c r="H510" s="75"/>
      <c r="I510" s="2"/>
      <c r="J510" s="83"/>
      <c r="K510" s="83"/>
      <c r="L510" s="83"/>
      <c r="M510" s="83"/>
      <c r="N510" s="83"/>
      <c r="O510" s="2"/>
      <c r="P510" s="75" t="n">
        <v>507</v>
      </c>
      <c r="Q510" s="146" t="n">
        <v>11321.966780016</v>
      </c>
      <c r="R510" s="146" t="n">
        <v>0.270293659915802</v>
      </c>
      <c r="S510" s="146" t="n">
        <v>0.0976236611059162</v>
      </c>
      <c r="T510" s="146" t="n">
        <v>0.0344802859506958</v>
      </c>
      <c r="U510" s="29"/>
      <c r="V510" s="29"/>
      <c r="W510" s="29"/>
      <c r="X510" s="29"/>
      <c r="Y510" s="29"/>
      <c r="Z510" s="75"/>
    </row>
    <row r="511" customFormat="false" ht="12.75" hidden="false" customHeight="true" outlineLevel="0" collapsed="false">
      <c r="A511" s="2"/>
      <c r="B511" s="2"/>
      <c r="C511" s="75"/>
      <c r="D511" s="75"/>
      <c r="E511" s="75"/>
      <c r="F511" s="75"/>
      <c r="G511" s="75"/>
      <c r="H511" s="75"/>
      <c r="I511" s="2"/>
      <c r="J511" s="83"/>
      <c r="K511" s="83"/>
      <c r="L511" s="83"/>
      <c r="M511" s="83"/>
      <c r="N511" s="83"/>
      <c r="O511" s="2"/>
      <c r="P511" s="75" t="n">
        <v>508</v>
      </c>
      <c r="Q511" s="146" t="n">
        <v>11344.735936069</v>
      </c>
      <c r="R511" s="146" t="n">
        <v>0.269052980936496</v>
      </c>
      <c r="S511" s="146" t="n">
        <v>0.0925172305244733</v>
      </c>
      <c r="T511" s="146" t="n">
        <v>0.0342773907431819</v>
      </c>
      <c r="U511" s="29"/>
      <c r="V511" s="29"/>
      <c r="W511" s="29"/>
      <c r="X511" s="29"/>
      <c r="Y511" s="29"/>
      <c r="Z511" s="75"/>
    </row>
    <row r="512" customFormat="false" ht="12.75" hidden="false" customHeight="true" outlineLevel="0" collapsed="false">
      <c r="A512" s="2"/>
      <c r="B512" s="2"/>
      <c r="C512" s="75"/>
      <c r="D512" s="75"/>
      <c r="E512" s="75"/>
      <c r="F512" s="75"/>
      <c r="G512" s="75"/>
      <c r="H512" s="75"/>
      <c r="I512" s="2"/>
      <c r="J512" s="83"/>
      <c r="K512" s="83"/>
      <c r="L512" s="83"/>
      <c r="M512" s="83"/>
      <c r="N512" s="83"/>
      <c r="O512" s="2"/>
      <c r="P512" s="75" t="n">
        <v>509</v>
      </c>
      <c r="Q512" s="146" t="n">
        <v>11367.989605908</v>
      </c>
      <c r="R512" s="146" t="n">
        <v>0.268551155397824</v>
      </c>
      <c r="S512" s="146" t="n">
        <v>0.0867803312480406</v>
      </c>
      <c r="T512" s="146" t="n">
        <v>0.0340652253261308</v>
      </c>
      <c r="U512" s="29"/>
      <c r="V512" s="29"/>
      <c r="W512" s="29"/>
      <c r="X512" s="29"/>
      <c r="Y512" s="29"/>
      <c r="Z512" s="75"/>
    </row>
    <row r="513" customFormat="false" ht="12.75" hidden="false" customHeight="true" outlineLevel="0" collapsed="false">
      <c r="A513" s="2"/>
      <c r="B513" s="2"/>
      <c r="C513" s="75"/>
      <c r="D513" s="75"/>
      <c r="E513" s="75"/>
      <c r="F513" s="75"/>
      <c r="G513" s="75"/>
      <c r="H513" s="75"/>
      <c r="I513" s="2"/>
      <c r="J513" s="83"/>
      <c r="K513" s="83"/>
      <c r="L513" s="83"/>
      <c r="M513" s="83"/>
      <c r="N513" s="83"/>
      <c r="O513" s="2"/>
      <c r="P513" s="75" t="n">
        <v>510</v>
      </c>
      <c r="Q513" s="146" t="n">
        <v>11390.693936449</v>
      </c>
      <c r="R513" s="146" t="n">
        <v>0.267644922137968</v>
      </c>
      <c r="S513" s="146" t="n">
        <v>0.0834366394154289</v>
      </c>
      <c r="T513" s="146" t="n">
        <v>0.0347950914760809</v>
      </c>
      <c r="U513" s="29"/>
      <c r="V513" s="29"/>
      <c r="W513" s="29"/>
      <c r="X513" s="29"/>
      <c r="Y513" s="29"/>
      <c r="Z513" s="75"/>
    </row>
    <row r="514" customFormat="false" ht="12.75" hidden="false" customHeight="true" outlineLevel="0" collapsed="false">
      <c r="A514" s="2"/>
      <c r="B514" s="2"/>
      <c r="C514" s="75"/>
      <c r="D514" s="75"/>
      <c r="E514" s="75"/>
      <c r="F514" s="75"/>
      <c r="G514" s="75"/>
      <c r="H514" s="75"/>
      <c r="I514" s="2"/>
      <c r="J514" s="83"/>
      <c r="K514" s="83"/>
      <c r="L514" s="83"/>
      <c r="M514" s="83"/>
      <c r="N514" s="83"/>
      <c r="O514" s="2"/>
      <c r="P514" s="75" t="n">
        <v>511</v>
      </c>
      <c r="Q514" s="146" t="n">
        <v>11413.596266693</v>
      </c>
      <c r="R514" s="146" t="n">
        <v>0.267571072414764</v>
      </c>
      <c r="S514" s="146" t="n">
        <v>0.0830355642723061</v>
      </c>
      <c r="T514" s="146" t="n">
        <v>0.035811766877813</v>
      </c>
      <c r="U514" s="29"/>
      <c r="V514" s="29"/>
      <c r="W514" s="29"/>
      <c r="X514" s="29"/>
      <c r="Y514" s="29"/>
      <c r="Z514" s="75"/>
    </row>
    <row r="515" customFormat="false" ht="12.75" hidden="false" customHeight="true" outlineLevel="0" collapsed="false">
      <c r="A515" s="2"/>
      <c r="B515" s="2"/>
      <c r="C515" s="75"/>
      <c r="D515" s="75"/>
      <c r="E515" s="75"/>
      <c r="F515" s="75"/>
      <c r="G515" s="75"/>
      <c r="H515" s="75"/>
      <c r="I515" s="2"/>
      <c r="J515" s="83"/>
      <c r="K515" s="83"/>
      <c r="L515" s="83"/>
      <c r="M515" s="83"/>
      <c r="N515" s="83"/>
      <c r="O515" s="2"/>
      <c r="P515" s="75" t="n">
        <v>512</v>
      </c>
      <c r="Q515" s="146" t="n">
        <v>11436.446981402</v>
      </c>
      <c r="R515" s="146" t="n">
        <v>0.267777647582548</v>
      </c>
      <c r="S515" s="146" t="n">
        <v>0.0854354692198146</v>
      </c>
      <c r="T515" s="146" t="n">
        <v>0.0366398845181092</v>
      </c>
      <c r="U515" s="29"/>
      <c r="V515" s="29"/>
      <c r="W515" s="29"/>
      <c r="X515" s="29"/>
      <c r="Y515" s="29"/>
      <c r="Z515" s="75"/>
    </row>
    <row r="516" customFormat="false" ht="12.75" hidden="false" customHeight="true" outlineLevel="0" collapsed="false">
      <c r="A516" s="2"/>
      <c r="B516" s="2"/>
      <c r="C516" s="75"/>
      <c r="D516" s="75"/>
      <c r="E516" s="75"/>
      <c r="F516" s="75"/>
      <c r="G516" s="75"/>
      <c r="H516" s="75"/>
      <c r="I516" s="2"/>
      <c r="J516" s="83"/>
      <c r="K516" s="83"/>
      <c r="L516" s="83"/>
      <c r="M516" s="83"/>
      <c r="N516" s="83"/>
      <c r="O516" s="2"/>
      <c r="P516" s="75" t="n">
        <v>513</v>
      </c>
      <c r="Q516" s="146" t="n">
        <v>11459.113722632</v>
      </c>
      <c r="R516" s="146" t="n">
        <v>0.268271883261209</v>
      </c>
      <c r="S516" s="146" t="n">
        <v>0.0907102480526198</v>
      </c>
      <c r="T516" s="146" t="n">
        <v>0.0374012332257371</v>
      </c>
      <c r="U516" s="29"/>
      <c r="V516" s="29"/>
      <c r="W516" s="29"/>
      <c r="X516" s="29"/>
      <c r="Y516" s="29"/>
      <c r="Z516" s="75"/>
    </row>
    <row r="517" customFormat="false" ht="12.75" hidden="false" customHeight="true" outlineLevel="0" collapsed="false">
      <c r="A517" s="2"/>
      <c r="B517" s="2"/>
      <c r="C517" s="75"/>
      <c r="D517" s="75"/>
      <c r="E517" s="75"/>
      <c r="F517" s="75"/>
      <c r="G517" s="75"/>
      <c r="H517" s="75"/>
      <c r="I517" s="2"/>
      <c r="J517" s="83"/>
      <c r="K517" s="83"/>
      <c r="L517" s="83"/>
      <c r="M517" s="83"/>
      <c r="N517" s="83"/>
      <c r="O517" s="2"/>
      <c r="P517" s="75" t="n">
        <v>514</v>
      </c>
      <c r="Q517" s="146" t="n">
        <v>11482.106168058</v>
      </c>
      <c r="R517" s="146" t="n">
        <v>0.268970877073231</v>
      </c>
      <c r="S517" s="146" t="n">
        <v>0.0973846986953849</v>
      </c>
      <c r="T517" s="146" t="n">
        <v>0.0378991356122364</v>
      </c>
      <c r="U517" s="29"/>
      <c r="V517" s="29"/>
      <c r="W517" s="29"/>
      <c r="X517" s="29"/>
      <c r="Y517" s="29"/>
      <c r="Z517" s="75"/>
    </row>
    <row r="518" customFormat="false" ht="12.75" hidden="false" customHeight="true" outlineLevel="0" collapsed="false">
      <c r="A518" s="2"/>
      <c r="B518" s="2"/>
      <c r="C518" s="75"/>
      <c r="D518" s="75"/>
      <c r="E518" s="75"/>
      <c r="F518" s="75"/>
      <c r="G518" s="75"/>
      <c r="H518" s="75"/>
      <c r="I518" s="2"/>
      <c r="J518" s="83"/>
      <c r="K518" s="83"/>
      <c r="L518" s="83"/>
      <c r="M518" s="83"/>
      <c r="N518" s="83"/>
      <c r="O518" s="2"/>
      <c r="P518" s="75" t="n">
        <v>515</v>
      </c>
      <c r="Q518" s="146" t="n">
        <v>11505.016075392</v>
      </c>
      <c r="R518" s="146" t="n">
        <v>0.270040999393392</v>
      </c>
      <c r="S518" s="146" t="n">
        <v>0.104088991990152</v>
      </c>
      <c r="T518" s="146" t="n">
        <v>0.0378175890202191</v>
      </c>
      <c r="U518" s="29"/>
      <c r="V518" s="29"/>
      <c r="W518" s="29"/>
      <c r="X518" s="29"/>
      <c r="Y518" s="29"/>
      <c r="Z518" s="75"/>
    </row>
    <row r="519" customFormat="false" ht="12.75" hidden="false" customHeight="true" outlineLevel="0" collapsed="false">
      <c r="A519" s="2"/>
      <c r="B519" s="2"/>
      <c r="C519" s="75"/>
      <c r="D519" s="75"/>
      <c r="E519" s="75"/>
      <c r="F519" s="75"/>
      <c r="G519" s="75"/>
      <c r="H519" s="75"/>
      <c r="I519" s="2"/>
      <c r="J519" s="83"/>
      <c r="K519" s="83"/>
      <c r="L519" s="83"/>
      <c r="M519" s="83"/>
      <c r="N519" s="83"/>
      <c r="O519" s="2"/>
      <c r="P519" s="75" t="n">
        <v>516</v>
      </c>
      <c r="Q519" s="146" t="n">
        <v>11527.542126501</v>
      </c>
      <c r="R519" s="146" t="n">
        <v>0.27152216637465</v>
      </c>
      <c r="S519" s="146" t="n">
        <v>0.108442569989624</v>
      </c>
      <c r="T519" s="146" t="n">
        <v>0.0373063339205281</v>
      </c>
      <c r="U519" s="29"/>
      <c r="V519" s="29"/>
      <c r="W519" s="29"/>
      <c r="X519" s="29"/>
      <c r="Y519" s="29"/>
      <c r="Z519" s="75"/>
    </row>
    <row r="520" customFormat="false" ht="12.75" hidden="false" customHeight="true" outlineLevel="0" collapsed="false">
      <c r="A520" s="2"/>
      <c r="B520" s="2"/>
      <c r="C520" s="75"/>
      <c r="D520" s="75"/>
      <c r="E520" s="75"/>
      <c r="F520" s="75"/>
      <c r="G520" s="75"/>
      <c r="H520" s="75"/>
      <c r="I520" s="2"/>
      <c r="J520" s="83"/>
      <c r="K520" s="83"/>
      <c r="L520" s="83"/>
      <c r="M520" s="83"/>
      <c r="N520" s="83"/>
      <c r="O520" s="2"/>
      <c r="P520" s="75" t="n">
        <v>517</v>
      </c>
      <c r="Q520" s="146" t="n">
        <v>11549.970627307</v>
      </c>
      <c r="R520" s="146" t="n">
        <v>0.272759385922296</v>
      </c>
      <c r="S520" s="146" t="n">
        <v>0.113559224814523</v>
      </c>
      <c r="T520" s="146" t="n">
        <v>0.0363998287332356</v>
      </c>
      <c r="U520" s="29"/>
      <c r="V520" s="29"/>
      <c r="W520" s="29"/>
      <c r="X520" s="29"/>
      <c r="Y520" s="29"/>
      <c r="Z520" s="75"/>
    </row>
    <row r="521" customFormat="false" ht="12.75" hidden="false" customHeight="true" outlineLevel="0" collapsed="false">
      <c r="A521" s="2"/>
      <c r="B521" s="2"/>
      <c r="C521" s="75"/>
      <c r="D521" s="75"/>
      <c r="E521" s="75"/>
      <c r="F521" s="75"/>
      <c r="G521" s="75"/>
      <c r="H521" s="75"/>
      <c r="I521" s="2"/>
      <c r="J521" s="83"/>
      <c r="K521" s="83"/>
      <c r="L521" s="83"/>
      <c r="M521" s="83"/>
      <c r="N521" s="83"/>
      <c r="O521" s="2"/>
      <c r="P521" s="75" t="n">
        <v>518</v>
      </c>
      <c r="Q521" s="146" t="n">
        <v>11572.48816652</v>
      </c>
      <c r="R521" s="146" t="n">
        <v>0.274155735282455</v>
      </c>
      <c r="S521" s="146" t="n">
        <v>0.115359426913337</v>
      </c>
      <c r="T521" s="146" t="n">
        <v>0.0348294154358897</v>
      </c>
      <c r="U521" s="29"/>
      <c r="V521" s="29"/>
      <c r="W521" s="29"/>
      <c r="X521" s="29"/>
      <c r="Y521" s="29"/>
      <c r="Z521" s="75"/>
    </row>
    <row r="522" customFormat="false" ht="12.75" hidden="false" customHeight="true" outlineLevel="0" collapsed="false">
      <c r="A522" s="2"/>
      <c r="B522" s="2"/>
      <c r="C522" s="75"/>
      <c r="D522" s="75"/>
      <c r="E522" s="75"/>
      <c r="F522" s="75"/>
      <c r="G522" s="75"/>
      <c r="H522" s="75"/>
      <c r="I522" s="2"/>
      <c r="J522" s="83"/>
      <c r="K522" s="83"/>
      <c r="L522" s="83"/>
      <c r="M522" s="83"/>
      <c r="N522" s="83"/>
      <c r="O522" s="2"/>
      <c r="P522" s="75" t="n">
        <v>519</v>
      </c>
      <c r="Q522" s="146" t="n">
        <v>11595.484328811</v>
      </c>
      <c r="R522" s="146" t="n">
        <v>0.275080052443842</v>
      </c>
      <c r="S522" s="146" t="n">
        <v>0.11780532008522</v>
      </c>
      <c r="T522" s="146" t="n">
        <v>0.0350489745773146</v>
      </c>
      <c r="U522" s="29"/>
      <c r="V522" s="29"/>
      <c r="W522" s="29"/>
      <c r="X522" s="29"/>
      <c r="Y522" s="29"/>
      <c r="Z522" s="75"/>
    </row>
    <row r="523" customFormat="false" ht="12.75" hidden="false" customHeight="true" outlineLevel="0" collapsed="false">
      <c r="A523" s="2"/>
      <c r="B523" s="2"/>
      <c r="C523" s="75"/>
      <c r="D523" s="75"/>
      <c r="E523" s="75"/>
      <c r="F523" s="75"/>
      <c r="G523" s="75"/>
      <c r="H523" s="75"/>
      <c r="I523" s="2"/>
      <c r="J523" s="83"/>
      <c r="K523" s="83"/>
      <c r="L523" s="83"/>
      <c r="M523" s="83"/>
      <c r="N523" s="83"/>
      <c r="O523" s="2"/>
      <c r="P523" s="75" t="n">
        <v>520</v>
      </c>
      <c r="Q523" s="146" t="n">
        <v>11617.972645699</v>
      </c>
      <c r="R523" s="146" t="n">
        <v>0.276046931971451</v>
      </c>
      <c r="S523" s="146" t="n">
        <v>0.117804808242686</v>
      </c>
      <c r="T523" s="146" t="n">
        <v>0.0341230941574977</v>
      </c>
      <c r="U523" s="29"/>
      <c r="V523" s="29"/>
      <c r="W523" s="29"/>
      <c r="X523" s="29"/>
      <c r="Y523" s="29"/>
      <c r="Z523" s="75"/>
    </row>
    <row r="524" customFormat="false" ht="12.75" hidden="false" customHeight="true" outlineLevel="0" collapsed="false">
      <c r="A524" s="2"/>
      <c r="B524" s="2"/>
      <c r="C524" s="75"/>
      <c r="D524" s="75"/>
      <c r="E524" s="75"/>
      <c r="F524" s="75"/>
      <c r="G524" s="75"/>
      <c r="H524" s="75"/>
      <c r="I524" s="2"/>
      <c r="J524" s="83"/>
      <c r="K524" s="83"/>
      <c r="L524" s="83"/>
      <c r="M524" s="83"/>
      <c r="N524" s="83"/>
      <c r="O524" s="2"/>
      <c r="P524" s="75" t="n">
        <v>521</v>
      </c>
      <c r="Q524" s="146" t="n">
        <v>11640.939027579</v>
      </c>
      <c r="R524" s="146" t="n">
        <v>0.276637879436933</v>
      </c>
      <c r="S524" s="146" t="n">
        <v>0.115735573956912</v>
      </c>
      <c r="T524" s="146" t="n">
        <v>0.0356294117357136</v>
      </c>
      <c r="U524" s="29"/>
      <c r="V524" s="29"/>
      <c r="W524" s="29"/>
      <c r="X524" s="29"/>
      <c r="Y524" s="29"/>
      <c r="Z524" s="75"/>
    </row>
    <row r="525" customFormat="false" ht="12.75" hidden="false" customHeight="true" outlineLevel="0" collapsed="false">
      <c r="A525" s="2"/>
      <c r="B525" s="2"/>
      <c r="C525" s="75"/>
      <c r="D525" s="75"/>
      <c r="E525" s="75"/>
      <c r="F525" s="75"/>
      <c r="G525" s="75"/>
      <c r="H525" s="75"/>
      <c r="I525" s="2"/>
      <c r="J525" s="83"/>
      <c r="K525" s="83"/>
      <c r="L525" s="83"/>
      <c r="M525" s="83"/>
      <c r="N525" s="83"/>
      <c r="O525" s="2"/>
      <c r="P525" s="75" t="n">
        <v>522</v>
      </c>
      <c r="Q525" s="146" t="n">
        <v>11663.827652698</v>
      </c>
      <c r="R525" s="146" t="n">
        <v>0.277178793510435</v>
      </c>
      <c r="S525" s="146" t="n">
        <v>0.112311509526998</v>
      </c>
      <c r="T525" s="146" t="n">
        <v>0.0364199962962814</v>
      </c>
      <c r="U525" s="29"/>
      <c r="V525" s="29"/>
      <c r="W525" s="29"/>
      <c r="X525" s="29"/>
      <c r="Y525" s="29"/>
      <c r="Z525" s="75"/>
    </row>
    <row r="526" customFormat="false" ht="12.75" hidden="false" customHeight="true" outlineLevel="0" collapsed="false">
      <c r="A526" s="2"/>
      <c r="B526" s="2"/>
      <c r="C526" s="75"/>
      <c r="D526" s="75"/>
      <c r="E526" s="75"/>
      <c r="F526" s="75"/>
      <c r="G526" s="75"/>
      <c r="H526" s="75"/>
      <c r="I526" s="2"/>
      <c r="J526" s="83"/>
      <c r="K526" s="83"/>
      <c r="L526" s="83"/>
      <c r="M526" s="83"/>
      <c r="N526" s="83"/>
      <c r="O526" s="2"/>
      <c r="P526" s="75" t="n">
        <v>523</v>
      </c>
      <c r="Q526" s="146" t="n">
        <v>11686.487428945</v>
      </c>
      <c r="R526" s="146" t="n">
        <v>0.277418410525818</v>
      </c>
      <c r="S526" s="146" t="n">
        <v>0.109117752291658</v>
      </c>
      <c r="T526" s="146" t="n">
        <v>0.037892892951264</v>
      </c>
      <c r="U526" s="29"/>
      <c r="V526" s="29"/>
      <c r="W526" s="29"/>
      <c r="X526" s="29"/>
      <c r="Y526" s="29"/>
      <c r="Z526" s="75"/>
    </row>
    <row r="527" customFormat="false" ht="12.75" hidden="false" customHeight="true" outlineLevel="0" collapsed="false">
      <c r="A527" s="2"/>
      <c r="B527" s="2"/>
      <c r="C527" s="75"/>
      <c r="D527" s="75"/>
      <c r="E527" s="75"/>
      <c r="F527" s="75"/>
      <c r="G527" s="75"/>
      <c r="H527" s="75"/>
      <c r="I527" s="2"/>
      <c r="J527" s="83"/>
      <c r="K527" s="83"/>
      <c r="L527" s="83"/>
      <c r="M527" s="83"/>
      <c r="N527" s="83"/>
      <c r="O527" s="2"/>
      <c r="P527" s="75" t="n">
        <v>524</v>
      </c>
      <c r="Q527" s="146" t="n">
        <v>11709.553680498</v>
      </c>
      <c r="R527" s="146" t="n">
        <v>0.277304256322634</v>
      </c>
      <c r="S527" s="146" t="n">
        <v>0.105511727743848</v>
      </c>
      <c r="T527" s="146" t="n">
        <v>0.0396199099867652</v>
      </c>
      <c r="U527" s="29"/>
      <c r="V527" s="29"/>
      <c r="W527" s="29"/>
      <c r="X527" s="29"/>
      <c r="Y527" s="29"/>
      <c r="Z527" s="75"/>
    </row>
    <row r="528" customFormat="false" ht="12.75" hidden="false" customHeight="true" outlineLevel="0" collapsed="false">
      <c r="A528" s="2"/>
      <c r="B528" s="2"/>
      <c r="C528" s="75"/>
      <c r="D528" s="75"/>
      <c r="E528" s="75"/>
      <c r="F528" s="75"/>
      <c r="G528" s="75"/>
      <c r="H528" s="75"/>
      <c r="I528" s="2"/>
      <c r="J528" s="83"/>
      <c r="K528" s="83"/>
      <c r="L528" s="83"/>
      <c r="M528" s="83"/>
      <c r="N528" s="83"/>
      <c r="O528" s="2"/>
      <c r="P528" s="75" t="n">
        <v>525</v>
      </c>
      <c r="Q528" s="146" t="n">
        <v>11731.913127269</v>
      </c>
      <c r="R528" s="146" t="n">
        <v>0.276936416232368</v>
      </c>
      <c r="S528" s="146" t="n">
        <v>0.102823865482182</v>
      </c>
      <c r="T528" s="146" t="n">
        <v>0.0410552886628124</v>
      </c>
      <c r="U528" s="29"/>
      <c r="V528" s="29"/>
      <c r="W528" s="29"/>
      <c r="X528" s="29"/>
      <c r="Y528" s="29"/>
      <c r="Z528" s="75"/>
    </row>
    <row r="529" customFormat="false" ht="12.75" hidden="false" customHeight="true" outlineLevel="0" collapsed="false">
      <c r="A529" s="2"/>
      <c r="B529" s="2"/>
      <c r="C529" s="75"/>
      <c r="D529" s="75"/>
      <c r="E529" s="75"/>
      <c r="F529" s="75"/>
      <c r="G529" s="75"/>
      <c r="H529" s="75"/>
      <c r="I529" s="2"/>
      <c r="J529" s="83"/>
      <c r="K529" s="83"/>
      <c r="L529" s="83"/>
      <c r="M529" s="83"/>
      <c r="N529" s="83"/>
      <c r="O529" s="2"/>
      <c r="P529" s="75" t="n">
        <v>526</v>
      </c>
      <c r="Q529" s="146" t="n">
        <v>11754.674052444</v>
      </c>
      <c r="R529" s="146" t="n">
        <v>0.276384115218637</v>
      </c>
      <c r="S529" s="146" t="n">
        <v>0.100047603785669</v>
      </c>
      <c r="T529" s="146" t="n">
        <v>0.0429009059202687</v>
      </c>
      <c r="U529" s="29"/>
      <c r="V529" s="29"/>
      <c r="W529" s="29"/>
      <c r="X529" s="29"/>
      <c r="Y529" s="29"/>
      <c r="Z529" s="75"/>
    </row>
    <row r="530" customFormat="false" ht="12.75" hidden="false" customHeight="true" outlineLevel="0" collapsed="false">
      <c r="A530" s="2"/>
      <c r="B530" s="2"/>
      <c r="C530" s="75"/>
      <c r="D530" s="75"/>
      <c r="E530" s="75"/>
      <c r="F530" s="75"/>
      <c r="G530" s="75"/>
      <c r="H530" s="75"/>
      <c r="I530" s="2"/>
      <c r="J530" s="83"/>
      <c r="K530" s="83"/>
      <c r="L530" s="83"/>
      <c r="M530" s="83"/>
      <c r="N530" s="83"/>
      <c r="O530" s="2"/>
      <c r="P530" s="75" t="n">
        <v>527</v>
      </c>
      <c r="Q530" s="146" t="n">
        <v>11777.346135053</v>
      </c>
      <c r="R530" s="146" t="n">
        <v>0.275637023855789</v>
      </c>
      <c r="S530" s="146" t="n">
        <v>0.0976254034386237</v>
      </c>
      <c r="T530" s="146" t="n">
        <v>0.0443550962855834</v>
      </c>
      <c r="U530" s="29"/>
      <c r="V530" s="29"/>
      <c r="W530" s="29"/>
      <c r="X530" s="29"/>
      <c r="Y530" s="29"/>
      <c r="Z530" s="75"/>
    </row>
    <row r="531" customFormat="false" ht="12.75" hidden="false" customHeight="true" outlineLevel="0" collapsed="false">
      <c r="A531" s="2"/>
      <c r="B531" s="2"/>
      <c r="C531" s="75"/>
      <c r="D531" s="75"/>
      <c r="E531" s="75"/>
      <c r="F531" s="75"/>
      <c r="G531" s="75"/>
      <c r="H531" s="75"/>
      <c r="I531" s="2"/>
      <c r="J531" s="83"/>
      <c r="K531" s="83"/>
      <c r="L531" s="83"/>
      <c r="M531" s="83"/>
      <c r="N531" s="83"/>
      <c r="O531" s="2"/>
      <c r="P531" s="75" t="n">
        <v>528</v>
      </c>
      <c r="Q531" s="146" t="n">
        <v>11800.117733736</v>
      </c>
      <c r="R531" s="146" t="n">
        <v>0.275057195802778</v>
      </c>
      <c r="S531" s="146" t="n">
        <v>0.0962903704506713</v>
      </c>
      <c r="T531" s="146" t="n">
        <v>0.0454463567414879</v>
      </c>
      <c r="U531" s="29"/>
      <c r="V531" s="29"/>
      <c r="W531" s="29"/>
      <c r="X531" s="29"/>
      <c r="Y531" s="29"/>
      <c r="Z531" s="75"/>
    </row>
    <row r="532" customFormat="false" ht="12.75" hidden="false" customHeight="true" outlineLevel="0" collapsed="false">
      <c r="A532" s="2"/>
      <c r="B532" s="2"/>
      <c r="C532" s="75"/>
      <c r="D532" s="75"/>
      <c r="E532" s="75"/>
      <c r="F532" s="75"/>
      <c r="G532" s="75"/>
      <c r="H532" s="75"/>
      <c r="I532" s="2"/>
      <c r="J532" s="83"/>
      <c r="K532" s="83"/>
      <c r="L532" s="83"/>
      <c r="M532" s="83"/>
      <c r="N532" s="83"/>
      <c r="O532" s="2"/>
      <c r="P532" s="75" t="n">
        <v>529</v>
      </c>
      <c r="Q532" s="146" t="n">
        <v>11822.627336231</v>
      </c>
      <c r="R532" s="146" t="n">
        <v>0.274591766517572</v>
      </c>
      <c r="S532" s="146" t="n">
        <v>0.0965601635078892</v>
      </c>
      <c r="T532" s="146" t="n">
        <v>0.0465438425660007</v>
      </c>
      <c r="U532" s="29"/>
      <c r="V532" s="29"/>
      <c r="W532" s="29"/>
      <c r="X532" s="29"/>
      <c r="Y532" s="29"/>
      <c r="Z532" s="75"/>
    </row>
    <row r="533" customFormat="false" ht="12.75" hidden="false" customHeight="true" outlineLevel="0" collapsed="false">
      <c r="A533" s="2"/>
      <c r="B533" s="2"/>
      <c r="C533" s="75"/>
      <c r="D533" s="75"/>
      <c r="E533" s="75"/>
      <c r="F533" s="75"/>
      <c r="G533" s="75"/>
      <c r="H533" s="75"/>
      <c r="I533" s="2"/>
      <c r="J533" s="83"/>
      <c r="K533" s="83"/>
      <c r="L533" s="83"/>
      <c r="M533" s="83"/>
      <c r="N533" s="83"/>
      <c r="O533" s="2"/>
      <c r="P533" s="75" t="n">
        <v>530</v>
      </c>
      <c r="Q533" s="146" t="n">
        <v>11845.792259852</v>
      </c>
      <c r="R533" s="146" t="n">
        <v>0.274511178477151</v>
      </c>
      <c r="S533" s="146" t="n">
        <v>0.0982517957809756</v>
      </c>
      <c r="T533" s="146" t="n">
        <v>0.0472220262342927</v>
      </c>
      <c r="U533" s="29"/>
      <c r="V533" s="29"/>
      <c r="W533" s="29"/>
      <c r="X533" s="29"/>
      <c r="Y533" s="29"/>
      <c r="Z533" s="75"/>
    </row>
    <row r="534" customFormat="false" ht="12.75" hidden="false" customHeight="true" outlineLevel="0" collapsed="false">
      <c r="A534" s="2"/>
      <c r="B534" s="2"/>
      <c r="C534" s="75"/>
      <c r="D534" s="75"/>
      <c r="E534" s="75"/>
      <c r="F534" s="75"/>
      <c r="G534" s="75"/>
      <c r="H534" s="75"/>
      <c r="I534" s="2"/>
      <c r="J534" s="83"/>
      <c r="K534" s="83"/>
      <c r="L534" s="83"/>
      <c r="M534" s="83"/>
      <c r="N534" s="83"/>
      <c r="O534" s="2"/>
      <c r="P534" s="75" t="n">
        <v>531</v>
      </c>
      <c r="Q534" s="146" t="n">
        <v>11868.724186208</v>
      </c>
      <c r="R534" s="146" t="n">
        <v>0.274319572202645</v>
      </c>
      <c r="S534" s="146" t="n">
        <v>0.100296625937336</v>
      </c>
      <c r="T534" s="146" t="n">
        <v>0.048058333215131</v>
      </c>
      <c r="U534" s="29"/>
      <c r="V534" s="29"/>
      <c r="W534" s="29"/>
      <c r="X534" s="29"/>
      <c r="Y534" s="29"/>
      <c r="Z534" s="75"/>
    </row>
    <row r="535" customFormat="false" ht="12.75" hidden="false" customHeight="true" outlineLevel="0" collapsed="false">
      <c r="A535" s="2"/>
      <c r="B535" s="2"/>
      <c r="C535" s="75"/>
      <c r="D535" s="75"/>
      <c r="E535" s="75"/>
      <c r="F535" s="75"/>
      <c r="G535" s="75"/>
      <c r="H535" s="75"/>
      <c r="I535" s="2"/>
      <c r="J535" s="83"/>
      <c r="K535" s="83"/>
      <c r="L535" s="83"/>
      <c r="M535" s="83"/>
      <c r="N535" s="83"/>
      <c r="O535" s="2"/>
      <c r="P535" s="75" t="n">
        <v>532</v>
      </c>
      <c r="Q535" s="146" t="n">
        <v>11891.359973601</v>
      </c>
      <c r="R535" s="146" t="n">
        <v>0.274552097445375</v>
      </c>
      <c r="S535" s="146" t="n">
        <v>0.102338015363513</v>
      </c>
      <c r="T535" s="146" t="n">
        <v>0.0485296036413627</v>
      </c>
      <c r="U535" s="29"/>
      <c r="V535" s="29"/>
      <c r="W535" s="29"/>
      <c r="X535" s="29"/>
      <c r="Y535" s="29"/>
      <c r="Z535" s="75"/>
    </row>
    <row r="536" customFormat="false" ht="12.75" hidden="false" customHeight="true" outlineLevel="0" collapsed="false">
      <c r="A536" s="2"/>
      <c r="B536" s="2"/>
      <c r="C536" s="75"/>
      <c r="D536" s="75"/>
      <c r="E536" s="75"/>
      <c r="F536" s="75"/>
      <c r="G536" s="75"/>
      <c r="H536" s="75"/>
      <c r="I536" s="2"/>
      <c r="J536" s="83"/>
      <c r="K536" s="83"/>
      <c r="L536" s="83"/>
      <c r="M536" s="83"/>
      <c r="N536" s="83"/>
      <c r="O536" s="2"/>
      <c r="P536" s="75" t="n">
        <v>533</v>
      </c>
      <c r="Q536" s="146" t="n">
        <v>11913.935103605</v>
      </c>
      <c r="R536" s="146" t="n">
        <v>0.274497796587179</v>
      </c>
      <c r="S536" s="146" t="n">
        <v>0.103245053266236</v>
      </c>
      <c r="T536" s="146" t="n">
        <v>0.0484862143717776</v>
      </c>
      <c r="U536" s="29"/>
      <c r="V536" s="29"/>
      <c r="W536" s="29"/>
      <c r="X536" s="29"/>
      <c r="Y536" s="29"/>
      <c r="Z536" s="75"/>
    </row>
    <row r="537" customFormat="false" ht="12.75" hidden="false" customHeight="true" outlineLevel="0" collapsed="false">
      <c r="A537" s="2"/>
      <c r="B537" s="2"/>
      <c r="C537" s="75"/>
      <c r="D537" s="75"/>
      <c r="E537" s="75"/>
      <c r="F537" s="75"/>
      <c r="G537" s="75"/>
      <c r="H537" s="75"/>
      <c r="I537" s="2"/>
      <c r="J537" s="83"/>
      <c r="K537" s="83"/>
      <c r="L537" s="83"/>
      <c r="M537" s="83"/>
      <c r="N537" s="83"/>
      <c r="O537" s="2"/>
      <c r="P537" s="75" t="n">
        <v>534</v>
      </c>
      <c r="Q537" s="146" t="n">
        <v>11936.744357509</v>
      </c>
      <c r="R537" s="146" t="n">
        <v>0.274454933899641</v>
      </c>
      <c r="S537" s="146" t="n">
        <v>0.10271601147836</v>
      </c>
      <c r="T537" s="146" t="n">
        <v>0.0481398340082162</v>
      </c>
      <c r="U537" s="29"/>
      <c r="V537" s="29"/>
      <c r="W537" s="29"/>
      <c r="X537" s="29"/>
      <c r="Y537" s="29"/>
      <c r="Z537" s="75"/>
    </row>
    <row r="538" customFormat="false" ht="12.75" hidden="false" customHeight="true" outlineLevel="0" collapsed="false">
      <c r="A538" s="2"/>
      <c r="B538" s="2"/>
      <c r="C538" s="75"/>
      <c r="D538" s="75"/>
      <c r="E538" s="75"/>
      <c r="F538" s="75"/>
      <c r="G538" s="75"/>
      <c r="H538" s="75"/>
      <c r="I538" s="2"/>
      <c r="J538" s="83"/>
      <c r="K538" s="83"/>
      <c r="L538" s="83"/>
      <c r="M538" s="83"/>
      <c r="N538" s="83"/>
      <c r="O538" s="2"/>
      <c r="P538" s="75" t="n">
        <v>535</v>
      </c>
      <c r="Q538" s="146" t="n">
        <v>11959.766754816</v>
      </c>
      <c r="R538" s="146" t="n">
        <v>0.274137840650946</v>
      </c>
      <c r="S538" s="146" t="n">
        <v>0.100995774422487</v>
      </c>
      <c r="T538" s="146" t="n">
        <v>0.0473531209894828</v>
      </c>
      <c r="U538" s="29"/>
      <c r="V538" s="29"/>
      <c r="W538" s="29"/>
      <c r="X538" s="29"/>
      <c r="Y538" s="29"/>
      <c r="Z538" s="75"/>
    </row>
    <row r="539" customFormat="false" ht="12.75" hidden="false" customHeight="true" outlineLevel="0" collapsed="false">
      <c r="A539" s="2"/>
      <c r="B539" s="2"/>
      <c r="C539" s="75"/>
      <c r="D539" s="75"/>
      <c r="E539" s="75"/>
      <c r="F539" s="75"/>
      <c r="G539" s="75"/>
      <c r="H539" s="75"/>
      <c r="I539" s="2"/>
      <c r="J539" s="83"/>
      <c r="K539" s="83"/>
      <c r="L539" s="83"/>
      <c r="M539" s="83"/>
      <c r="N539" s="83"/>
      <c r="O539" s="2"/>
      <c r="P539" s="75" t="n">
        <v>536</v>
      </c>
      <c r="Q539" s="146" t="n">
        <v>11981.891635558</v>
      </c>
      <c r="R539" s="146" t="n">
        <v>0.27356876600118</v>
      </c>
      <c r="S539" s="146" t="n">
        <v>0.0986178622896922</v>
      </c>
      <c r="T539" s="146" t="n">
        <v>0.0461470068337335</v>
      </c>
      <c r="U539" s="29"/>
      <c r="V539" s="29"/>
      <c r="W539" s="29"/>
      <c r="X539" s="29"/>
      <c r="Y539" s="29"/>
      <c r="Z539" s="75"/>
    </row>
    <row r="540" customFormat="false" ht="12.75" hidden="false" customHeight="true" outlineLevel="0" collapsed="false">
      <c r="A540" s="2"/>
      <c r="B540" s="2"/>
      <c r="C540" s="75"/>
      <c r="D540" s="75"/>
      <c r="E540" s="75"/>
      <c r="F540" s="75"/>
      <c r="G540" s="75"/>
      <c r="H540" s="75"/>
      <c r="I540" s="2"/>
      <c r="J540" s="83"/>
      <c r="K540" s="83"/>
      <c r="L540" s="83"/>
      <c r="M540" s="83"/>
      <c r="N540" s="83"/>
      <c r="O540" s="2"/>
      <c r="P540" s="75" t="n">
        <v>537</v>
      </c>
      <c r="Q540" s="146" t="n">
        <v>12004.290996491</v>
      </c>
      <c r="R540" s="146" t="n">
        <v>0.27248756763479</v>
      </c>
      <c r="S540" s="146" t="n">
        <v>0.0953625877529837</v>
      </c>
      <c r="T540" s="146" t="n">
        <v>0.0446372369980131</v>
      </c>
      <c r="U540" s="29"/>
      <c r="V540" s="29"/>
      <c r="W540" s="29"/>
      <c r="X540" s="29"/>
      <c r="Y540" s="29"/>
      <c r="Z540" s="75"/>
    </row>
    <row r="541" customFormat="false" ht="12.75" hidden="false" customHeight="true" outlineLevel="0" collapsed="false">
      <c r="A541" s="2"/>
      <c r="B541" s="2"/>
      <c r="C541" s="75"/>
      <c r="D541" s="75"/>
      <c r="E541" s="75"/>
      <c r="F541" s="75"/>
      <c r="G541" s="75"/>
      <c r="H541" s="75"/>
      <c r="I541" s="2"/>
      <c r="J541" s="83"/>
      <c r="K541" s="83"/>
      <c r="L541" s="83"/>
      <c r="M541" s="83"/>
      <c r="N541" s="83"/>
      <c r="O541" s="2"/>
      <c r="P541" s="75" t="n">
        <v>538</v>
      </c>
      <c r="Q541" s="146" t="n">
        <v>12026.912433062</v>
      </c>
      <c r="R541" s="146" t="n">
        <v>0.271629712494762</v>
      </c>
      <c r="S541" s="146" t="n">
        <v>0.0890687022174729</v>
      </c>
      <c r="T541" s="146" t="n">
        <v>0.0441644352036646</v>
      </c>
      <c r="U541" s="29"/>
      <c r="V541" s="29"/>
      <c r="W541" s="29"/>
      <c r="X541" s="29"/>
      <c r="Y541" s="29"/>
      <c r="Z541" s="75"/>
    </row>
    <row r="542" customFormat="false" ht="12.75" hidden="false" customHeight="true" outlineLevel="0" collapsed="false">
      <c r="A542" s="2"/>
      <c r="B542" s="2"/>
      <c r="C542" s="75"/>
      <c r="D542" s="75"/>
      <c r="E542" s="75"/>
      <c r="F542" s="75"/>
      <c r="G542" s="75"/>
      <c r="H542" s="75"/>
      <c r="I542" s="2"/>
      <c r="J542" s="83"/>
      <c r="K542" s="83"/>
      <c r="L542" s="83"/>
      <c r="M542" s="83"/>
      <c r="N542" s="83"/>
      <c r="O542" s="2"/>
      <c r="P542" s="75" t="n">
        <v>539</v>
      </c>
      <c r="Q542" s="146" t="n">
        <v>12049.363432479</v>
      </c>
      <c r="R542" s="146" t="n">
        <v>0.27031025875744</v>
      </c>
      <c r="S542" s="146" t="n">
        <v>0.0861542486530692</v>
      </c>
      <c r="T542" s="146" t="n">
        <v>0.0429797241352469</v>
      </c>
      <c r="U542" s="29"/>
      <c r="V542" s="29"/>
      <c r="W542" s="29"/>
      <c r="X542" s="29"/>
      <c r="Y542" s="29"/>
      <c r="Z542" s="75"/>
    </row>
    <row r="543" customFormat="false" ht="12.75" hidden="false" customHeight="true" outlineLevel="0" collapsed="false">
      <c r="A543" s="2"/>
      <c r="B543" s="2"/>
      <c r="C543" s="75"/>
      <c r="D543" s="75"/>
      <c r="E543" s="75"/>
      <c r="F543" s="75"/>
      <c r="G543" s="75"/>
      <c r="H543" s="75"/>
      <c r="I543" s="2"/>
      <c r="J543" s="83"/>
      <c r="K543" s="83"/>
      <c r="L543" s="83"/>
      <c r="M543" s="83"/>
      <c r="N543" s="83"/>
      <c r="O543" s="2"/>
      <c r="P543" s="75" t="n">
        <v>540</v>
      </c>
      <c r="Q543" s="146" t="n">
        <v>12071.999189942</v>
      </c>
      <c r="R543" s="146" t="n">
        <v>0.268854482917373</v>
      </c>
      <c r="S543" s="146" t="n">
        <v>0.0847971332233647</v>
      </c>
      <c r="T543" s="146" t="n">
        <v>0.0429050315802257</v>
      </c>
      <c r="U543" s="29"/>
      <c r="V543" s="29"/>
      <c r="W543" s="29"/>
      <c r="X543" s="29"/>
      <c r="Y543" s="29"/>
      <c r="Z543" s="75"/>
    </row>
    <row r="544" customFormat="false" ht="12.75" hidden="false" customHeight="true" outlineLevel="0" collapsed="false">
      <c r="A544" s="2"/>
      <c r="B544" s="2"/>
      <c r="C544" s="75"/>
      <c r="D544" s="75"/>
      <c r="E544" s="75"/>
      <c r="F544" s="75"/>
      <c r="G544" s="75"/>
      <c r="H544" s="75"/>
      <c r="I544" s="2"/>
      <c r="J544" s="83"/>
      <c r="K544" s="83"/>
      <c r="L544" s="83"/>
      <c r="M544" s="83"/>
      <c r="N544" s="83"/>
      <c r="O544" s="2"/>
      <c r="P544" s="75" t="n">
        <v>541</v>
      </c>
      <c r="Q544" s="146" t="n">
        <v>12094.660760063</v>
      </c>
      <c r="R544" s="146" t="n">
        <v>0.267363482486868</v>
      </c>
      <c r="S544" s="146" t="n">
        <v>0.086291991993888</v>
      </c>
      <c r="T544" s="146" t="n">
        <v>0.0425503770945862</v>
      </c>
      <c r="U544" s="29"/>
      <c r="V544" s="29"/>
      <c r="W544" s="29"/>
      <c r="X544" s="29"/>
      <c r="Y544" s="29"/>
      <c r="Z544" s="75"/>
    </row>
    <row r="545" customFormat="false" ht="12.75" hidden="false" customHeight="true" outlineLevel="0" collapsed="false">
      <c r="A545" s="2"/>
      <c r="B545" s="2"/>
      <c r="C545" s="75"/>
      <c r="D545" s="75"/>
      <c r="E545" s="75"/>
      <c r="F545" s="75"/>
      <c r="G545" s="75"/>
      <c r="H545" s="75"/>
      <c r="I545" s="2"/>
      <c r="J545" s="83"/>
      <c r="K545" s="83"/>
      <c r="L545" s="83"/>
      <c r="M545" s="83"/>
      <c r="N545" s="83"/>
      <c r="O545" s="2"/>
      <c r="P545" s="75" t="n">
        <v>542</v>
      </c>
      <c r="Q545" s="146" t="n">
        <v>12117.528289005</v>
      </c>
      <c r="R545" s="146" t="n">
        <v>0.266170917733898</v>
      </c>
      <c r="S545" s="146" t="n">
        <v>0.0890201757330097</v>
      </c>
      <c r="T545" s="146" t="n">
        <v>0.0420522331243626</v>
      </c>
      <c r="U545" s="29"/>
      <c r="V545" s="29"/>
      <c r="W545" s="29"/>
      <c r="X545" s="29"/>
      <c r="Y545" s="29"/>
      <c r="Z545" s="75"/>
    </row>
    <row r="546" customFormat="false" ht="12.75" hidden="false" customHeight="true" outlineLevel="0" collapsed="false">
      <c r="A546" s="2"/>
      <c r="B546" s="2"/>
      <c r="C546" s="75"/>
      <c r="D546" s="75"/>
      <c r="E546" s="75"/>
      <c r="F546" s="75"/>
      <c r="G546" s="75"/>
      <c r="H546" s="75"/>
      <c r="I546" s="2"/>
      <c r="J546" s="83"/>
      <c r="K546" s="83"/>
      <c r="L546" s="83"/>
      <c r="M546" s="83"/>
      <c r="N546" s="83"/>
      <c r="O546" s="2"/>
      <c r="P546" s="75" t="n">
        <v>543</v>
      </c>
      <c r="Q546" s="146" t="n">
        <v>12140.221307481</v>
      </c>
      <c r="R546" s="146" t="n">
        <v>0.26517733681857</v>
      </c>
      <c r="S546" s="146" t="n">
        <v>0.0932631343374073</v>
      </c>
      <c r="T546" s="146" t="n">
        <v>0.0410914291989316</v>
      </c>
      <c r="U546" s="29"/>
      <c r="V546" s="29"/>
      <c r="W546" s="29"/>
      <c r="X546" s="29"/>
      <c r="Y546" s="29"/>
      <c r="Z546" s="75"/>
    </row>
    <row r="547" customFormat="false" ht="12.75" hidden="false" customHeight="true" outlineLevel="0" collapsed="false">
      <c r="A547" s="2"/>
      <c r="B547" s="2"/>
      <c r="C547" s="75"/>
      <c r="D547" s="75"/>
      <c r="E547" s="75"/>
      <c r="F547" s="75"/>
      <c r="G547" s="75"/>
      <c r="H547" s="75"/>
      <c r="I547" s="2"/>
      <c r="J547" s="83"/>
      <c r="K547" s="83"/>
      <c r="L547" s="83"/>
      <c r="M547" s="83"/>
      <c r="N547" s="83"/>
      <c r="O547" s="2"/>
      <c r="P547" s="75" t="n">
        <v>544</v>
      </c>
      <c r="Q547" s="146" t="n">
        <v>12163.158273097</v>
      </c>
      <c r="R547" s="146" t="n">
        <v>0.264373174610924</v>
      </c>
      <c r="S547" s="146" t="n">
        <v>0.0978208078368381</v>
      </c>
      <c r="T547" s="146" t="n">
        <v>0.0394512598404012</v>
      </c>
      <c r="U547" s="29"/>
      <c r="V547" s="29"/>
      <c r="W547" s="29"/>
      <c r="X547" s="29"/>
      <c r="Y547" s="29"/>
      <c r="Z547" s="75"/>
    </row>
    <row r="548" customFormat="false" ht="12.75" hidden="false" customHeight="true" outlineLevel="0" collapsed="false">
      <c r="A548" s="2"/>
      <c r="B548" s="2"/>
      <c r="C548" s="75"/>
      <c r="D548" s="75"/>
      <c r="E548" s="75"/>
      <c r="F548" s="75"/>
      <c r="G548" s="75"/>
      <c r="H548" s="75"/>
      <c r="I548" s="2"/>
      <c r="J548" s="83"/>
      <c r="K548" s="83"/>
      <c r="L548" s="83"/>
      <c r="M548" s="83"/>
      <c r="N548" s="83"/>
      <c r="O548" s="2"/>
      <c r="P548" s="75" t="n">
        <v>545</v>
      </c>
      <c r="Q548" s="146" t="n">
        <v>12185.47437581</v>
      </c>
      <c r="R548" s="146" t="n">
        <v>0.264064031062012</v>
      </c>
      <c r="S548" s="146" t="n">
        <v>0.0996580881372949</v>
      </c>
      <c r="T548" s="146" t="n">
        <v>0.0376959685864117</v>
      </c>
      <c r="U548" s="29"/>
      <c r="V548" s="29"/>
      <c r="W548" s="29"/>
      <c r="X548" s="29"/>
      <c r="Y548" s="29"/>
      <c r="Z548" s="75"/>
    </row>
    <row r="549" customFormat="false" ht="12.75" hidden="false" customHeight="true" outlineLevel="0" collapsed="false">
      <c r="A549" s="2"/>
      <c r="B549" s="2"/>
      <c r="C549" s="75"/>
      <c r="D549" s="75"/>
      <c r="E549" s="75"/>
      <c r="F549" s="75"/>
      <c r="G549" s="75"/>
      <c r="H549" s="75"/>
      <c r="I549" s="2"/>
      <c r="J549" s="83"/>
      <c r="K549" s="83"/>
      <c r="L549" s="83"/>
      <c r="M549" s="83"/>
      <c r="N549" s="83"/>
      <c r="O549" s="2"/>
      <c r="P549" s="75" t="n">
        <v>546</v>
      </c>
      <c r="Q549" s="146" t="n">
        <v>12208.412742701</v>
      </c>
      <c r="R549" s="146" t="n">
        <v>0.264034870613504</v>
      </c>
      <c r="S549" s="146" t="n">
        <v>0.106367100826427</v>
      </c>
      <c r="T549" s="146" t="n">
        <v>0.0378072663472926</v>
      </c>
      <c r="U549" s="29"/>
      <c r="V549" s="29"/>
      <c r="W549" s="29"/>
      <c r="X549" s="29"/>
      <c r="Y549" s="29"/>
      <c r="Z549" s="75"/>
    </row>
    <row r="550" customFormat="false" ht="12.75" hidden="false" customHeight="true" outlineLevel="0" collapsed="false">
      <c r="A550" s="2"/>
      <c r="B550" s="2"/>
      <c r="C550" s="75"/>
      <c r="D550" s="75"/>
      <c r="E550" s="75"/>
      <c r="F550" s="75"/>
      <c r="G550" s="75"/>
      <c r="H550" s="75"/>
      <c r="I550" s="2"/>
      <c r="J550" s="83"/>
      <c r="K550" s="83"/>
      <c r="L550" s="83"/>
      <c r="M550" s="83"/>
      <c r="N550" s="83"/>
      <c r="O550" s="2"/>
      <c r="P550" s="75" t="n">
        <v>547</v>
      </c>
      <c r="Q550" s="146" t="n">
        <v>12230.517779592</v>
      </c>
      <c r="R550" s="146" t="n">
        <v>0.264206471774695</v>
      </c>
      <c r="S550" s="146" t="n">
        <v>0.106921142284557</v>
      </c>
      <c r="T550" s="146" t="n">
        <v>0.036862975547412</v>
      </c>
      <c r="U550" s="29"/>
      <c r="V550" s="29"/>
      <c r="W550" s="29"/>
      <c r="X550" s="29"/>
      <c r="Y550" s="29"/>
      <c r="Z550" s="75"/>
    </row>
    <row r="551" customFormat="false" ht="12.75" hidden="false" customHeight="true" outlineLevel="0" collapsed="false">
      <c r="A551" s="2"/>
      <c r="B551" s="2"/>
      <c r="C551" s="75"/>
      <c r="D551" s="75"/>
      <c r="E551" s="75"/>
      <c r="F551" s="75"/>
      <c r="G551" s="75"/>
      <c r="H551" s="75"/>
      <c r="I551" s="2"/>
      <c r="J551" s="83"/>
      <c r="K551" s="83"/>
      <c r="L551" s="83"/>
      <c r="M551" s="83"/>
      <c r="N551" s="83"/>
      <c r="O551" s="2"/>
      <c r="P551" s="75" t="n">
        <v>548</v>
      </c>
      <c r="Q551" s="146" t="n">
        <v>12253.306558821</v>
      </c>
      <c r="R551" s="146" t="n">
        <v>0.265065168171602</v>
      </c>
      <c r="S551" s="146" t="n">
        <v>0.107681655726453</v>
      </c>
      <c r="T551" s="146" t="n">
        <v>0.0363010462601267</v>
      </c>
      <c r="U551" s="29"/>
      <c r="V551" s="29"/>
      <c r="W551" s="29"/>
      <c r="X551" s="29"/>
      <c r="Y551" s="29"/>
      <c r="Z551" s="75"/>
    </row>
    <row r="552" customFormat="false" ht="12.75" hidden="false" customHeight="true" outlineLevel="0" collapsed="false">
      <c r="A552" s="2"/>
      <c r="B552" s="2"/>
      <c r="C552" s="75"/>
      <c r="D552" s="75"/>
      <c r="E552" s="75"/>
      <c r="F552" s="75"/>
      <c r="G552" s="75"/>
      <c r="H552" s="75"/>
      <c r="I552" s="2"/>
      <c r="J552" s="83"/>
      <c r="K552" s="83"/>
      <c r="L552" s="83"/>
      <c r="M552" s="83"/>
      <c r="N552" s="83"/>
      <c r="O552" s="2"/>
      <c r="P552" s="75" t="n">
        <v>549</v>
      </c>
      <c r="Q552" s="146" t="n">
        <v>12275.848936551</v>
      </c>
      <c r="R552" s="146" t="n">
        <v>0.266420561476349</v>
      </c>
      <c r="S552" s="146" t="n">
        <v>0.105096366665576</v>
      </c>
      <c r="T552" s="146" t="n">
        <v>0.0368537112969289</v>
      </c>
      <c r="U552" s="29"/>
      <c r="V552" s="29"/>
      <c r="W552" s="29"/>
      <c r="X552" s="29"/>
      <c r="Y552" s="29"/>
      <c r="Z552" s="75"/>
    </row>
    <row r="553" customFormat="false" ht="12.75" hidden="false" customHeight="true" outlineLevel="0" collapsed="false">
      <c r="A553" s="2"/>
      <c r="B553" s="2"/>
      <c r="C553" s="75"/>
      <c r="D553" s="75"/>
      <c r="E553" s="75"/>
      <c r="F553" s="75"/>
      <c r="G553" s="75"/>
      <c r="H553" s="75"/>
      <c r="I553" s="2"/>
      <c r="J553" s="83"/>
      <c r="K553" s="83"/>
      <c r="L553" s="83"/>
      <c r="M553" s="83"/>
      <c r="N553" s="83"/>
      <c r="O553" s="2"/>
      <c r="P553" s="75" t="n">
        <v>550</v>
      </c>
      <c r="Q553" s="146" t="n">
        <v>12298.35939936</v>
      </c>
      <c r="R553" s="146" t="n">
        <v>0.267626075469016</v>
      </c>
      <c r="S553" s="146" t="n">
        <v>0.10217163235638</v>
      </c>
      <c r="T553" s="146" t="n">
        <v>0.0381923123918039</v>
      </c>
      <c r="U553" s="29"/>
      <c r="V553" s="29"/>
      <c r="W553" s="29"/>
      <c r="X553" s="29"/>
      <c r="Y553" s="29"/>
      <c r="Z553" s="75"/>
    </row>
    <row r="554" customFormat="false" ht="12.75" hidden="false" customHeight="true" outlineLevel="0" collapsed="false">
      <c r="A554" s="2"/>
      <c r="B554" s="2"/>
      <c r="C554" s="75"/>
      <c r="D554" s="75"/>
      <c r="E554" s="75"/>
      <c r="F554" s="75"/>
      <c r="G554" s="75"/>
      <c r="H554" s="75"/>
      <c r="I554" s="2"/>
      <c r="J554" s="83"/>
      <c r="K554" s="83"/>
      <c r="L554" s="83"/>
      <c r="M554" s="83"/>
      <c r="N554" s="83"/>
      <c r="O554" s="2"/>
      <c r="P554" s="75" t="n">
        <v>551</v>
      </c>
      <c r="Q554" s="146" t="n">
        <v>12321.07525382</v>
      </c>
      <c r="R554" s="146" t="n">
        <v>0.268761012607761</v>
      </c>
      <c r="S554" s="146" t="n">
        <v>0.098674559216927</v>
      </c>
      <c r="T554" s="146" t="n">
        <v>0.0392859182500852</v>
      </c>
      <c r="U554" s="29"/>
      <c r="V554" s="29"/>
      <c r="W554" s="29"/>
      <c r="X554" s="29"/>
      <c r="Y554" s="29"/>
      <c r="Z554" s="75"/>
    </row>
    <row r="555" customFormat="false" ht="12.75" hidden="false" customHeight="true" outlineLevel="0" collapsed="false">
      <c r="A555" s="2"/>
      <c r="B555" s="2"/>
      <c r="C555" s="75"/>
      <c r="D555" s="75"/>
      <c r="E555" s="75"/>
      <c r="F555" s="75"/>
      <c r="G555" s="75"/>
      <c r="H555" s="75"/>
      <c r="I555" s="2"/>
      <c r="J555" s="83"/>
      <c r="K555" s="83"/>
      <c r="L555" s="83"/>
      <c r="M555" s="83"/>
      <c r="N555" s="83"/>
      <c r="O555" s="2"/>
      <c r="P555" s="75" t="n">
        <v>552</v>
      </c>
      <c r="Q555" s="146" t="n">
        <v>12343.750858993</v>
      </c>
      <c r="R555" s="146" t="n">
        <v>0.269459016941328</v>
      </c>
      <c r="S555" s="146" t="n">
        <v>0.0955104137403283</v>
      </c>
      <c r="T555" s="146" t="n">
        <v>0.0410041098219622</v>
      </c>
      <c r="U555" s="29"/>
      <c r="V555" s="29"/>
      <c r="W555" s="29"/>
      <c r="X555" s="29"/>
      <c r="Y555" s="29"/>
      <c r="Z555" s="75"/>
    </row>
    <row r="556" customFormat="false" ht="12.75" hidden="false" customHeight="true" outlineLevel="0" collapsed="false">
      <c r="A556" s="2"/>
      <c r="B556" s="2"/>
      <c r="C556" s="75"/>
      <c r="D556" s="75"/>
      <c r="E556" s="75"/>
      <c r="F556" s="75"/>
      <c r="G556" s="75"/>
      <c r="H556" s="75"/>
      <c r="I556" s="2"/>
      <c r="J556" s="83"/>
      <c r="K556" s="83"/>
      <c r="L556" s="83"/>
      <c r="M556" s="83"/>
      <c r="N556" s="83"/>
      <c r="O556" s="2"/>
      <c r="P556" s="75" t="n">
        <v>553</v>
      </c>
      <c r="Q556" s="146" t="n">
        <v>12366.229275821</v>
      </c>
      <c r="R556" s="146" t="n">
        <v>0.269434673162205</v>
      </c>
      <c r="S556" s="146" t="n">
        <v>0.0924593329552907</v>
      </c>
      <c r="T556" s="146" t="n">
        <v>0.0422622113508171</v>
      </c>
      <c r="U556" s="29"/>
      <c r="V556" s="29"/>
      <c r="W556" s="29"/>
      <c r="X556" s="29"/>
      <c r="Y556" s="29"/>
      <c r="Z556" s="75"/>
    </row>
    <row r="557" customFormat="false" ht="12.75" hidden="false" customHeight="true" outlineLevel="0" collapsed="false">
      <c r="A557" s="2"/>
      <c r="B557" s="2"/>
      <c r="C557" s="75"/>
      <c r="D557" s="75"/>
      <c r="E557" s="75"/>
      <c r="F557" s="75"/>
      <c r="G557" s="75"/>
      <c r="H557" s="75"/>
      <c r="I557" s="2"/>
      <c r="J557" s="83"/>
      <c r="K557" s="83"/>
      <c r="L557" s="83"/>
      <c r="M557" s="83"/>
      <c r="N557" s="83"/>
      <c r="O557" s="2"/>
      <c r="P557" s="75" t="n">
        <v>554</v>
      </c>
      <c r="Q557" s="146" t="n">
        <v>12389.374503419</v>
      </c>
      <c r="R557" s="146" t="n">
        <v>0.268829440898227</v>
      </c>
      <c r="S557" s="146" t="n">
        <v>0.0878340229593266</v>
      </c>
      <c r="T557" s="146" t="n">
        <v>0.0429170140944545</v>
      </c>
      <c r="U557" s="29"/>
      <c r="V557" s="29"/>
      <c r="W557" s="29"/>
      <c r="X557" s="29"/>
      <c r="Y557" s="29"/>
      <c r="Z557" s="75"/>
    </row>
    <row r="558" customFormat="false" ht="12.75" hidden="false" customHeight="true" outlineLevel="0" collapsed="false">
      <c r="A558" s="2"/>
      <c r="B558" s="2"/>
      <c r="C558" s="75"/>
      <c r="D558" s="75"/>
      <c r="E558" s="75"/>
      <c r="F558" s="75"/>
      <c r="G558" s="75"/>
      <c r="H558" s="75"/>
      <c r="I558" s="2"/>
      <c r="J558" s="83"/>
      <c r="K558" s="83"/>
      <c r="L558" s="83"/>
      <c r="M558" s="83"/>
      <c r="N558" s="83"/>
      <c r="O558" s="2"/>
      <c r="P558" s="75" t="n">
        <v>555</v>
      </c>
      <c r="Q558" s="146" t="n">
        <v>12412.175537695</v>
      </c>
      <c r="R558" s="146" t="n">
        <v>0.268383660489352</v>
      </c>
      <c r="S558" s="146" t="n">
        <v>0.0830405062539022</v>
      </c>
      <c r="T558" s="146" t="n">
        <v>0.0439361276530665</v>
      </c>
      <c r="U558" s="29"/>
      <c r="V558" s="29"/>
      <c r="W558" s="29"/>
      <c r="X558" s="29"/>
      <c r="Y558" s="29"/>
      <c r="Z558" s="75"/>
    </row>
    <row r="559" customFormat="false" ht="12.75" hidden="false" customHeight="true" outlineLevel="0" collapsed="false">
      <c r="A559" s="2"/>
      <c r="B559" s="2"/>
      <c r="C559" s="75"/>
      <c r="D559" s="75"/>
      <c r="E559" s="75"/>
      <c r="F559" s="75"/>
      <c r="G559" s="75"/>
      <c r="H559" s="75"/>
      <c r="I559" s="2"/>
      <c r="J559" s="83"/>
      <c r="K559" s="83"/>
      <c r="L559" s="83"/>
      <c r="M559" s="83"/>
      <c r="N559" s="83"/>
      <c r="O559" s="2"/>
      <c r="P559" s="75" t="n">
        <v>556</v>
      </c>
      <c r="Q559" s="146" t="n">
        <v>12434.936749213</v>
      </c>
      <c r="R559" s="146" t="n">
        <v>0.267364448090066</v>
      </c>
      <c r="S559" s="146" t="n">
        <v>0.0786745269136484</v>
      </c>
      <c r="T559" s="146" t="n">
        <v>0.0446841788218833</v>
      </c>
      <c r="U559" s="29"/>
      <c r="V559" s="29"/>
      <c r="W559" s="29"/>
      <c r="X559" s="29"/>
      <c r="Y559" s="29"/>
      <c r="Z559" s="75"/>
    </row>
    <row r="560" customFormat="false" ht="12.75" hidden="false" customHeight="true" outlineLevel="0" collapsed="false">
      <c r="A560" s="2"/>
      <c r="B560" s="2"/>
      <c r="C560" s="75"/>
      <c r="D560" s="75"/>
      <c r="E560" s="75"/>
      <c r="F560" s="75"/>
      <c r="G560" s="75"/>
      <c r="H560" s="75"/>
      <c r="I560" s="2"/>
      <c r="J560" s="83"/>
      <c r="K560" s="83"/>
      <c r="L560" s="83"/>
      <c r="M560" s="83"/>
      <c r="N560" s="83"/>
      <c r="O560" s="2"/>
      <c r="P560" s="75" t="n">
        <v>557</v>
      </c>
      <c r="Q560" s="146" t="n">
        <v>12457.753772715</v>
      </c>
      <c r="R560" s="146" t="n">
        <v>0.266467967355834</v>
      </c>
      <c r="S560" s="146" t="n">
        <v>0.0758269536988563</v>
      </c>
      <c r="T560" s="146" t="n">
        <v>0.0449872625018064</v>
      </c>
      <c r="U560" s="29"/>
      <c r="V560" s="29"/>
      <c r="W560" s="29"/>
      <c r="X560" s="29"/>
      <c r="Y560" s="29"/>
      <c r="Z560" s="75"/>
    </row>
    <row r="561" customFormat="false" ht="12.75" hidden="false" customHeight="true" outlineLevel="0" collapsed="false">
      <c r="A561" s="2"/>
      <c r="B561" s="2"/>
      <c r="C561" s="75"/>
      <c r="D561" s="75"/>
      <c r="E561" s="75"/>
      <c r="F561" s="75"/>
      <c r="G561" s="75"/>
      <c r="H561" s="75"/>
      <c r="I561" s="2"/>
      <c r="J561" s="83"/>
      <c r="K561" s="83"/>
      <c r="L561" s="83"/>
      <c r="M561" s="83"/>
      <c r="N561" s="83"/>
      <c r="O561" s="2"/>
      <c r="P561" s="75" t="n">
        <v>558</v>
      </c>
      <c r="Q561" s="146" t="n">
        <v>12480.796012246</v>
      </c>
      <c r="R561" s="146" t="n">
        <v>0.265443476728929</v>
      </c>
      <c r="S561" s="146" t="n">
        <v>0.0746035224024468</v>
      </c>
      <c r="T561" s="146" t="n">
        <v>0.0447446304582924</v>
      </c>
      <c r="U561" s="29"/>
      <c r="V561" s="29"/>
      <c r="W561" s="29"/>
      <c r="X561" s="29"/>
      <c r="Y561" s="29"/>
      <c r="Z561" s="75"/>
    </row>
    <row r="562" customFormat="false" ht="12.75" hidden="false" customHeight="true" outlineLevel="0" collapsed="false">
      <c r="A562" s="2"/>
      <c r="B562" s="2"/>
      <c r="C562" s="75"/>
      <c r="D562" s="75"/>
      <c r="E562" s="75"/>
      <c r="F562" s="75"/>
      <c r="G562" s="75"/>
      <c r="H562" s="75"/>
      <c r="I562" s="2"/>
      <c r="J562" s="83"/>
      <c r="K562" s="83"/>
      <c r="L562" s="83"/>
      <c r="M562" s="83"/>
      <c r="N562" s="83"/>
      <c r="O562" s="2"/>
      <c r="P562" s="75" t="n">
        <v>559</v>
      </c>
      <c r="Q562" s="146" t="n">
        <v>12503.694133861</v>
      </c>
      <c r="R562" s="146" t="n">
        <v>0.264621600267701</v>
      </c>
      <c r="S562" s="146" t="n">
        <v>0.0745649193752098</v>
      </c>
      <c r="T562" s="146" t="n">
        <v>0.0440628422759682</v>
      </c>
      <c r="U562" s="29"/>
      <c r="V562" s="29"/>
      <c r="W562" s="29"/>
      <c r="X562" s="29"/>
      <c r="Y562" s="29"/>
      <c r="Z562" s="75"/>
    </row>
    <row r="563" customFormat="false" ht="12.75" hidden="false" customHeight="true" outlineLevel="0" collapsed="false">
      <c r="A563" s="2"/>
      <c r="B563" s="2"/>
      <c r="C563" s="75"/>
      <c r="D563" s="75"/>
      <c r="E563" s="75"/>
      <c r="F563" s="75"/>
      <c r="G563" s="75"/>
      <c r="H563" s="75"/>
      <c r="I563" s="2"/>
      <c r="J563" s="83"/>
      <c r="K563" s="83"/>
      <c r="L563" s="83"/>
      <c r="M563" s="83"/>
      <c r="N563" s="83"/>
      <c r="O563" s="2"/>
      <c r="P563" s="75" t="n">
        <v>560</v>
      </c>
      <c r="Q563" s="146" t="n">
        <v>12526.560011896</v>
      </c>
      <c r="R563" s="146" t="n">
        <v>0.263917716211099</v>
      </c>
      <c r="S563" s="146" t="n">
        <v>0.0756943598102799</v>
      </c>
      <c r="T563" s="146" t="n">
        <v>0.0432562383183371</v>
      </c>
      <c r="U563" s="29"/>
      <c r="V563" s="29"/>
      <c r="W563" s="29"/>
      <c r="X563" s="29"/>
      <c r="Y563" s="29"/>
      <c r="Z563" s="75"/>
    </row>
    <row r="564" customFormat="false" ht="12.75" hidden="false" customHeight="true" outlineLevel="0" collapsed="false">
      <c r="A564" s="2"/>
      <c r="B564" s="2"/>
      <c r="C564" s="75"/>
      <c r="D564" s="75"/>
      <c r="E564" s="75"/>
      <c r="F564" s="75"/>
      <c r="G564" s="75"/>
      <c r="H564" s="75"/>
      <c r="I564" s="2"/>
      <c r="J564" s="83"/>
      <c r="K564" s="83"/>
      <c r="L564" s="83"/>
      <c r="M564" s="83"/>
      <c r="N564" s="83"/>
      <c r="O564" s="2"/>
      <c r="P564" s="75" t="n">
        <v>561</v>
      </c>
      <c r="Q564" s="146" t="n">
        <v>12548.607899501</v>
      </c>
      <c r="R564" s="146" t="n">
        <v>0.263584375277319</v>
      </c>
      <c r="S564" s="146" t="n">
        <v>0.0759546909985388</v>
      </c>
      <c r="T564" s="146" t="n">
        <v>0.0421376555635325</v>
      </c>
      <c r="U564" s="29"/>
      <c r="V564" s="29"/>
      <c r="W564" s="29"/>
      <c r="X564" s="29"/>
      <c r="Y564" s="29"/>
      <c r="Z564" s="75"/>
    </row>
    <row r="565" customFormat="false" ht="12.75" hidden="false" customHeight="true" outlineLevel="0" collapsed="false">
      <c r="A565" s="2"/>
      <c r="B565" s="2"/>
      <c r="C565" s="75"/>
      <c r="D565" s="75"/>
      <c r="E565" s="75"/>
      <c r="F565" s="75"/>
      <c r="G565" s="75"/>
      <c r="H565" s="75"/>
      <c r="I565" s="2"/>
      <c r="J565" s="83"/>
      <c r="K565" s="83"/>
      <c r="L565" s="83"/>
      <c r="M565" s="83"/>
      <c r="N565" s="83"/>
      <c r="O565" s="2"/>
      <c r="P565" s="75" t="n">
        <v>562</v>
      </c>
      <c r="Q565" s="146" t="n">
        <v>12571.219391613</v>
      </c>
      <c r="R565" s="146" t="n">
        <v>0.263618512728909</v>
      </c>
      <c r="S565" s="146" t="n">
        <v>0.0798423365952323</v>
      </c>
      <c r="T565" s="146" t="n">
        <v>0.0417276351611848</v>
      </c>
      <c r="U565" s="29"/>
      <c r="V565" s="29"/>
      <c r="W565" s="29"/>
      <c r="X565" s="29"/>
      <c r="Y565" s="29"/>
      <c r="Z565" s="75"/>
    </row>
    <row r="566" customFormat="false" ht="12.75" hidden="false" customHeight="true" outlineLevel="0" collapsed="false">
      <c r="A566" s="2"/>
      <c r="B566" s="2"/>
      <c r="C566" s="75"/>
      <c r="D566" s="75"/>
      <c r="E566" s="75"/>
      <c r="F566" s="75"/>
      <c r="G566" s="75"/>
      <c r="H566" s="75"/>
      <c r="I566" s="2"/>
      <c r="J566" s="83"/>
      <c r="K566" s="83"/>
      <c r="L566" s="83"/>
      <c r="M566" s="83"/>
      <c r="N566" s="83"/>
      <c r="O566" s="2"/>
      <c r="P566" s="75" t="n">
        <v>563</v>
      </c>
      <c r="Q566" s="146" t="n">
        <v>12593.337254825</v>
      </c>
      <c r="R566" s="146" t="n">
        <v>0.263648949471027</v>
      </c>
      <c r="S566" s="146" t="n">
        <v>0.0806512972088973</v>
      </c>
      <c r="T566" s="146" t="n">
        <v>0.0407390781139513</v>
      </c>
      <c r="U566" s="29"/>
      <c r="V566" s="29"/>
      <c r="W566" s="29"/>
      <c r="X566" s="29"/>
      <c r="Y566" s="29"/>
      <c r="Z566" s="75"/>
    </row>
    <row r="567" customFormat="false" ht="12.75" hidden="false" customHeight="true" outlineLevel="0" collapsed="false">
      <c r="A567" s="2"/>
      <c r="B567" s="2"/>
      <c r="C567" s="75"/>
      <c r="D567" s="75"/>
      <c r="E567" s="75"/>
      <c r="F567" s="75"/>
      <c r="G567" s="75"/>
      <c r="H567" s="75"/>
      <c r="I567" s="2"/>
      <c r="J567" s="83"/>
      <c r="K567" s="83"/>
      <c r="L567" s="83"/>
      <c r="M567" s="83"/>
      <c r="N567" s="83"/>
      <c r="O567" s="2"/>
      <c r="P567" s="75" t="n">
        <v>564</v>
      </c>
      <c r="Q567" s="146" t="n">
        <v>12616.417000387</v>
      </c>
      <c r="R567" s="146" t="n">
        <v>0.264510039912224</v>
      </c>
      <c r="S567" s="146" t="n">
        <v>0.0863303431926141</v>
      </c>
      <c r="T567" s="146" t="n">
        <v>0.0405642926462034</v>
      </c>
      <c r="U567" s="29"/>
      <c r="V567" s="29"/>
      <c r="W567" s="29"/>
      <c r="X567" s="29"/>
      <c r="Y567" s="29"/>
      <c r="Z567" s="75"/>
    </row>
    <row r="568" customFormat="false" ht="12.75" hidden="false" customHeight="true" outlineLevel="0" collapsed="false">
      <c r="A568" s="2"/>
      <c r="B568" s="2"/>
      <c r="C568" s="75"/>
      <c r="D568" s="75"/>
      <c r="E568" s="75"/>
      <c r="F568" s="75"/>
      <c r="G568" s="75"/>
      <c r="H568" s="75"/>
      <c r="I568" s="2"/>
      <c r="J568" s="83"/>
      <c r="K568" s="83"/>
      <c r="L568" s="83"/>
      <c r="M568" s="83"/>
      <c r="N568" s="83"/>
      <c r="O568" s="2"/>
      <c r="P568" s="75" t="n">
        <v>565</v>
      </c>
      <c r="Q568" s="146" t="n">
        <v>12638.942941734</v>
      </c>
      <c r="R568" s="146" t="n">
        <v>0.265350615076938</v>
      </c>
      <c r="S568" s="146" t="n">
        <v>0.0891335544262094</v>
      </c>
      <c r="T568" s="146" t="n">
        <v>0.0397832559181081</v>
      </c>
      <c r="U568" s="29"/>
      <c r="V568" s="29"/>
      <c r="W568" s="29"/>
      <c r="X568" s="29"/>
      <c r="Y568" s="29"/>
      <c r="Z568" s="75"/>
    </row>
    <row r="569" customFormat="false" ht="12.75" hidden="false" customHeight="true" outlineLevel="0" collapsed="false">
      <c r="A569" s="2"/>
      <c r="B569" s="2"/>
      <c r="C569" s="75"/>
      <c r="D569" s="75"/>
      <c r="E569" s="75"/>
      <c r="F569" s="75"/>
      <c r="G569" s="75"/>
      <c r="H569" s="75"/>
      <c r="I569" s="2"/>
      <c r="J569" s="83"/>
      <c r="K569" s="83"/>
      <c r="L569" s="83"/>
      <c r="M569" s="83"/>
      <c r="N569" s="83"/>
      <c r="O569" s="2"/>
      <c r="P569" s="75" t="n">
        <v>566</v>
      </c>
      <c r="Q569" s="146" t="n">
        <v>12661.761562109</v>
      </c>
      <c r="R569" s="146" t="n">
        <v>0.267249948728466</v>
      </c>
      <c r="S569" s="146" t="n">
        <v>0.0914677310243165</v>
      </c>
      <c r="T569" s="146" t="n">
        <v>0.0393789258083718</v>
      </c>
      <c r="U569" s="29"/>
      <c r="V569" s="29"/>
      <c r="W569" s="29"/>
      <c r="X569" s="29"/>
      <c r="Y569" s="29"/>
      <c r="Z569" s="75"/>
    </row>
    <row r="570" customFormat="false" ht="12.75" hidden="false" customHeight="true" outlineLevel="0" collapsed="false">
      <c r="A570" s="2"/>
      <c r="B570" s="2"/>
      <c r="C570" s="75"/>
      <c r="D570" s="75"/>
      <c r="E570" s="75"/>
      <c r="F570" s="75"/>
      <c r="G570" s="75"/>
      <c r="H570" s="75"/>
      <c r="I570" s="2"/>
      <c r="J570" s="83"/>
      <c r="K570" s="83"/>
      <c r="L570" s="83"/>
      <c r="M570" s="83"/>
      <c r="N570" s="83"/>
      <c r="O570" s="2"/>
      <c r="P570" s="75" t="n">
        <v>567</v>
      </c>
      <c r="Q570" s="146" t="n">
        <v>12684.655537969</v>
      </c>
      <c r="R570" s="146" t="n">
        <v>0.269210560114115</v>
      </c>
      <c r="S570" s="146" t="n">
        <v>0.0925973050419361</v>
      </c>
      <c r="T570" s="146" t="n">
        <v>0.0388563696325151</v>
      </c>
      <c r="U570" s="29"/>
      <c r="V570" s="29"/>
      <c r="W570" s="29"/>
      <c r="X570" s="29"/>
      <c r="Y570" s="29"/>
      <c r="Z570" s="75"/>
    </row>
    <row r="571" customFormat="false" ht="12.75" hidden="false" customHeight="true" outlineLevel="0" collapsed="false">
      <c r="A571" s="2"/>
      <c r="B571" s="2"/>
      <c r="C571" s="75"/>
      <c r="D571" s="75"/>
      <c r="E571" s="75"/>
      <c r="F571" s="75"/>
      <c r="G571" s="75"/>
      <c r="H571" s="75"/>
      <c r="I571" s="2"/>
      <c r="J571" s="83"/>
      <c r="K571" s="83"/>
      <c r="L571" s="83"/>
      <c r="M571" s="83"/>
      <c r="N571" s="83"/>
      <c r="O571" s="2"/>
      <c r="P571" s="75" t="n">
        <v>568</v>
      </c>
      <c r="Q571" s="146" t="n">
        <v>12707.352681955</v>
      </c>
      <c r="R571" s="146" t="n">
        <v>0.271530756186778</v>
      </c>
      <c r="S571" s="146" t="n">
        <v>0.0926036884867265</v>
      </c>
      <c r="T571" s="146" t="n">
        <v>0.0384157792687153</v>
      </c>
      <c r="U571" s="29"/>
      <c r="V571" s="29"/>
      <c r="W571" s="29"/>
      <c r="X571" s="29"/>
      <c r="Y571" s="29"/>
      <c r="Z571" s="75"/>
    </row>
    <row r="572" customFormat="false" ht="12.75" hidden="false" customHeight="true" outlineLevel="0" collapsed="false">
      <c r="A572" s="2"/>
      <c r="B572" s="2"/>
      <c r="C572" s="75"/>
      <c r="D572" s="75"/>
      <c r="E572" s="75"/>
      <c r="F572" s="75"/>
      <c r="G572" s="75"/>
      <c r="H572" s="75"/>
      <c r="I572" s="2"/>
      <c r="J572" s="83"/>
      <c r="K572" s="83"/>
      <c r="L572" s="83"/>
      <c r="M572" s="83"/>
      <c r="N572" s="83"/>
      <c r="O572" s="2"/>
      <c r="P572" s="75" t="n">
        <v>569</v>
      </c>
      <c r="Q572" s="146" t="n">
        <v>12730.281029528</v>
      </c>
      <c r="R572" s="146" t="n">
        <v>0.273281333538089</v>
      </c>
      <c r="S572" s="146" t="n">
        <v>0.0921804025925745</v>
      </c>
      <c r="T572" s="146" t="n">
        <v>0.0376050905142846</v>
      </c>
      <c r="U572" s="29"/>
      <c r="V572" s="29"/>
      <c r="W572" s="29"/>
      <c r="X572" s="29"/>
      <c r="Y572" s="29"/>
      <c r="Z572" s="75"/>
    </row>
    <row r="573" customFormat="false" ht="12.75" hidden="false" customHeight="true" outlineLevel="0" collapsed="false">
      <c r="A573" s="2"/>
      <c r="B573" s="2"/>
      <c r="C573" s="75"/>
      <c r="D573" s="75"/>
      <c r="E573" s="75"/>
      <c r="F573" s="75"/>
      <c r="G573" s="75"/>
      <c r="H573" s="75"/>
      <c r="I573" s="2"/>
      <c r="J573" s="83"/>
      <c r="K573" s="83"/>
      <c r="L573" s="83"/>
      <c r="M573" s="83"/>
      <c r="N573" s="83"/>
      <c r="O573" s="2"/>
      <c r="P573" s="75" t="n">
        <v>570</v>
      </c>
      <c r="Q573" s="146" t="n">
        <v>12753.110983758</v>
      </c>
      <c r="R573" s="146" t="n">
        <v>0.274888641746057</v>
      </c>
      <c r="S573" s="146" t="n">
        <v>0.0913780683318596</v>
      </c>
      <c r="T573" s="146" t="n">
        <v>0.0366629612041311</v>
      </c>
      <c r="U573" s="29"/>
      <c r="V573" s="29"/>
      <c r="W573" s="29"/>
      <c r="X573" s="29"/>
      <c r="Y573" s="29"/>
      <c r="Z573" s="75"/>
    </row>
    <row r="574" customFormat="false" ht="12.75" hidden="false" customHeight="true" outlineLevel="0" collapsed="false">
      <c r="A574" s="2"/>
      <c r="B574" s="2"/>
      <c r="C574" s="75"/>
      <c r="D574" s="75"/>
      <c r="E574" s="75"/>
      <c r="F574" s="75"/>
      <c r="G574" s="75"/>
      <c r="H574" s="75"/>
      <c r="I574" s="2"/>
      <c r="J574" s="83"/>
      <c r="K574" s="83"/>
      <c r="L574" s="83"/>
      <c r="M574" s="83"/>
      <c r="N574" s="83"/>
      <c r="O574" s="2"/>
      <c r="P574" s="75" t="n">
        <v>571</v>
      </c>
      <c r="Q574" s="146" t="n">
        <v>12775.735816465</v>
      </c>
      <c r="R574" s="146" t="n">
        <v>0.275890441204093</v>
      </c>
      <c r="S574" s="146" t="n">
        <v>0.0915910789578274</v>
      </c>
      <c r="T574" s="146" t="n">
        <v>0.035611754247546</v>
      </c>
      <c r="U574" s="29"/>
      <c r="V574" s="29"/>
      <c r="W574" s="29"/>
      <c r="X574" s="29"/>
      <c r="Y574" s="29"/>
      <c r="Z574" s="75"/>
    </row>
    <row r="575" customFormat="false" ht="12.75" hidden="false" customHeight="true" outlineLevel="0" collapsed="false">
      <c r="A575" s="2"/>
      <c r="B575" s="2"/>
      <c r="C575" s="75"/>
      <c r="D575" s="75"/>
      <c r="E575" s="75"/>
      <c r="F575" s="75"/>
      <c r="G575" s="75"/>
      <c r="H575" s="75"/>
      <c r="I575" s="2"/>
      <c r="J575" s="83"/>
      <c r="K575" s="83"/>
      <c r="L575" s="83"/>
      <c r="M575" s="83"/>
      <c r="N575" s="83"/>
      <c r="O575" s="2"/>
      <c r="P575" s="75" t="n">
        <v>572</v>
      </c>
      <c r="Q575" s="146" t="n">
        <v>12798.038852501</v>
      </c>
      <c r="R575" s="146" t="n">
        <v>0.276174479604337</v>
      </c>
      <c r="S575" s="146" t="n">
        <v>0.09239077034769</v>
      </c>
      <c r="T575" s="146" t="n">
        <v>0.0347391947202878</v>
      </c>
      <c r="U575" s="29"/>
      <c r="V575" s="29"/>
      <c r="W575" s="29"/>
      <c r="X575" s="29"/>
      <c r="Y575" s="29"/>
      <c r="Z575" s="75"/>
    </row>
    <row r="576" customFormat="false" ht="12.75" hidden="false" customHeight="true" outlineLevel="0" collapsed="false">
      <c r="A576" s="2"/>
      <c r="B576" s="2"/>
      <c r="C576" s="75"/>
      <c r="D576" s="75"/>
      <c r="E576" s="75"/>
      <c r="F576" s="75"/>
      <c r="G576" s="75"/>
      <c r="H576" s="75"/>
      <c r="I576" s="2"/>
      <c r="J576" s="83"/>
      <c r="K576" s="83"/>
      <c r="L576" s="83"/>
      <c r="M576" s="83"/>
      <c r="N576" s="83"/>
      <c r="O576" s="2"/>
      <c r="P576" s="75" t="n">
        <v>573</v>
      </c>
      <c r="Q576" s="146" t="n">
        <v>12820.646830866</v>
      </c>
      <c r="R576" s="146" t="n">
        <v>0.276455878424464</v>
      </c>
      <c r="S576" s="146" t="n">
        <v>0.0954573588910031</v>
      </c>
      <c r="T576" s="146" t="n">
        <v>0.0330127062407964</v>
      </c>
      <c r="U576" s="29"/>
      <c r="V576" s="29"/>
      <c r="W576" s="29"/>
      <c r="X576" s="29"/>
      <c r="Y576" s="29"/>
      <c r="Z576" s="75"/>
    </row>
    <row r="577" customFormat="false" ht="12.75" hidden="false" customHeight="true" outlineLevel="0" collapsed="false">
      <c r="A577" s="2"/>
      <c r="B577" s="2"/>
      <c r="C577" s="75"/>
      <c r="D577" s="75"/>
      <c r="E577" s="75"/>
      <c r="F577" s="75"/>
      <c r="G577" s="75"/>
      <c r="H577" s="75"/>
      <c r="I577" s="2"/>
      <c r="J577" s="83"/>
      <c r="K577" s="83"/>
      <c r="L577" s="83"/>
      <c r="M577" s="83"/>
      <c r="N577" s="83"/>
      <c r="O577" s="2"/>
      <c r="P577" s="75" t="n">
        <v>574</v>
      </c>
      <c r="Q577" s="146" t="n">
        <v>12843.142987503</v>
      </c>
      <c r="R577" s="146" t="n">
        <v>0.275463717591342</v>
      </c>
      <c r="S577" s="146" t="n">
        <v>0.100671080695474</v>
      </c>
      <c r="T577" s="146" t="n">
        <v>0.0310551996339848</v>
      </c>
      <c r="U577" s="29"/>
      <c r="V577" s="29"/>
      <c r="W577" s="29"/>
      <c r="X577" s="29"/>
      <c r="Y577" s="29"/>
      <c r="Z577" s="75"/>
    </row>
    <row r="578" customFormat="false" ht="12.75" hidden="false" customHeight="true" outlineLevel="0" collapsed="false">
      <c r="A578" s="2"/>
      <c r="B578" s="2"/>
      <c r="C578" s="75"/>
      <c r="D578" s="75"/>
      <c r="E578" s="75"/>
      <c r="F578" s="75"/>
      <c r="G578" s="75"/>
      <c r="H578" s="75"/>
      <c r="I578" s="2"/>
      <c r="J578" s="83"/>
      <c r="K578" s="83"/>
      <c r="L578" s="83"/>
      <c r="M578" s="83"/>
      <c r="N578" s="83"/>
      <c r="O578" s="2"/>
      <c r="P578" s="75" t="n">
        <v>575</v>
      </c>
      <c r="Q578" s="146" t="n">
        <v>12866.012899521</v>
      </c>
      <c r="R578" s="146" t="n">
        <v>0.274409952131501</v>
      </c>
      <c r="S578" s="146" t="n">
        <v>0.10553825274275</v>
      </c>
      <c r="T578" s="146" t="n">
        <v>0.0308112199960421</v>
      </c>
      <c r="U578" s="29"/>
      <c r="V578" s="29"/>
      <c r="W578" s="29"/>
      <c r="X578" s="29"/>
      <c r="Y578" s="29"/>
      <c r="Z578" s="75"/>
    </row>
    <row r="579" customFormat="false" ht="12.75" hidden="false" customHeight="true" outlineLevel="0" collapsed="false">
      <c r="A579" s="2"/>
      <c r="B579" s="2"/>
      <c r="C579" s="75"/>
      <c r="D579" s="75"/>
      <c r="E579" s="75"/>
      <c r="F579" s="75"/>
      <c r="G579" s="75"/>
      <c r="H579" s="75"/>
      <c r="I579" s="2"/>
      <c r="J579" s="83"/>
      <c r="K579" s="83"/>
      <c r="L579" s="83"/>
      <c r="M579" s="83"/>
      <c r="N579" s="83"/>
      <c r="O579" s="2"/>
      <c r="P579" s="75" t="n">
        <v>576</v>
      </c>
      <c r="Q579" s="146" t="n">
        <v>12888.832993029</v>
      </c>
      <c r="R579" s="146" t="n">
        <v>0.273029231682868</v>
      </c>
      <c r="S579" s="146" t="n">
        <v>0.109507730315961</v>
      </c>
      <c r="T579" s="146" t="n">
        <v>0.0308177985269499</v>
      </c>
      <c r="U579" s="29"/>
      <c r="V579" s="29"/>
      <c r="W579" s="29"/>
      <c r="X579" s="29"/>
      <c r="Y579" s="29"/>
      <c r="Z579" s="75"/>
    </row>
    <row r="580" customFormat="false" ht="12.75" hidden="false" customHeight="true" outlineLevel="0" collapsed="false">
      <c r="A580" s="2"/>
      <c r="B580" s="2"/>
      <c r="C580" s="75"/>
      <c r="D580" s="75"/>
      <c r="E580" s="75"/>
      <c r="F580" s="75"/>
      <c r="G580" s="75"/>
      <c r="H580" s="75"/>
      <c r="I580" s="2"/>
      <c r="J580" s="83"/>
      <c r="K580" s="83"/>
      <c r="L580" s="83"/>
      <c r="M580" s="83"/>
      <c r="N580" s="83"/>
      <c r="O580" s="2"/>
      <c r="P580" s="75" t="n">
        <v>577</v>
      </c>
      <c r="Q580" s="146" t="n">
        <v>12911.733937923</v>
      </c>
      <c r="R580" s="146" t="n">
        <v>0.271504117657149</v>
      </c>
      <c r="S580" s="146" t="n">
        <v>0.112186686536597</v>
      </c>
      <c r="T580" s="146" t="n">
        <v>0.0309352474681103</v>
      </c>
      <c r="U580" s="29"/>
      <c r="V580" s="29"/>
      <c r="W580" s="29"/>
      <c r="X580" s="29"/>
      <c r="Y580" s="29"/>
      <c r="Z580" s="75"/>
    </row>
    <row r="581" customFormat="false" ht="12.75" hidden="false" customHeight="true" outlineLevel="0" collapsed="false">
      <c r="A581" s="2"/>
      <c r="B581" s="2"/>
      <c r="C581" s="75"/>
      <c r="D581" s="75"/>
      <c r="E581" s="75"/>
      <c r="F581" s="75"/>
      <c r="G581" s="75"/>
      <c r="H581" s="75"/>
      <c r="I581" s="2"/>
      <c r="J581" s="83"/>
      <c r="K581" s="83"/>
      <c r="L581" s="83"/>
      <c r="M581" s="83"/>
      <c r="N581" s="83"/>
      <c r="O581" s="2"/>
      <c r="P581" s="75" t="n">
        <v>578</v>
      </c>
      <c r="Q581" s="146" t="n">
        <v>12934.725233302</v>
      </c>
      <c r="R581" s="146" t="n">
        <v>0.269694959577602</v>
      </c>
      <c r="S581" s="146" t="n">
        <v>0.114094953454017</v>
      </c>
      <c r="T581" s="146" t="n">
        <v>0.0309991820779049</v>
      </c>
      <c r="U581" s="29"/>
      <c r="V581" s="29"/>
      <c r="W581" s="29"/>
      <c r="X581" s="29"/>
      <c r="Y581" s="29"/>
      <c r="Z581" s="75"/>
    </row>
    <row r="582" customFormat="false" ht="12.75" hidden="false" customHeight="true" outlineLevel="0" collapsed="false">
      <c r="A582" s="2"/>
      <c r="B582" s="2"/>
      <c r="C582" s="75"/>
      <c r="D582" s="75"/>
      <c r="E582" s="75"/>
      <c r="F582" s="75"/>
      <c r="G582" s="75"/>
      <c r="H582" s="75"/>
      <c r="I582" s="2"/>
      <c r="J582" s="83"/>
      <c r="K582" s="83"/>
      <c r="L582" s="83"/>
      <c r="M582" s="83"/>
      <c r="N582" s="83"/>
      <c r="O582" s="2"/>
      <c r="P582" s="75" t="n">
        <v>579</v>
      </c>
      <c r="Q582" s="146" t="n">
        <v>12957.706507272</v>
      </c>
      <c r="R582" s="146" t="n">
        <v>0.2677388610865</v>
      </c>
      <c r="S582" s="146" t="n">
        <v>0.115585505041077</v>
      </c>
      <c r="T582" s="146" t="n">
        <v>0.0312648641901513</v>
      </c>
      <c r="U582" s="29"/>
      <c r="V582" s="29"/>
      <c r="W582" s="29"/>
      <c r="X582" s="29"/>
      <c r="Y582" s="29"/>
      <c r="Z582" s="75"/>
    </row>
    <row r="583" customFormat="false" ht="12.75" hidden="false" customHeight="true" outlineLevel="0" collapsed="false">
      <c r="A583" s="2"/>
      <c r="B583" s="2"/>
      <c r="C583" s="75"/>
      <c r="D583" s="75"/>
      <c r="E583" s="75"/>
      <c r="F583" s="75"/>
      <c r="G583" s="75"/>
      <c r="H583" s="75"/>
      <c r="I583" s="2"/>
      <c r="J583" s="83"/>
      <c r="K583" s="83"/>
      <c r="L583" s="83"/>
      <c r="M583" s="83"/>
      <c r="N583" s="83"/>
      <c r="O583" s="2"/>
      <c r="P583" s="75" t="n">
        <v>580</v>
      </c>
      <c r="Q583" s="146" t="n">
        <v>12980.583853481</v>
      </c>
      <c r="R583" s="146" t="n">
        <v>0.265889388206988</v>
      </c>
      <c r="S583" s="146" t="n">
        <v>0.116456802408551</v>
      </c>
      <c r="T583" s="146" t="n">
        <v>0.0314887216461376</v>
      </c>
      <c r="U583" s="29"/>
      <c r="V583" s="29"/>
      <c r="W583" s="29"/>
      <c r="X583" s="29"/>
      <c r="Y583" s="29"/>
      <c r="Z583" s="75"/>
    </row>
    <row r="584" customFormat="false" ht="12.75" hidden="false" customHeight="true" outlineLevel="0" collapsed="false">
      <c r="A584" s="2"/>
      <c r="B584" s="2"/>
      <c r="C584" s="75"/>
      <c r="D584" s="75"/>
      <c r="E584" s="75"/>
      <c r="F584" s="75"/>
      <c r="G584" s="75"/>
      <c r="H584" s="75"/>
      <c r="I584" s="2"/>
      <c r="J584" s="83"/>
      <c r="K584" s="83"/>
      <c r="L584" s="83"/>
      <c r="M584" s="83"/>
      <c r="N584" s="83"/>
      <c r="O584" s="2"/>
      <c r="P584" s="75" t="n">
        <v>581</v>
      </c>
      <c r="Q584" s="146" t="n">
        <v>13003.512735281</v>
      </c>
      <c r="R584" s="146" t="n">
        <v>0.264437770057029</v>
      </c>
      <c r="S584" s="146" t="n">
        <v>0.11671056244457</v>
      </c>
      <c r="T584" s="146" t="n">
        <v>0.0317242080568943</v>
      </c>
      <c r="U584" s="29"/>
      <c r="V584" s="29"/>
      <c r="W584" s="29"/>
      <c r="X584" s="29"/>
      <c r="Y584" s="29"/>
      <c r="Z584" s="75"/>
    </row>
    <row r="585" customFormat="false" ht="12.75" hidden="false" customHeight="true" outlineLevel="0" collapsed="false">
      <c r="A585" s="2"/>
      <c r="B585" s="2"/>
      <c r="C585" s="75"/>
      <c r="D585" s="75"/>
      <c r="E585" s="75"/>
      <c r="F585" s="75"/>
      <c r="G585" s="75"/>
      <c r="H585" s="75"/>
      <c r="I585" s="2"/>
      <c r="J585" s="83"/>
      <c r="K585" s="83"/>
      <c r="L585" s="83"/>
      <c r="M585" s="83"/>
      <c r="N585" s="83"/>
      <c r="O585" s="2"/>
      <c r="P585" s="75" t="n">
        <v>582</v>
      </c>
      <c r="Q585" s="146" t="n">
        <v>13025.734030617</v>
      </c>
      <c r="R585" s="146" t="n">
        <v>0.263606991996645</v>
      </c>
      <c r="S585" s="146" t="n">
        <v>0.116241434887345</v>
      </c>
      <c r="T585" s="146" t="n">
        <v>0.0319609847095035</v>
      </c>
      <c r="U585" s="29"/>
      <c r="V585" s="29"/>
      <c r="W585" s="29"/>
      <c r="X585" s="29"/>
      <c r="Y585" s="29"/>
      <c r="Z585" s="75"/>
    </row>
    <row r="586" customFormat="false" ht="12.75" hidden="false" customHeight="true" outlineLevel="0" collapsed="false">
      <c r="A586" s="2"/>
      <c r="B586" s="2"/>
      <c r="C586" s="75"/>
      <c r="D586" s="75"/>
      <c r="E586" s="75"/>
      <c r="F586" s="75"/>
      <c r="G586" s="75"/>
      <c r="H586" s="75"/>
      <c r="I586" s="2"/>
      <c r="J586" s="83"/>
      <c r="K586" s="83"/>
      <c r="L586" s="83"/>
      <c r="M586" s="83"/>
      <c r="N586" s="83"/>
      <c r="O586" s="2"/>
      <c r="P586" s="75" t="n">
        <v>583</v>
      </c>
      <c r="Q586" s="146" t="n">
        <v>13048.175047136</v>
      </c>
      <c r="R586" s="146" t="n">
        <v>0.263099730476743</v>
      </c>
      <c r="S586" s="146" t="n">
        <v>0.115172670309923</v>
      </c>
      <c r="T586" s="146" t="n">
        <v>0.0318184211151301</v>
      </c>
      <c r="U586" s="29"/>
      <c r="V586" s="29"/>
      <c r="W586" s="29"/>
      <c r="X586" s="29"/>
      <c r="Y586" s="29"/>
      <c r="Z586" s="75"/>
    </row>
    <row r="587" customFormat="false" ht="12.75" hidden="false" customHeight="true" outlineLevel="0" collapsed="false">
      <c r="A587" s="2"/>
      <c r="B587" s="2"/>
      <c r="C587" s="75"/>
      <c r="D587" s="75"/>
      <c r="E587" s="75"/>
      <c r="F587" s="75"/>
      <c r="G587" s="75"/>
      <c r="H587" s="75"/>
      <c r="I587" s="2"/>
      <c r="J587" s="83"/>
      <c r="K587" s="83"/>
      <c r="L587" s="83"/>
      <c r="M587" s="83"/>
      <c r="N587" s="83"/>
      <c r="O587" s="2"/>
      <c r="P587" s="75" t="n">
        <v>584</v>
      </c>
      <c r="Q587" s="146" t="n">
        <v>13070.759538166</v>
      </c>
      <c r="R587" s="146" t="n">
        <v>0.263664365523233</v>
      </c>
      <c r="S587" s="146" t="n">
        <v>0.114140038699667</v>
      </c>
      <c r="T587" s="146" t="n">
        <v>0.0311805309153639</v>
      </c>
      <c r="U587" s="29"/>
      <c r="V587" s="29"/>
      <c r="W587" s="29"/>
      <c r="X587" s="29"/>
      <c r="Y587" s="29"/>
      <c r="Z587" s="75"/>
    </row>
    <row r="588" customFormat="false" ht="12.75" hidden="false" customHeight="true" outlineLevel="0" collapsed="false">
      <c r="A588" s="2"/>
      <c r="B588" s="2"/>
      <c r="C588" s="75"/>
      <c r="D588" s="75"/>
      <c r="E588" s="75"/>
      <c r="F588" s="75"/>
      <c r="G588" s="75"/>
      <c r="H588" s="75"/>
      <c r="I588" s="2"/>
      <c r="J588" s="83"/>
      <c r="K588" s="83"/>
      <c r="L588" s="83"/>
      <c r="M588" s="83"/>
      <c r="N588" s="83"/>
      <c r="O588" s="2"/>
      <c r="P588" s="75" t="n">
        <v>585</v>
      </c>
      <c r="Q588" s="146" t="n">
        <v>13093.24405299</v>
      </c>
      <c r="R588" s="146" t="n">
        <v>0.264503470972437</v>
      </c>
      <c r="S588" s="146" t="n">
        <v>0.11275752332846</v>
      </c>
      <c r="T588" s="146" t="n">
        <v>0.0311187225491169</v>
      </c>
      <c r="U588" s="29"/>
      <c r="V588" s="29"/>
      <c r="W588" s="29"/>
      <c r="X588" s="29"/>
      <c r="Y588" s="29"/>
      <c r="Z588" s="75"/>
    </row>
    <row r="589" customFormat="false" ht="12.75" hidden="false" customHeight="true" outlineLevel="0" collapsed="false">
      <c r="A589" s="2"/>
      <c r="B589" s="2"/>
      <c r="C589" s="75"/>
      <c r="D589" s="75"/>
      <c r="E589" s="75"/>
      <c r="F589" s="75"/>
      <c r="G589" s="75"/>
      <c r="H589" s="75"/>
      <c r="I589" s="2"/>
      <c r="J589" s="83"/>
      <c r="K589" s="83"/>
      <c r="L589" s="83"/>
      <c r="M589" s="83"/>
      <c r="N589" s="83"/>
      <c r="O589" s="2"/>
      <c r="P589" s="75" t="n">
        <v>586</v>
      </c>
      <c r="Q589" s="146" t="n">
        <v>13115.857697382</v>
      </c>
      <c r="R589" s="146" t="n">
        <v>0.26625136760759</v>
      </c>
      <c r="S589" s="146" t="n">
        <v>0.109825928397173</v>
      </c>
      <c r="T589" s="146" t="n">
        <v>0.0305117998340682</v>
      </c>
      <c r="U589" s="29"/>
      <c r="V589" s="29"/>
      <c r="W589" s="29"/>
      <c r="X589" s="29"/>
      <c r="Y589" s="29"/>
      <c r="Z589" s="75"/>
    </row>
    <row r="590" customFormat="false" ht="12.75" hidden="false" customHeight="true" outlineLevel="0" collapsed="false">
      <c r="A590" s="2"/>
      <c r="B590" s="2"/>
      <c r="C590" s="75"/>
      <c r="D590" s="75"/>
      <c r="E590" s="75"/>
      <c r="F590" s="75"/>
      <c r="G590" s="75"/>
      <c r="H590" s="75"/>
      <c r="I590" s="2"/>
      <c r="J590" s="83"/>
      <c r="K590" s="83"/>
      <c r="L590" s="83"/>
      <c r="M590" s="83"/>
      <c r="N590" s="83"/>
      <c r="O590" s="2"/>
      <c r="P590" s="75" t="n">
        <v>587</v>
      </c>
      <c r="Q590" s="146" t="n">
        <v>13138.488802344</v>
      </c>
      <c r="R590" s="146" t="n">
        <v>0.268288042890574</v>
      </c>
      <c r="S590" s="146" t="n">
        <v>0.106398300102601</v>
      </c>
      <c r="T590" s="146" t="n">
        <v>0.0296764623416622</v>
      </c>
      <c r="U590" s="29"/>
      <c r="V590" s="29"/>
      <c r="W590" s="29"/>
      <c r="X590" s="29"/>
      <c r="Y590" s="29"/>
      <c r="Z590" s="75"/>
    </row>
    <row r="591" customFormat="false" ht="12.75" hidden="false" customHeight="true" outlineLevel="0" collapsed="false">
      <c r="A591" s="2"/>
      <c r="B591" s="2"/>
      <c r="C591" s="75"/>
      <c r="D591" s="75"/>
      <c r="E591" s="75"/>
      <c r="F591" s="75"/>
      <c r="G591" s="75"/>
      <c r="H591" s="75"/>
      <c r="I591" s="2"/>
      <c r="J591" s="83"/>
      <c r="K591" s="83"/>
      <c r="L591" s="83"/>
      <c r="M591" s="83"/>
      <c r="N591" s="83"/>
      <c r="O591" s="2"/>
      <c r="P591" s="75" t="n">
        <v>588</v>
      </c>
      <c r="Q591" s="146" t="n">
        <v>13160.926515286</v>
      </c>
      <c r="R591" s="146" t="n">
        <v>0.270192760791178</v>
      </c>
      <c r="S591" s="146" t="n">
        <v>0.103297850001276</v>
      </c>
      <c r="T591" s="146" t="n">
        <v>0.0289014672662033</v>
      </c>
      <c r="U591" s="29"/>
      <c r="V591" s="29"/>
      <c r="W591" s="29"/>
      <c r="X591" s="29"/>
      <c r="Y591" s="29"/>
      <c r="Z591" s="75"/>
    </row>
    <row r="592" customFormat="false" ht="12.75" hidden="false" customHeight="true" outlineLevel="0" collapsed="false">
      <c r="A592" s="2"/>
      <c r="B592" s="2"/>
      <c r="C592" s="75"/>
      <c r="D592" s="75"/>
      <c r="E592" s="75"/>
      <c r="F592" s="75"/>
      <c r="G592" s="75"/>
      <c r="H592" s="75"/>
      <c r="I592" s="2"/>
      <c r="J592" s="83"/>
      <c r="K592" s="83"/>
      <c r="L592" s="83"/>
      <c r="M592" s="83"/>
      <c r="N592" s="83"/>
      <c r="O592" s="2"/>
      <c r="P592" s="75" t="n">
        <v>589</v>
      </c>
      <c r="Q592" s="146" t="n">
        <v>13183.189660213</v>
      </c>
      <c r="R592" s="146" t="n">
        <v>0.27149392534712</v>
      </c>
      <c r="S592" s="146" t="n">
        <v>0.100562873998258</v>
      </c>
      <c r="T592" s="146" t="n">
        <v>0.0280517429363644</v>
      </c>
      <c r="U592" s="29"/>
      <c r="V592" s="29"/>
      <c r="W592" s="29"/>
      <c r="X592" s="29"/>
      <c r="Y592" s="29"/>
      <c r="Z592" s="75"/>
    </row>
    <row r="593" customFormat="false" ht="12.75" hidden="false" customHeight="true" outlineLevel="0" collapsed="false">
      <c r="A593" s="2"/>
      <c r="B593" s="2"/>
      <c r="C593" s="75"/>
      <c r="D593" s="75"/>
      <c r="E593" s="75"/>
      <c r="F593" s="75"/>
      <c r="G593" s="75"/>
      <c r="H593" s="75"/>
      <c r="I593" s="2"/>
      <c r="J593" s="83"/>
      <c r="K593" s="83"/>
      <c r="L593" s="83"/>
      <c r="M593" s="83"/>
      <c r="N593" s="83"/>
      <c r="O593" s="2"/>
      <c r="P593" s="75" t="n">
        <v>590</v>
      </c>
      <c r="Q593" s="146" t="n">
        <v>13205.738213228</v>
      </c>
      <c r="R593" s="146" t="n">
        <v>0.272305564384993</v>
      </c>
      <c r="S593" s="146" t="n">
        <v>0.0995746005355168</v>
      </c>
      <c r="T593" s="146" t="n">
        <v>0.0273892097012239</v>
      </c>
      <c r="U593" s="29"/>
      <c r="V593" s="29"/>
      <c r="W593" s="29"/>
      <c r="X593" s="29"/>
      <c r="Y593" s="29"/>
      <c r="Z593" s="75"/>
    </row>
    <row r="594" customFormat="false" ht="12.75" hidden="false" customHeight="true" outlineLevel="0" collapsed="false">
      <c r="A594" s="2"/>
      <c r="B594" s="2"/>
      <c r="C594" s="75"/>
      <c r="D594" s="75"/>
      <c r="E594" s="75"/>
      <c r="F594" s="75"/>
      <c r="G594" s="75"/>
      <c r="H594" s="75"/>
      <c r="I594" s="2"/>
      <c r="J594" s="83"/>
      <c r="K594" s="83"/>
      <c r="L594" s="83"/>
      <c r="M594" s="83"/>
      <c r="N594" s="83"/>
      <c r="O594" s="2"/>
      <c r="P594" s="75" t="n">
        <v>591</v>
      </c>
      <c r="Q594" s="146" t="n">
        <v>13228.631800292</v>
      </c>
      <c r="R594" s="146" t="n">
        <v>0.272204351452908</v>
      </c>
      <c r="S594" s="146" t="n">
        <v>0.0975406174121966</v>
      </c>
      <c r="T594" s="146" t="n">
        <v>0.0271432910887391</v>
      </c>
      <c r="U594" s="29"/>
      <c r="V594" s="29"/>
      <c r="W594" s="29"/>
      <c r="X594" s="29"/>
      <c r="Y594" s="29"/>
      <c r="Z594" s="75"/>
    </row>
    <row r="595" customFormat="false" ht="12.75" hidden="false" customHeight="true" outlineLevel="0" collapsed="false">
      <c r="A595" s="2"/>
      <c r="B595" s="2"/>
      <c r="C595" s="75"/>
      <c r="D595" s="75"/>
      <c r="E595" s="75"/>
      <c r="F595" s="75"/>
      <c r="G595" s="75"/>
      <c r="H595" s="75"/>
      <c r="I595" s="2"/>
      <c r="J595" s="83"/>
      <c r="K595" s="83"/>
      <c r="L595" s="83"/>
      <c r="M595" s="83"/>
      <c r="N595" s="83"/>
      <c r="O595" s="2"/>
      <c r="P595" s="75" t="n">
        <v>592</v>
      </c>
      <c r="Q595" s="146" t="n">
        <v>13251.25654662</v>
      </c>
      <c r="R595" s="146" t="n">
        <v>0.272241468673238</v>
      </c>
      <c r="S595" s="146" t="n">
        <v>0.0977159547662295</v>
      </c>
      <c r="T595" s="146" t="n">
        <v>0.026857001485575</v>
      </c>
      <c r="U595" s="29"/>
      <c r="V595" s="29"/>
      <c r="W595" s="29"/>
      <c r="X595" s="29"/>
      <c r="Y595" s="29"/>
      <c r="Z595" s="75"/>
    </row>
    <row r="596" customFormat="false" ht="12.75" hidden="false" customHeight="true" outlineLevel="0" collapsed="false">
      <c r="A596" s="2"/>
      <c r="B596" s="2"/>
      <c r="C596" s="75"/>
      <c r="D596" s="75"/>
      <c r="E596" s="75"/>
      <c r="F596" s="75"/>
      <c r="G596" s="75"/>
      <c r="H596" s="75"/>
      <c r="I596" s="2"/>
      <c r="J596" s="83"/>
      <c r="K596" s="83"/>
      <c r="L596" s="83"/>
      <c r="M596" s="83"/>
      <c r="N596" s="83"/>
      <c r="O596" s="2"/>
      <c r="P596" s="75" t="n">
        <v>593</v>
      </c>
      <c r="Q596" s="146" t="n">
        <v>13273.970244441</v>
      </c>
      <c r="R596" s="146" t="n">
        <v>0.271402789256146</v>
      </c>
      <c r="S596" s="146" t="n">
        <v>0.0984672976131128</v>
      </c>
      <c r="T596" s="146" t="n">
        <v>0.0269338326196586</v>
      </c>
      <c r="U596" s="29"/>
      <c r="V596" s="29"/>
      <c r="W596" s="29"/>
      <c r="X596" s="29"/>
      <c r="Y596" s="29"/>
      <c r="Z596" s="75"/>
    </row>
    <row r="597" customFormat="false" ht="12.75" hidden="false" customHeight="true" outlineLevel="0" collapsed="false">
      <c r="A597" s="2"/>
      <c r="B597" s="2"/>
      <c r="C597" s="75"/>
      <c r="D597" s="75"/>
      <c r="E597" s="75"/>
      <c r="F597" s="75"/>
      <c r="G597" s="75"/>
      <c r="H597" s="75"/>
      <c r="I597" s="2"/>
      <c r="J597" s="83"/>
      <c r="K597" s="83"/>
      <c r="L597" s="83"/>
      <c r="M597" s="83"/>
      <c r="N597" s="83"/>
      <c r="O597" s="2"/>
      <c r="P597" s="75" t="n">
        <v>594</v>
      </c>
      <c r="Q597" s="146" t="n">
        <v>13296.526706141</v>
      </c>
      <c r="R597" s="146" t="n">
        <v>0.270461907178591</v>
      </c>
      <c r="S597" s="146" t="n">
        <v>0.0980643576168208</v>
      </c>
      <c r="T597" s="146" t="n">
        <v>0.0268555284598339</v>
      </c>
      <c r="U597" s="29"/>
      <c r="V597" s="29"/>
      <c r="W597" s="29"/>
      <c r="X597" s="29"/>
      <c r="Y597" s="29"/>
      <c r="Z597" s="75"/>
    </row>
    <row r="598" customFormat="false" ht="12.75" hidden="false" customHeight="true" outlineLevel="0" collapsed="false">
      <c r="A598" s="2"/>
      <c r="B598" s="2"/>
      <c r="C598" s="75"/>
      <c r="D598" s="75"/>
      <c r="E598" s="75"/>
      <c r="F598" s="75"/>
      <c r="G598" s="75"/>
      <c r="H598" s="75"/>
      <c r="I598" s="2"/>
      <c r="J598" s="83"/>
      <c r="K598" s="83"/>
      <c r="L598" s="83"/>
      <c r="M598" s="83"/>
      <c r="N598" s="83"/>
      <c r="O598" s="2"/>
      <c r="P598" s="75" t="n">
        <v>595</v>
      </c>
      <c r="Q598" s="146" t="n">
        <v>13319.528959643</v>
      </c>
      <c r="R598" s="146" t="n">
        <v>0.269128241755849</v>
      </c>
      <c r="S598" s="146" t="n">
        <v>0.0963097456691345</v>
      </c>
      <c r="T598" s="146" t="n">
        <v>0.0267371714375053</v>
      </c>
      <c r="U598" s="29"/>
      <c r="V598" s="29"/>
      <c r="W598" s="29"/>
      <c r="X598" s="29"/>
      <c r="Y598" s="29"/>
      <c r="Z598" s="75"/>
    </row>
    <row r="599" customFormat="false" ht="12.75" hidden="false" customHeight="true" outlineLevel="0" collapsed="false">
      <c r="A599" s="2"/>
      <c r="B599" s="2"/>
      <c r="C599" s="75"/>
      <c r="D599" s="75"/>
      <c r="E599" s="75"/>
      <c r="F599" s="75"/>
      <c r="G599" s="75"/>
      <c r="H599" s="75"/>
      <c r="I599" s="2"/>
      <c r="J599" s="83"/>
      <c r="K599" s="83"/>
      <c r="L599" s="83"/>
      <c r="M599" s="83"/>
      <c r="N599" s="83"/>
      <c r="O599" s="2"/>
      <c r="P599" s="75" t="n">
        <v>596</v>
      </c>
      <c r="Q599" s="146" t="n">
        <v>13342.003043222</v>
      </c>
      <c r="R599" s="146" t="n">
        <v>0.267625054453711</v>
      </c>
      <c r="S599" s="146" t="n">
        <v>0.0932645348923807</v>
      </c>
      <c r="T599" s="146" t="n">
        <v>0.0264842819640231</v>
      </c>
      <c r="U599" s="29"/>
      <c r="V599" s="29"/>
      <c r="W599" s="29"/>
      <c r="X599" s="29"/>
      <c r="Y599" s="29"/>
      <c r="Z599" s="75"/>
    </row>
    <row r="600" customFormat="false" ht="12.75" hidden="false" customHeight="true" outlineLevel="0" collapsed="false">
      <c r="A600" s="2"/>
      <c r="B600" s="2"/>
      <c r="C600" s="75"/>
      <c r="D600" s="75"/>
      <c r="E600" s="75"/>
      <c r="F600" s="75"/>
      <c r="G600" s="75"/>
      <c r="H600" s="75"/>
      <c r="I600" s="2"/>
      <c r="J600" s="83"/>
      <c r="K600" s="83"/>
      <c r="L600" s="83"/>
      <c r="M600" s="83"/>
      <c r="N600" s="83"/>
      <c r="O600" s="2"/>
      <c r="P600" s="75" t="n">
        <v>597</v>
      </c>
      <c r="Q600" s="146" t="n">
        <v>13364.20928174</v>
      </c>
      <c r="R600" s="146" t="n">
        <v>0.265995558414396</v>
      </c>
      <c r="S600" s="146" t="n">
        <v>0.0898871388643648</v>
      </c>
      <c r="T600" s="146" t="n">
        <v>0.0260969327966969</v>
      </c>
      <c r="U600" s="29"/>
      <c r="V600" s="29"/>
      <c r="W600" s="29"/>
      <c r="X600" s="29"/>
      <c r="Y600" s="29"/>
      <c r="Z600" s="75"/>
    </row>
    <row r="601" customFormat="false" ht="12.75" hidden="false" customHeight="true" outlineLevel="0" collapsed="false">
      <c r="A601" s="2"/>
      <c r="B601" s="2"/>
      <c r="C601" s="75"/>
      <c r="D601" s="75"/>
      <c r="E601" s="75"/>
      <c r="F601" s="75"/>
      <c r="G601" s="75"/>
      <c r="H601" s="75"/>
      <c r="I601" s="2"/>
      <c r="J601" s="83"/>
      <c r="K601" s="83"/>
      <c r="L601" s="83"/>
      <c r="M601" s="83"/>
      <c r="N601" s="83"/>
      <c r="O601" s="2"/>
      <c r="P601" s="75" t="n">
        <v>598</v>
      </c>
      <c r="Q601" s="146" t="n">
        <v>13386.795330472</v>
      </c>
      <c r="R601" s="146" t="n">
        <v>0.264573022870987</v>
      </c>
      <c r="S601" s="146" t="n">
        <v>0.0847325713659215</v>
      </c>
      <c r="T601" s="146" t="n">
        <v>0.0256461116168785</v>
      </c>
      <c r="U601" s="29"/>
      <c r="V601" s="29"/>
      <c r="W601" s="29"/>
      <c r="X601" s="29"/>
      <c r="Y601" s="29"/>
      <c r="Z601" s="75"/>
    </row>
    <row r="602" customFormat="false" ht="12.75" hidden="false" customHeight="true" outlineLevel="0" collapsed="false">
      <c r="A602" s="2"/>
      <c r="B602" s="2"/>
      <c r="C602" s="75"/>
      <c r="D602" s="75"/>
      <c r="E602" s="75"/>
      <c r="F602" s="75"/>
      <c r="G602" s="75"/>
      <c r="H602" s="75"/>
      <c r="I602" s="2"/>
      <c r="J602" s="83"/>
      <c r="K602" s="83"/>
      <c r="L602" s="83"/>
      <c r="M602" s="83"/>
      <c r="N602" s="83"/>
      <c r="O602" s="2"/>
      <c r="P602" s="75" t="n">
        <v>599</v>
      </c>
      <c r="Q602" s="146" t="n">
        <v>13409.181447162</v>
      </c>
      <c r="R602" s="146" t="n">
        <v>0.263460773763707</v>
      </c>
      <c r="S602" s="146" t="n">
        <v>0.0803492008550906</v>
      </c>
      <c r="T602" s="146" t="n">
        <v>0.0248636792935692</v>
      </c>
      <c r="U602" s="29"/>
      <c r="V602" s="29"/>
      <c r="W602" s="29"/>
      <c r="X602" s="29"/>
      <c r="Y602" s="29"/>
      <c r="Z602" s="75"/>
    </row>
    <row r="603" customFormat="false" ht="12.75" hidden="false" customHeight="true" outlineLevel="0" collapsed="false">
      <c r="A603" s="2"/>
      <c r="B603" s="2"/>
      <c r="C603" s="75"/>
      <c r="D603" s="75"/>
      <c r="E603" s="75"/>
      <c r="F603" s="75"/>
      <c r="G603" s="75"/>
      <c r="H603" s="75"/>
      <c r="I603" s="2"/>
      <c r="J603" s="83"/>
      <c r="K603" s="83"/>
      <c r="L603" s="83"/>
      <c r="M603" s="83"/>
      <c r="N603" s="83"/>
      <c r="O603" s="2"/>
      <c r="P603" s="75" t="n">
        <v>600</v>
      </c>
      <c r="Q603" s="146" t="n">
        <v>13431.490558879</v>
      </c>
      <c r="R603" s="146" t="n">
        <v>0.262486618450328</v>
      </c>
      <c r="S603" s="146" t="n">
        <v>0.0757982032904778</v>
      </c>
      <c r="T603" s="146" t="n">
        <v>0.0237264737813174</v>
      </c>
      <c r="U603" s="29"/>
      <c r="V603" s="29"/>
      <c r="W603" s="29"/>
      <c r="X603" s="29"/>
      <c r="Y603" s="29"/>
      <c r="Z603" s="75"/>
    </row>
    <row r="604" customFormat="false" ht="12.75" hidden="false" customHeight="true" outlineLevel="0" collapsed="false">
      <c r="A604" s="2"/>
      <c r="B604" s="2"/>
      <c r="C604" s="75"/>
      <c r="D604" s="75"/>
      <c r="E604" s="75"/>
      <c r="F604" s="75"/>
      <c r="G604" s="75"/>
      <c r="H604" s="75"/>
      <c r="I604" s="2"/>
      <c r="J604" s="83"/>
      <c r="K604" s="83"/>
      <c r="L604" s="83"/>
      <c r="M604" s="83"/>
      <c r="N604" s="83"/>
      <c r="O604" s="2"/>
      <c r="P604" s="75" t="n">
        <v>601</v>
      </c>
      <c r="Q604" s="146" t="n">
        <v>13454.130054478</v>
      </c>
      <c r="R604" s="146" t="n">
        <v>0.262165496889601</v>
      </c>
      <c r="S604" s="146" t="n">
        <v>0.0745139475146374</v>
      </c>
      <c r="T604" s="146" t="n">
        <v>0.0221064399461815</v>
      </c>
      <c r="U604" s="29"/>
      <c r="V604" s="29"/>
      <c r="W604" s="29"/>
      <c r="X604" s="29"/>
      <c r="Y604" s="29"/>
      <c r="Z604" s="75"/>
    </row>
    <row r="605" customFormat="false" ht="12.75" hidden="false" customHeight="true" outlineLevel="0" collapsed="false">
      <c r="A605" s="2"/>
      <c r="B605" s="2"/>
      <c r="C605" s="75"/>
      <c r="D605" s="75"/>
      <c r="E605" s="75"/>
      <c r="F605" s="75"/>
      <c r="G605" s="75"/>
      <c r="H605" s="75"/>
      <c r="I605" s="2"/>
      <c r="J605" s="83"/>
      <c r="K605" s="83"/>
      <c r="L605" s="83"/>
      <c r="M605" s="83"/>
      <c r="N605" s="83"/>
      <c r="O605" s="2"/>
      <c r="P605" s="75" t="n">
        <v>602</v>
      </c>
      <c r="Q605" s="146" t="n">
        <v>13477.191783013</v>
      </c>
      <c r="R605" s="146" t="n">
        <v>0.261535673547576</v>
      </c>
      <c r="S605" s="146" t="n">
        <v>0.0774208200341665</v>
      </c>
      <c r="T605" s="146" t="n">
        <v>0.0209257912665698</v>
      </c>
      <c r="U605" s="29"/>
      <c r="V605" s="29"/>
      <c r="W605" s="29"/>
      <c r="X605" s="29"/>
      <c r="Y605" s="29"/>
      <c r="Z605" s="75"/>
    </row>
    <row r="606" customFormat="false" ht="12.75" hidden="false" customHeight="true" outlineLevel="0" collapsed="false">
      <c r="A606" s="2"/>
      <c r="B606" s="2"/>
      <c r="C606" s="75"/>
      <c r="D606" s="75"/>
      <c r="E606" s="75"/>
      <c r="F606" s="75"/>
      <c r="G606" s="75"/>
      <c r="H606" s="75"/>
      <c r="I606" s="2"/>
      <c r="J606" s="83"/>
      <c r="K606" s="83"/>
      <c r="L606" s="83"/>
      <c r="M606" s="83"/>
      <c r="N606" s="83"/>
      <c r="O606" s="2"/>
      <c r="P606" s="75" t="n">
        <v>603</v>
      </c>
      <c r="Q606" s="146" t="n">
        <v>13499.815205346</v>
      </c>
      <c r="R606" s="146" t="n">
        <v>0.261713492398642</v>
      </c>
      <c r="S606" s="146" t="n">
        <v>0.0803624186033283</v>
      </c>
      <c r="T606" s="146" t="n">
        <v>0.0208959427567281</v>
      </c>
      <c r="U606" s="29"/>
      <c r="V606" s="29"/>
      <c r="W606" s="29"/>
      <c r="X606" s="29"/>
      <c r="Y606" s="29"/>
      <c r="Z606" s="75"/>
    </row>
    <row r="607" customFormat="false" ht="12.75" hidden="false" customHeight="true" outlineLevel="0" collapsed="false">
      <c r="A607" s="2"/>
      <c r="B607" s="2"/>
      <c r="C607" s="75"/>
      <c r="D607" s="75"/>
      <c r="E607" s="75"/>
      <c r="F607" s="75"/>
      <c r="G607" s="75"/>
      <c r="H607" s="75"/>
      <c r="I607" s="2"/>
      <c r="J607" s="83"/>
      <c r="K607" s="83"/>
      <c r="L607" s="83"/>
      <c r="M607" s="83"/>
      <c r="N607" s="83"/>
      <c r="O607" s="2"/>
      <c r="P607" s="75" t="n">
        <v>604</v>
      </c>
      <c r="Q607" s="146" t="n">
        <v>13522.765300326</v>
      </c>
      <c r="R607" s="146" t="n">
        <v>0.262520032027946</v>
      </c>
      <c r="S607" s="146" t="n">
        <v>0.0830370419274268</v>
      </c>
      <c r="T607" s="146" t="n">
        <v>0.0203338200026584</v>
      </c>
      <c r="U607" s="29"/>
      <c r="V607" s="29"/>
      <c r="W607" s="29"/>
      <c r="X607" s="29"/>
      <c r="Y607" s="29"/>
      <c r="Z607" s="75"/>
    </row>
    <row r="608" customFormat="false" ht="12.75" hidden="false" customHeight="true" outlineLevel="0" collapsed="false">
      <c r="A608" s="2"/>
      <c r="B608" s="2"/>
      <c r="C608" s="75"/>
      <c r="D608" s="75"/>
      <c r="E608" s="75"/>
      <c r="F608" s="75"/>
      <c r="G608" s="75"/>
      <c r="H608" s="75"/>
      <c r="I608" s="2"/>
      <c r="J608" s="83"/>
      <c r="K608" s="83"/>
      <c r="L608" s="83"/>
      <c r="M608" s="83"/>
      <c r="N608" s="83"/>
      <c r="O608" s="2"/>
      <c r="P608" s="75" t="n">
        <v>605</v>
      </c>
      <c r="Q608" s="146" t="n">
        <v>13545.57657729</v>
      </c>
      <c r="R608" s="146" t="n">
        <v>0.26365452418329</v>
      </c>
      <c r="S608" s="146" t="n">
        <v>0.0850443757270194</v>
      </c>
      <c r="T608" s="146" t="n">
        <v>0.019798869966543</v>
      </c>
      <c r="U608" s="29"/>
      <c r="V608" s="29"/>
      <c r="W608" s="29"/>
      <c r="X608" s="29"/>
      <c r="Y608" s="29"/>
      <c r="Z608" s="75"/>
    </row>
    <row r="609" customFormat="false" ht="12.75" hidden="false" customHeight="true" outlineLevel="0" collapsed="false">
      <c r="A609" s="2"/>
      <c r="B609" s="2"/>
      <c r="C609" s="75"/>
      <c r="D609" s="75"/>
      <c r="E609" s="75"/>
      <c r="F609" s="75"/>
      <c r="G609" s="75"/>
      <c r="H609" s="75"/>
      <c r="I609" s="2"/>
      <c r="J609" s="83"/>
      <c r="K609" s="83"/>
      <c r="L609" s="83"/>
      <c r="M609" s="83"/>
      <c r="N609" s="83"/>
      <c r="O609" s="2"/>
      <c r="P609" s="75" t="n">
        <v>606</v>
      </c>
      <c r="Q609" s="146" t="n">
        <v>13568.367419975</v>
      </c>
      <c r="R609" s="146" t="n">
        <v>0.265010124444342</v>
      </c>
      <c r="S609" s="146" t="n">
        <v>0.0863117881648581</v>
      </c>
      <c r="T609" s="146" t="n">
        <v>0.0192991109273252</v>
      </c>
      <c r="U609" s="29"/>
      <c r="V609" s="29"/>
      <c r="W609" s="29"/>
      <c r="X609" s="29"/>
      <c r="Y609" s="29"/>
      <c r="Z609" s="75"/>
    </row>
    <row r="610" customFormat="false" ht="12.75" hidden="false" customHeight="true" outlineLevel="0" collapsed="false">
      <c r="A610" s="2"/>
      <c r="B610" s="2"/>
      <c r="C610" s="75"/>
      <c r="D610" s="75"/>
      <c r="E610" s="75"/>
      <c r="F610" s="75"/>
      <c r="G610" s="75"/>
      <c r="H610" s="75"/>
      <c r="I610" s="2"/>
      <c r="J610" s="83"/>
      <c r="K610" s="83"/>
      <c r="L610" s="83"/>
      <c r="M610" s="83"/>
      <c r="N610" s="83"/>
      <c r="O610" s="2"/>
      <c r="P610" s="75" t="n">
        <v>607</v>
      </c>
      <c r="Q610" s="146" t="n">
        <v>13590.985373261</v>
      </c>
      <c r="R610" s="146" t="n">
        <v>0.266351656963454</v>
      </c>
      <c r="S610" s="146" t="n">
        <v>0.0868131844528987</v>
      </c>
      <c r="T610" s="146" t="n">
        <v>0.0188999252503746</v>
      </c>
      <c r="U610" s="29"/>
      <c r="V610" s="29"/>
      <c r="W610" s="29"/>
      <c r="X610" s="29"/>
      <c r="Y610" s="29"/>
      <c r="Z610" s="75"/>
    </row>
    <row r="611" customFormat="false" ht="12.75" hidden="false" customHeight="true" outlineLevel="0" collapsed="false">
      <c r="A611" s="2"/>
      <c r="B611" s="2"/>
      <c r="C611" s="75"/>
      <c r="D611" s="75"/>
      <c r="E611" s="75"/>
      <c r="F611" s="75"/>
      <c r="G611" s="75"/>
      <c r="H611" s="75"/>
      <c r="I611" s="2"/>
      <c r="J611" s="83"/>
      <c r="K611" s="83"/>
      <c r="L611" s="83"/>
      <c r="M611" s="83"/>
      <c r="N611" s="83"/>
      <c r="O611" s="2"/>
      <c r="P611" s="75" t="n">
        <v>608</v>
      </c>
      <c r="Q611" s="146" t="n">
        <v>13613.066023609</v>
      </c>
      <c r="R611" s="146" t="n">
        <v>0.267542754402622</v>
      </c>
      <c r="S611" s="146" t="n">
        <v>0.0872584806304707</v>
      </c>
      <c r="T611" s="146" t="n">
        <v>0.0185842050990169</v>
      </c>
      <c r="U611" s="29"/>
      <c r="V611" s="29"/>
      <c r="W611" s="29"/>
      <c r="X611" s="29"/>
      <c r="Y611" s="29"/>
      <c r="Z611" s="75"/>
    </row>
    <row r="612" customFormat="false" ht="12.75" hidden="false" customHeight="true" outlineLevel="0" collapsed="false">
      <c r="A612" s="2"/>
      <c r="B612" s="2"/>
      <c r="C612" s="75"/>
      <c r="D612" s="75"/>
      <c r="E612" s="75"/>
      <c r="F612" s="75"/>
      <c r="G612" s="75"/>
      <c r="H612" s="75"/>
      <c r="I612" s="2"/>
      <c r="J612" s="83"/>
      <c r="K612" s="83"/>
      <c r="L612" s="83"/>
      <c r="M612" s="83"/>
      <c r="N612" s="83"/>
      <c r="O612" s="2"/>
      <c r="P612" s="75" t="n">
        <v>609</v>
      </c>
      <c r="Q612" s="146" t="n">
        <v>13636.106368359</v>
      </c>
      <c r="R612" s="146" t="n">
        <v>0.267659103723159</v>
      </c>
      <c r="S612" s="146" t="n">
        <v>0.0838102938883771</v>
      </c>
      <c r="T612" s="146" t="n">
        <v>0.018273487501273</v>
      </c>
      <c r="U612" s="29"/>
      <c r="V612" s="29"/>
      <c r="W612" s="29"/>
      <c r="X612" s="29"/>
      <c r="Y612" s="29"/>
      <c r="Z612" s="75"/>
    </row>
    <row r="613" customFormat="false" ht="12.75" hidden="false" customHeight="true" outlineLevel="0" collapsed="false">
      <c r="A613" s="2"/>
      <c r="B613" s="2"/>
      <c r="C613" s="75"/>
      <c r="D613" s="75"/>
      <c r="E613" s="75"/>
      <c r="F613" s="75"/>
      <c r="G613" s="75"/>
      <c r="H613" s="75"/>
      <c r="I613" s="2"/>
      <c r="J613" s="83"/>
      <c r="K613" s="83"/>
      <c r="L613" s="83"/>
      <c r="M613" s="83"/>
      <c r="N613" s="83"/>
      <c r="O613" s="2"/>
      <c r="P613" s="75" t="n">
        <v>610</v>
      </c>
      <c r="Q613" s="146" t="n">
        <v>13658.218773031</v>
      </c>
      <c r="R613" s="146" t="n">
        <v>0.268646813431357</v>
      </c>
      <c r="S613" s="146" t="n">
        <v>0.0844133895161594</v>
      </c>
      <c r="T613" s="146" t="n">
        <v>0.0176843454398203</v>
      </c>
      <c r="U613" s="29"/>
      <c r="V613" s="29"/>
      <c r="W613" s="29"/>
      <c r="X613" s="29"/>
      <c r="Y613" s="29"/>
      <c r="Z613" s="75"/>
    </row>
    <row r="614" customFormat="false" ht="12.75" hidden="false" customHeight="true" outlineLevel="0" collapsed="false">
      <c r="A614" s="2"/>
      <c r="B614" s="2"/>
      <c r="C614" s="75"/>
      <c r="D614" s="75"/>
      <c r="E614" s="75"/>
      <c r="F614" s="75"/>
      <c r="G614" s="75"/>
      <c r="H614" s="75"/>
      <c r="I614" s="2"/>
      <c r="J614" s="83"/>
      <c r="K614" s="83"/>
      <c r="L614" s="83"/>
      <c r="M614" s="83"/>
      <c r="N614" s="83"/>
      <c r="O614" s="2"/>
      <c r="P614" s="75" t="n">
        <v>611</v>
      </c>
      <c r="Q614" s="146" t="n">
        <v>13681.197694526</v>
      </c>
      <c r="R614" s="146" t="n">
        <v>0.267596163927002</v>
      </c>
      <c r="S614" s="146" t="n">
        <v>0.0815749565716819</v>
      </c>
      <c r="T614" s="146" t="n">
        <v>0.0174845199484973</v>
      </c>
      <c r="U614" s="29"/>
      <c r="V614" s="29"/>
      <c r="W614" s="29"/>
      <c r="X614" s="29"/>
      <c r="Y614" s="29"/>
      <c r="Z614" s="75"/>
    </row>
    <row r="615" customFormat="false" ht="12.75" hidden="false" customHeight="true" outlineLevel="0" collapsed="false">
      <c r="A615" s="2"/>
      <c r="B615" s="2"/>
      <c r="C615" s="75"/>
      <c r="D615" s="75"/>
      <c r="E615" s="75"/>
      <c r="F615" s="75"/>
      <c r="G615" s="75"/>
      <c r="H615" s="75"/>
      <c r="I615" s="2"/>
      <c r="J615" s="83"/>
      <c r="K615" s="83"/>
      <c r="L615" s="83"/>
      <c r="M615" s="83"/>
      <c r="N615" s="83"/>
      <c r="O615" s="2"/>
      <c r="P615" s="75" t="n">
        <v>612</v>
      </c>
      <c r="Q615" s="146" t="n">
        <v>13704.125040927</v>
      </c>
      <c r="R615" s="146" t="n">
        <v>0.267450521212549</v>
      </c>
      <c r="S615" s="146" t="n">
        <v>0.0784389321695353</v>
      </c>
      <c r="T615" s="146" t="n">
        <v>0.0167946802848069</v>
      </c>
      <c r="U615" s="29"/>
      <c r="V615" s="29"/>
      <c r="W615" s="29"/>
      <c r="X615" s="29"/>
      <c r="Y615" s="29"/>
      <c r="Z615" s="75"/>
    </row>
    <row r="616" customFormat="false" ht="12.75" hidden="false" customHeight="true" outlineLevel="0" collapsed="false">
      <c r="A616" s="2"/>
      <c r="B616" s="2"/>
      <c r="C616" s="75"/>
      <c r="D616" s="75"/>
      <c r="E616" s="75"/>
      <c r="F616" s="75"/>
      <c r="G616" s="75"/>
      <c r="H616" s="75"/>
      <c r="I616" s="2"/>
      <c r="J616" s="83"/>
      <c r="K616" s="83"/>
      <c r="L616" s="83"/>
      <c r="M616" s="83"/>
      <c r="N616" s="83"/>
      <c r="O616" s="2"/>
      <c r="P616" s="75" t="n">
        <v>613</v>
      </c>
      <c r="Q616" s="146" t="n">
        <v>13727.157549378</v>
      </c>
      <c r="R616" s="146" t="n">
        <v>0.266187136351222</v>
      </c>
      <c r="S616" s="146" t="n">
        <v>0.0755545161461491</v>
      </c>
      <c r="T616" s="146" t="n">
        <v>0.0163350903701651</v>
      </c>
      <c r="U616" s="29"/>
      <c r="V616" s="29"/>
      <c r="W616" s="29"/>
      <c r="X616" s="29"/>
      <c r="Y616" s="29"/>
      <c r="Z616" s="75"/>
    </row>
    <row r="617" customFormat="false" ht="12.75" hidden="false" customHeight="true" outlineLevel="0" collapsed="false">
      <c r="A617" s="2"/>
      <c r="B617" s="2"/>
      <c r="C617" s="75"/>
      <c r="D617" s="75"/>
      <c r="E617" s="75"/>
      <c r="F617" s="75"/>
      <c r="G617" s="75"/>
      <c r="H617" s="75"/>
      <c r="I617" s="2"/>
      <c r="J617" s="83"/>
      <c r="K617" s="83"/>
      <c r="L617" s="83"/>
      <c r="M617" s="83"/>
      <c r="N617" s="83"/>
      <c r="O617" s="2"/>
      <c r="P617" s="75" t="n">
        <v>614</v>
      </c>
      <c r="Q617" s="146" t="n">
        <v>13750.430330031</v>
      </c>
      <c r="R617" s="146" t="n">
        <v>0.265023558848755</v>
      </c>
      <c r="S617" s="146" t="n">
        <v>0.070457106227503</v>
      </c>
      <c r="T617" s="146" t="n">
        <v>0.0170081296631444</v>
      </c>
      <c r="U617" s="29"/>
      <c r="V617" s="29"/>
      <c r="W617" s="29"/>
      <c r="X617" s="29"/>
      <c r="Y617" s="29"/>
      <c r="Z617" s="75"/>
    </row>
    <row r="618" customFormat="false" ht="12.75" hidden="false" customHeight="true" outlineLevel="0" collapsed="false">
      <c r="A618" s="2"/>
      <c r="B618" s="2"/>
      <c r="C618" s="75"/>
      <c r="D618" s="75"/>
      <c r="E618" s="75"/>
      <c r="F618" s="75"/>
      <c r="G618" s="75"/>
      <c r="H618" s="75"/>
      <c r="I618" s="2"/>
      <c r="J618" s="83"/>
      <c r="K618" s="83"/>
      <c r="L618" s="83"/>
      <c r="M618" s="83"/>
      <c r="N618" s="83"/>
      <c r="O618" s="2"/>
      <c r="P618" s="75" t="n">
        <v>615</v>
      </c>
      <c r="Q618" s="146" t="n">
        <v>13773.255585649</v>
      </c>
      <c r="R618" s="146" t="n">
        <v>0.263933311221363</v>
      </c>
      <c r="S618" s="146" t="n">
        <v>0.0671615768626737</v>
      </c>
      <c r="T618" s="146" t="n">
        <v>0.0167111828505967</v>
      </c>
      <c r="U618" s="29"/>
      <c r="V618" s="29"/>
      <c r="W618" s="29"/>
      <c r="X618" s="29"/>
      <c r="Y618" s="29"/>
      <c r="Z618" s="75"/>
    </row>
    <row r="619" customFormat="false" ht="12.75" hidden="false" customHeight="true" outlineLevel="0" collapsed="false">
      <c r="A619" s="2"/>
      <c r="B619" s="2"/>
      <c r="C619" s="75"/>
      <c r="D619" s="75"/>
      <c r="E619" s="75"/>
      <c r="F619" s="75"/>
      <c r="G619" s="75"/>
      <c r="H619" s="75"/>
      <c r="I619" s="2"/>
      <c r="J619" s="83"/>
      <c r="K619" s="83"/>
      <c r="L619" s="83"/>
      <c r="M619" s="83"/>
      <c r="N619" s="83"/>
      <c r="O619" s="2"/>
      <c r="P619" s="75" t="n">
        <v>616</v>
      </c>
      <c r="Q619" s="146" t="n">
        <v>13796.07026797</v>
      </c>
      <c r="R619" s="146" t="n">
        <v>0.263217727204547</v>
      </c>
      <c r="S619" s="146" t="n">
        <v>0.0624017685693467</v>
      </c>
      <c r="T619" s="146" t="n">
        <v>0.0180650385255905</v>
      </c>
      <c r="U619" s="29"/>
      <c r="V619" s="29"/>
      <c r="W619" s="29"/>
      <c r="X619" s="29"/>
      <c r="Y619" s="29"/>
      <c r="Z619" s="75"/>
    </row>
    <row r="620" customFormat="false" ht="12.75" hidden="false" customHeight="true" outlineLevel="0" collapsed="false">
      <c r="A620" s="2"/>
      <c r="B620" s="2"/>
      <c r="C620" s="75"/>
      <c r="D620" s="75"/>
      <c r="E620" s="75"/>
      <c r="F620" s="75"/>
      <c r="G620" s="75"/>
      <c r="H620" s="75"/>
      <c r="I620" s="2"/>
      <c r="J620" s="83"/>
      <c r="K620" s="83"/>
      <c r="L620" s="83"/>
      <c r="M620" s="83"/>
      <c r="N620" s="83"/>
      <c r="O620" s="2"/>
      <c r="P620" s="75" t="n">
        <v>617</v>
      </c>
      <c r="Q620" s="146" t="n">
        <v>13818.966641394</v>
      </c>
      <c r="R620" s="146" t="n">
        <v>0.262683620665068</v>
      </c>
      <c r="S620" s="146" t="n">
        <v>0.0590412348078672</v>
      </c>
      <c r="T620" s="146" t="n">
        <v>0.0193030025390633</v>
      </c>
      <c r="U620" s="29"/>
      <c r="V620" s="29"/>
      <c r="W620" s="29"/>
      <c r="X620" s="29"/>
      <c r="Y620" s="29"/>
      <c r="Z620" s="75"/>
    </row>
    <row r="621" customFormat="false" ht="12.75" hidden="false" customHeight="true" outlineLevel="0" collapsed="false">
      <c r="A621" s="2"/>
      <c r="B621" s="2"/>
      <c r="C621" s="75"/>
      <c r="D621" s="75"/>
      <c r="E621" s="75"/>
      <c r="F621" s="75"/>
      <c r="G621" s="75"/>
      <c r="H621" s="75"/>
      <c r="I621" s="2"/>
      <c r="J621" s="83"/>
      <c r="K621" s="83"/>
      <c r="L621" s="83"/>
      <c r="M621" s="83"/>
      <c r="N621" s="83"/>
      <c r="O621" s="2"/>
      <c r="P621" s="75" t="n">
        <v>618</v>
      </c>
      <c r="Q621" s="146" t="n">
        <v>13841.788193547</v>
      </c>
      <c r="R621" s="146" t="n">
        <v>0.262814841212143</v>
      </c>
      <c r="S621" s="146" t="n">
        <v>0.056436901174566</v>
      </c>
      <c r="T621" s="146" t="n">
        <v>0.0210456678339968</v>
      </c>
      <c r="U621" s="29"/>
      <c r="V621" s="29"/>
      <c r="W621" s="29"/>
      <c r="X621" s="29"/>
      <c r="Y621" s="29"/>
      <c r="Z621" s="75"/>
    </row>
    <row r="622" customFormat="false" ht="12.75" hidden="false" customHeight="true" outlineLevel="0" collapsed="false">
      <c r="A622" s="2"/>
      <c r="B622" s="2"/>
      <c r="C622" s="75"/>
      <c r="D622" s="75"/>
      <c r="E622" s="75"/>
      <c r="F622" s="75"/>
      <c r="G622" s="75"/>
      <c r="H622" s="75"/>
      <c r="I622" s="2"/>
      <c r="J622" s="83"/>
      <c r="K622" s="83"/>
      <c r="L622" s="83"/>
      <c r="M622" s="83"/>
      <c r="N622" s="83"/>
      <c r="O622" s="2"/>
      <c r="P622" s="75" t="n">
        <v>619</v>
      </c>
      <c r="Q622" s="146" t="n">
        <v>13864.421378971</v>
      </c>
      <c r="R622" s="146" t="n">
        <v>0.263361940810814</v>
      </c>
      <c r="S622" s="146" t="n">
        <v>0.055129397112624</v>
      </c>
      <c r="T622" s="146" t="n">
        <v>0.0226750999664545</v>
      </c>
      <c r="U622" s="29"/>
      <c r="V622" s="29"/>
      <c r="W622" s="29"/>
      <c r="X622" s="29"/>
      <c r="Y622" s="29"/>
      <c r="Z622" s="75"/>
    </row>
    <row r="623" customFormat="false" ht="12.75" hidden="false" customHeight="true" outlineLevel="0" collapsed="false">
      <c r="A623" s="2"/>
      <c r="B623" s="2"/>
      <c r="C623" s="75"/>
      <c r="D623" s="75"/>
      <c r="E623" s="75"/>
      <c r="F623" s="75"/>
      <c r="G623" s="75"/>
      <c r="H623" s="75"/>
      <c r="I623" s="2"/>
      <c r="J623" s="83"/>
      <c r="K623" s="83"/>
      <c r="L623" s="83"/>
      <c r="M623" s="83"/>
      <c r="N623" s="83"/>
      <c r="O623" s="2"/>
      <c r="P623" s="75" t="n">
        <v>620</v>
      </c>
      <c r="Q623" s="146" t="n">
        <v>13887.097303185</v>
      </c>
      <c r="R623" s="146" t="n">
        <v>0.264093631867086</v>
      </c>
      <c r="S623" s="146" t="n">
        <v>0.058124647187253</v>
      </c>
      <c r="T623" s="146" t="n">
        <v>0.0233382039185938</v>
      </c>
      <c r="U623" s="29"/>
      <c r="V623" s="29"/>
      <c r="W623" s="29"/>
      <c r="X623" s="29"/>
      <c r="Y623" s="29"/>
      <c r="Z623" s="75"/>
    </row>
    <row r="624" customFormat="false" ht="12.75" hidden="false" customHeight="true" outlineLevel="0" collapsed="false">
      <c r="A624" s="2"/>
      <c r="B624" s="2"/>
      <c r="C624" s="75"/>
      <c r="D624" s="75"/>
      <c r="E624" s="75"/>
      <c r="F624" s="75"/>
      <c r="G624" s="75"/>
      <c r="H624" s="75"/>
      <c r="I624" s="2"/>
      <c r="J624" s="83"/>
      <c r="K624" s="83"/>
      <c r="L624" s="83"/>
      <c r="M624" s="83"/>
      <c r="N624" s="83"/>
      <c r="O624" s="2"/>
      <c r="P624" s="75" t="n">
        <v>621</v>
      </c>
      <c r="Q624" s="146" t="n">
        <v>13909.890582421</v>
      </c>
      <c r="R624" s="146" t="n">
        <v>0.265185395151486</v>
      </c>
      <c r="S624" s="146" t="n">
        <v>0.0641560105946692</v>
      </c>
      <c r="T624" s="146" t="n">
        <v>0.0235383057138397</v>
      </c>
      <c r="U624" s="29"/>
      <c r="V624" s="29"/>
      <c r="W624" s="29"/>
      <c r="X624" s="29"/>
      <c r="Y624" s="29"/>
      <c r="Z624" s="75"/>
    </row>
    <row r="625" customFormat="false" ht="12.75" hidden="false" customHeight="true" outlineLevel="0" collapsed="false">
      <c r="A625" s="2"/>
      <c r="B625" s="2"/>
      <c r="C625" s="75"/>
      <c r="D625" s="75"/>
      <c r="E625" s="75"/>
      <c r="F625" s="75"/>
      <c r="G625" s="75"/>
      <c r="H625" s="75"/>
      <c r="I625" s="2"/>
      <c r="J625" s="83"/>
      <c r="K625" s="83"/>
      <c r="L625" s="83"/>
      <c r="M625" s="83"/>
      <c r="N625" s="83"/>
      <c r="O625" s="2"/>
      <c r="P625" s="75" t="n">
        <v>622</v>
      </c>
      <c r="Q625" s="146" t="n">
        <v>13932.373542395</v>
      </c>
      <c r="R625" s="146" t="n">
        <v>0.266711913691752</v>
      </c>
      <c r="S625" s="146" t="n">
        <v>0.0692830909498192</v>
      </c>
      <c r="T625" s="146" t="n">
        <v>0.023946163456396</v>
      </c>
      <c r="U625" s="29"/>
      <c r="V625" s="29"/>
      <c r="W625" s="29"/>
      <c r="X625" s="29"/>
      <c r="Y625" s="29"/>
      <c r="Z625" s="75"/>
    </row>
    <row r="626" customFormat="false" ht="12.75" hidden="false" customHeight="true" outlineLevel="0" collapsed="false">
      <c r="A626" s="2"/>
      <c r="B626" s="2"/>
      <c r="C626" s="75"/>
      <c r="D626" s="75"/>
      <c r="E626" s="75"/>
      <c r="F626" s="75"/>
      <c r="G626" s="75"/>
      <c r="H626" s="75"/>
      <c r="I626" s="2"/>
      <c r="J626" s="83"/>
      <c r="K626" s="83"/>
      <c r="L626" s="83"/>
      <c r="M626" s="83"/>
      <c r="N626" s="83"/>
      <c r="O626" s="2"/>
      <c r="P626" s="75" t="n">
        <v>623</v>
      </c>
      <c r="Q626" s="146" t="n">
        <v>13955.075585824</v>
      </c>
      <c r="R626" s="146" t="n">
        <v>0.26857576070023</v>
      </c>
      <c r="S626" s="146" t="n">
        <v>0.0769059213739998</v>
      </c>
      <c r="T626" s="146" t="n">
        <v>0.0231635338615675</v>
      </c>
      <c r="U626" s="29"/>
      <c r="V626" s="29"/>
      <c r="W626" s="29"/>
      <c r="X626" s="29"/>
      <c r="Y626" s="29"/>
      <c r="Z626" s="75"/>
    </row>
    <row r="627" customFormat="false" ht="12.75" hidden="false" customHeight="true" outlineLevel="0" collapsed="false">
      <c r="A627" s="2"/>
      <c r="B627" s="2"/>
      <c r="C627" s="75"/>
      <c r="D627" s="75"/>
      <c r="E627" s="75"/>
      <c r="F627" s="75"/>
      <c r="G627" s="75"/>
      <c r="H627" s="75"/>
      <c r="I627" s="2"/>
      <c r="J627" s="83"/>
      <c r="K627" s="83"/>
      <c r="L627" s="83"/>
      <c r="M627" s="83"/>
      <c r="N627" s="83"/>
      <c r="O627" s="2"/>
      <c r="P627" s="75" t="n">
        <v>624</v>
      </c>
      <c r="Q627" s="146" t="n">
        <v>13977.570148041</v>
      </c>
      <c r="R627" s="146" t="n">
        <v>0.270157959698576</v>
      </c>
      <c r="S627" s="146" t="n">
        <v>0.0821347698276983</v>
      </c>
      <c r="T627" s="146" t="n">
        <v>0.0231526828606499</v>
      </c>
      <c r="U627" s="29"/>
      <c r="V627" s="29"/>
      <c r="W627" s="29"/>
      <c r="X627" s="29"/>
      <c r="Y627" s="29"/>
      <c r="Z627" s="75"/>
    </row>
    <row r="628" customFormat="false" ht="12.75" hidden="false" customHeight="true" outlineLevel="0" collapsed="false">
      <c r="A628" s="2"/>
      <c r="B628" s="2"/>
      <c r="C628" s="75"/>
      <c r="D628" s="75"/>
      <c r="E628" s="75"/>
      <c r="F628" s="75"/>
      <c r="G628" s="75"/>
      <c r="H628" s="75"/>
      <c r="I628" s="2"/>
      <c r="J628" s="83"/>
      <c r="K628" s="83"/>
      <c r="L628" s="83"/>
      <c r="M628" s="83"/>
      <c r="N628" s="83"/>
      <c r="O628" s="2"/>
      <c r="P628" s="75" t="n">
        <v>625</v>
      </c>
      <c r="Q628" s="146" t="n">
        <v>14000.000733354</v>
      </c>
      <c r="R628" s="146" t="n">
        <v>0.271764020405302</v>
      </c>
      <c r="S628" s="146" t="n">
        <v>0.0881653682516644</v>
      </c>
      <c r="T628" s="146" t="n">
        <v>0.022516378310105</v>
      </c>
      <c r="U628" s="29"/>
      <c r="V628" s="29"/>
      <c r="W628" s="29"/>
      <c r="X628" s="29"/>
      <c r="Y628" s="29"/>
      <c r="Z628" s="75"/>
    </row>
    <row r="629" customFormat="false" ht="12.75" hidden="false" customHeight="true" outlineLevel="0" collapsed="false">
      <c r="A629" s="2"/>
      <c r="B629" s="2"/>
      <c r="C629" s="75"/>
      <c r="D629" s="75"/>
      <c r="E629" s="75"/>
      <c r="F629" s="75"/>
      <c r="G629" s="75"/>
      <c r="H629" s="75"/>
      <c r="I629" s="2"/>
      <c r="J629" s="83"/>
      <c r="K629" s="83"/>
      <c r="L629" s="83"/>
      <c r="M629" s="83"/>
      <c r="N629" s="83"/>
      <c r="O629" s="2"/>
      <c r="P629" s="75" t="n">
        <v>626</v>
      </c>
      <c r="Q629" s="146" t="n">
        <v>14022.387617651</v>
      </c>
      <c r="R629" s="146" t="n">
        <v>0.272782225897561</v>
      </c>
      <c r="S629" s="146" t="n">
        <v>0.0915319366234955</v>
      </c>
      <c r="T629" s="146" t="n">
        <v>0.0226359173180901</v>
      </c>
      <c r="U629" s="29"/>
      <c r="V629" s="29"/>
      <c r="W629" s="29"/>
      <c r="X629" s="29"/>
      <c r="Y629" s="29"/>
      <c r="Z629" s="75"/>
    </row>
    <row r="630" customFormat="false" ht="12.75" hidden="false" customHeight="true" outlineLevel="0" collapsed="false">
      <c r="A630" s="2"/>
      <c r="B630" s="2"/>
      <c r="C630" s="75"/>
      <c r="D630" s="75"/>
      <c r="E630" s="75"/>
      <c r="F630" s="75"/>
      <c r="G630" s="75"/>
      <c r="H630" s="75"/>
      <c r="I630" s="2"/>
      <c r="J630" s="83"/>
      <c r="K630" s="83"/>
      <c r="L630" s="83"/>
      <c r="M630" s="83"/>
      <c r="N630" s="83"/>
      <c r="O630" s="2"/>
      <c r="P630" s="75" t="n">
        <v>627</v>
      </c>
      <c r="Q630" s="146" t="n">
        <v>14044.953696533</v>
      </c>
      <c r="R630" s="146" t="n">
        <v>0.273284246178641</v>
      </c>
      <c r="S630" s="146" t="n">
        <v>0.0932801946368555</v>
      </c>
      <c r="T630" s="146" t="n">
        <v>0.022689867473171</v>
      </c>
      <c r="U630" s="29"/>
      <c r="V630" s="29"/>
      <c r="W630" s="29"/>
      <c r="X630" s="29"/>
      <c r="Y630" s="29"/>
      <c r="Z630" s="75"/>
    </row>
    <row r="631" customFormat="false" ht="12.75" hidden="false" customHeight="true" outlineLevel="0" collapsed="false">
      <c r="A631" s="2"/>
      <c r="B631" s="2"/>
      <c r="C631" s="75"/>
      <c r="D631" s="75"/>
      <c r="E631" s="75"/>
      <c r="F631" s="75"/>
      <c r="G631" s="75"/>
      <c r="H631" s="75"/>
      <c r="I631" s="2"/>
      <c r="J631" s="83"/>
      <c r="K631" s="83"/>
      <c r="L631" s="83"/>
      <c r="M631" s="83"/>
      <c r="N631" s="83"/>
      <c r="O631" s="2"/>
      <c r="P631" s="75" t="n">
        <v>628</v>
      </c>
      <c r="Q631" s="146" t="n">
        <v>14067.418918397</v>
      </c>
      <c r="R631" s="146" t="n">
        <v>0.273503685493491</v>
      </c>
      <c r="S631" s="146" t="n">
        <v>0.0923278426306327</v>
      </c>
      <c r="T631" s="146" t="n">
        <v>0.0229289516038613</v>
      </c>
      <c r="U631" s="29"/>
      <c r="V631" s="29"/>
      <c r="W631" s="29"/>
      <c r="X631" s="29"/>
      <c r="Y631" s="29"/>
      <c r="Z631" s="75"/>
    </row>
    <row r="632" customFormat="false" ht="12.75" hidden="false" customHeight="true" outlineLevel="0" collapsed="false">
      <c r="A632" s="2"/>
      <c r="B632" s="2"/>
      <c r="C632" s="75"/>
      <c r="D632" s="75"/>
      <c r="E632" s="75"/>
      <c r="F632" s="75"/>
      <c r="G632" s="75"/>
      <c r="H632" s="75"/>
      <c r="I632" s="2"/>
      <c r="J632" s="83"/>
      <c r="K632" s="83"/>
      <c r="L632" s="83"/>
      <c r="M632" s="83"/>
      <c r="N632" s="83"/>
      <c r="O632" s="2"/>
      <c r="P632" s="75" t="n">
        <v>629</v>
      </c>
      <c r="Q632" s="146" t="n">
        <v>14090.294801573</v>
      </c>
      <c r="R632" s="146" t="n">
        <v>0.273420785557719</v>
      </c>
      <c r="S632" s="146" t="n">
        <v>0.0867162696981904</v>
      </c>
      <c r="T632" s="146" t="n">
        <v>0.0235573521606198</v>
      </c>
      <c r="U632" s="29"/>
      <c r="V632" s="29"/>
      <c r="W632" s="29"/>
      <c r="X632" s="29"/>
      <c r="Y632" s="29"/>
      <c r="Z632" s="75"/>
    </row>
    <row r="633" customFormat="false" ht="12.75" hidden="false" customHeight="true" outlineLevel="0" collapsed="false">
      <c r="A633" s="2"/>
      <c r="B633" s="2"/>
      <c r="C633" s="75"/>
      <c r="D633" s="75"/>
      <c r="E633" s="75"/>
      <c r="F633" s="75"/>
      <c r="G633" s="75"/>
      <c r="H633" s="75"/>
      <c r="I633" s="2"/>
      <c r="J633" s="83"/>
      <c r="K633" s="83"/>
      <c r="L633" s="83"/>
      <c r="M633" s="83"/>
      <c r="N633" s="83"/>
      <c r="O633" s="2"/>
      <c r="P633" s="75" t="n">
        <v>630</v>
      </c>
      <c r="Q633" s="146" t="n">
        <v>14113.125607059</v>
      </c>
      <c r="R633" s="146" t="n">
        <v>0.2729854287546</v>
      </c>
      <c r="S633" s="146" t="n">
        <v>0.0810353052137485</v>
      </c>
      <c r="T633" s="146" t="n">
        <v>0.0240822916945003</v>
      </c>
      <c r="U633" s="29"/>
      <c r="V633" s="29"/>
      <c r="W633" s="29"/>
      <c r="X633" s="29"/>
      <c r="Y633" s="29"/>
      <c r="Z633" s="75"/>
    </row>
    <row r="634" customFormat="false" ht="12.75" hidden="false" customHeight="true" outlineLevel="0" collapsed="false">
      <c r="A634" s="2"/>
      <c r="B634" s="2"/>
      <c r="C634" s="75"/>
      <c r="D634" s="75"/>
      <c r="E634" s="75"/>
      <c r="F634" s="75"/>
      <c r="G634" s="75"/>
      <c r="H634" s="75"/>
      <c r="I634" s="2"/>
      <c r="J634" s="83"/>
      <c r="K634" s="83"/>
      <c r="L634" s="83"/>
      <c r="M634" s="83"/>
      <c r="N634" s="83"/>
      <c r="O634" s="2"/>
      <c r="P634" s="75" t="n">
        <v>631</v>
      </c>
      <c r="Q634" s="146" t="n">
        <v>14135.838922394</v>
      </c>
      <c r="R634" s="146" t="n">
        <v>0.272058676015949</v>
      </c>
      <c r="S634" s="146" t="n">
        <v>0.0769955479892426</v>
      </c>
      <c r="T634" s="146" t="n">
        <v>0.0242475129225692</v>
      </c>
      <c r="U634" s="29"/>
      <c r="V634" s="29"/>
      <c r="W634" s="29"/>
      <c r="X634" s="29"/>
      <c r="Y634" s="29"/>
      <c r="Z634" s="75"/>
    </row>
    <row r="635" customFormat="false" ht="12.75" hidden="false" customHeight="true" outlineLevel="0" collapsed="false">
      <c r="A635" s="2"/>
      <c r="B635" s="2"/>
      <c r="C635" s="75"/>
      <c r="D635" s="75"/>
      <c r="E635" s="75"/>
      <c r="F635" s="75"/>
      <c r="G635" s="75"/>
      <c r="H635" s="75"/>
      <c r="I635" s="2"/>
      <c r="J635" s="83"/>
      <c r="K635" s="83"/>
      <c r="L635" s="83"/>
      <c r="M635" s="83"/>
      <c r="N635" s="83"/>
      <c r="O635" s="2"/>
      <c r="P635" s="75" t="n">
        <v>632</v>
      </c>
      <c r="Q635" s="146" t="n">
        <v>14158.637697518</v>
      </c>
      <c r="R635" s="146" t="n">
        <v>0.270826976319594</v>
      </c>
      <c r="S635" s="146" t="n">
        <v>0.071691785112558</v>
      </c>
      <c r="T635" s="146" t="n">
        <v>0.0246949322079049</v>
      </c>
      <c r="U635" s="29"/>
      <c r="V635" s="29"/>
      <c r="W635" s="29"/>
      <c r="X635" s="29"/>
      <c r="Y635" s="29"/>
      <c r="Z635" s="75"/>
    </row>
    <row r="636" customFormat="false" ht="12.75" hidden="false" customHeight="true" outlineLevel="0" collapsed="false">
      <c r="A636" s="2"/>
      <c r="B636" s="2"/>
      <c r="C636" s="75"/>
      <c r="D636" s="75"/>
      <c r="E636" s="75"/>
      <c r="F636" s="75"/>
      <c r="G636" s="75"/>
      <c r="H636" s="75"/>
      <c r="I636" s="2"/>
      <c r="J636" s="83"/>
      <c r="K636" s="83"/>
      <c r="L636" s="83"/>
      <c r="M636" s="83"/>
      <c r="N636" s="83"/>
      <c r="O636" s="2"/>
      <c r="P636" s="75" t="n">
        <v>633</v>
      </c>
      <c r="Q636" s="146" t="n">
        <v>14181.316306641</v>
      </c>
      <c r="R636" s="146" t="n">
        <v>0.269398236125201</v>
      </c>
      <c r="S636" s="146" t="n">
        <v>0.0672357730930367</v>
      </c>
      <c r="T636" s="146" t="n">
        <v>0.0247664144991889</v>
      </c>
      <c r="U636" s="29"/>
      <c r="V636" s="29"/>
      <c r="W636" s="29"/>
      <c r="X636" s="29"/>
      <c r="Y636" s="29"/>
      <c r="Z636" s="75"/>
    </row>
    <row r="637" customFormat="false" ht="12.75" hidden="false" customHeight="true" outlineLevel="0" collapsed="false">
      <c r="A637" s="2"/>
      <c r="B637" s="2"/>
      <c r="C637" s="75"/>
      <c r="D637" s="75"/>
      <c r="E637" s="75"/>
      <c r="F637" s="75"/>
      <c r="G637" s="75"/>
      <c r="H637" s="75"/>
      <c r="I637" s="2"/>
      <c r="J637" s="83"/>
      <c r="K637" s="83"/>
      <c r="L637" s="83"/>
      <c r="M637" s="83"/>
      <c r="N637" s="83"/>
      <c r="O637" s="2"/>
      <c r="P637" s="75" t="n">
        <v>634</v>
      </c>
      <c r="Q637" s="146" t="n">
        <v>14204.007027156</v>
      </c>
      <c r="R637" s="146" t="n">
        <v>0.267716115976761</v>
      </c>
      <c r="S637" s="146" t="n">
        <v>0.0636407025010381</v>
      </c>
      <c r="T637" s="146" t="n">
        <v>0.0249833797783755</v>
      </c>
      <c r="U637" s="29"/>
      <c r="V637" s="29"/>
      <c r="W637" s="29"/>
      <c r="X637" s="29"/>
      <c r="Y637" s="29"/>
      <c r="Z637" s="75"/>
    </row>
    <row r="638" customFormat="false" ht="12.75" hidden="false" customHeight="true" outlineLevel="0" collapsed="false">
      <c r="A638" s="2"/>
      <c r="B638" s="2"/>
      <c r="C638" s="75"/>
      <c r="D638" s="75"/>
      <c r="E638" s="75"/>
      <c r="F638" s="75"/>
      <c r="G638" s="75"/>
      <c r="H638" s="75"/>
      <c r="I638" s="2"/>
      <c r="J638" s="83"/>
      <c r="K638" s="83"/>
      <c r="L638" s="83"/>
      <c r="M638" s="83"/>
      <c r="N638" s="83"/>
      <c r="O638" s="2"/>
      <c r="P638" s="75" t="n">
        <v>635</v>
      </c>
      <c r="Q638" s="146" t="n">
        <v>14226.807095744</v>
      </c>
      <c r="R638" s="146" t="n">
        <v>0.266100915149029</v>
      </c>
      <c r="S638" s="146" t="n">
        <v>0.0611689212070858</v>
      </c>
      <c r="T638" s="146" t="n">
        <v>0.0254026430124803</v>
      </c>
      <c r="U638" s="29"/>
      <c r="V638" s="29"/>
      <c r="W638" s="29"/>
      <c r="X638" s="29"/>
      <c r="Y638" s="29"/>
      <c r="Z638" s="75"/>
    </row>
    <row r="639" customFormat="false" ht="12.75" hidden="false" customHeight="true" outlineLevel="0" collapsed="false">
      <c r="A639" s="2"/>
      <c r="B639" s="2"/>
      <c r="C639" s="75"/>
      <c r="D639" s="75"/>
      <c r="E639" s="75"/>
      <c r="F639" s="75"/>
      <c r="G639" s="75"/>
      <c r="H639" s="75"/>
      <c r="I639" s="2"/>
      <c r="J639" s="83"/>
      <c r="K639" s="83"/>
      <c r="L639" s="83"/>
      <c r="M639" s="83"/>
      <c r="N639" s="83"/>
      <c r="O639" s="2"/>
      <c r="P639" s="75" t="n">
        <v>636</v>
      </c>
      <c r="Q639" s="146" t="n">
        <v>14249.991835898</v>
      </c>
      <c r="R639" s="146" t="n">
        <v>0.264597305532706</v>
      </c>
      <c r="S639" s="146" t="n">
        <v>0.0604417347011541</v>
      </c>
      <c r="T639" s="146" t="n">
        <v>0.0259563747173326</v>
      </c>
      <c r="U639" s="29"/>
      <c r="V639" s="29"/>
      <c r="W639" s="29"/>
      <c r="X639" s="29"/>
      <c r="Y639" s="29"/>
      <c r="Z639" s="75"/>
    </row>
    <row r="640" customFormat="false" ht="12.75" hidden="false" customHeight="true" outlineLevel="0" collapsed="false">
      <c r="A640" s="2"/>
      <c r="B640" s="2"/>
      <c r="C640" s="75"/>
      <c r="D640" s="75"/>
      <c r="E640" s="75"/>
      <c r="F640" s="75"/>
      <c r="G640" s="75"/>
      <c r="H640" s="75"/>
      <c r="I640" s="2"/>
      <c r="J640" s="83"/>
      <c r="K640" s="83"/>
      <c r="L640" s="83"/>
      <c r="M640" s="83"/>
      <c r="N640" s="83"/>
      <c r="O640" s="2"/>
      <c r="P640" s="75" t="n">
        <v>637</v>
      </c>
      <c r="Q640" s="146" t="n">
        <v>14273.40280396</v>
      </c>
      <c r="R640" s="146" t="n">
        <v>0.2633201052956</v>
      </c>
      <c r="S640" s="146" t="n">
        <v>0.0622188278134627</v>
      </c>
      <c r="T640" s="146" t="n">
        <v>0.0266030000251588</v>
      </c>
      <c r="U640" s="29"/>
      <c r="V640" s="29"/>
      <c r="W640" s="29"/>
      <c r="X640" s="29"/>
      <c r="Y640" s="29"/>
      <c r="Z640" s="75"/>
    </row>
    <row r="641" customFormat="false" ht="12.75" hidden="false" customHeight="true" outlineLevel="0" collapsed="false">
      <c r="A641" s="2"/>
      <c r="B641" s="2"/>
      <c r="C641" s="75"/>
      <c r="D641" s="75"/>
      <c r="E641" s="75"/>
      <c r="F641" s="75"/>
      <c r="G641" s="75"/>
      <c r="H641" s="75"/>
      <c r="I641" s="2"/>
      <c r="J641" s="83"/>
      <c r="K641" s="83"/>
      <c r="L641" s="83"/>
      <c r="M641" s="83"/>
      <c r="N641" s="83"/>
      <c r="O641" s="2"/>
      <c r="P641" s="75" t="n">
        <v>638</v>
      </c>
      <c r="Q641" s="146" t="n">
        <v>14296.302169043</v>
      </c>
      <c r="R641" s="146" t="n">
        <v>0.262712347257683</v>
      </c>
      <c r="S641" s="146" t="n">
        <v>0.0655508702227744</v>
      </c>
      <c r="T641" s="146" t="n">
        <v>0.0272203603526308</v>
      </c>
      <c r="U641" s="29"/>
      <c r="V641" s="29"/>
      <c r="W641" s="29"/>
      <c r="X641" s="29"/>
      <c r="Y641" s="29"/>
      <c r="Z641" s="75"/>
    </row>
    <row r="642" customFormat="false" ht="12.75" hidden="false" customHeight="true" outlineLevel="0" collapsed="false">
      <c r="A642" s="2"/>
      <c r="B642" s="2"/>
      <c r="C642" s="75"/>
      <c r="D642" s="75"/>
      <c r="E642" s="75"/>
      <c r="F642" s="75"/>
      <c r="G642" s="75"/>
      <c r="H642" s="75"/>
      <c r="I642" s="2"/>
      <c r="J642" s="83"/>
      <c r="K642" s="83"/>
      <c r="L642" s="83"/>
      <c r="M642" s="83"/>
      <c r="N642" s="83"/>
      <c r="O642" s="2"/>
      <c r="P642" s="75" t="n">
        <v>639</v>
      </c>
      <c r="Q642" s="146" t="n">
        <v>14319.014102966</v>
      </c>
      <c r="R642" s="146" t="n">
        <v>0.262114241986899</v>
      </c>
      <c r="S642" s="146" t="n">
        <v>0.0707792867011975</v>
      </c>
      <c r="T642" s="146" t="n">
        <v>0.027886010719759</v>
      </c>
      <c r="U642" s="29"/>
      <c r="V642" s="29"/>
      <c r="W642" s="29"/>
      <c r="X642" s="29"/>
      <c r="Y642" s="29"/>
      <c r="Z642" s="75"/>
    </row>
    <row r="643" customFormat="false" ht="12.75" hidden="false" customHeight="true" outlineLevel="0" collapsed="false">
      <c r="A643" s="2"/>
      <c r="B643" s="2"/>
      <c r="C643" s="75"/>
      <c r="D643" s="75"/>
      <c r="E643" s="75"/>
      <c r="F643" s="75"/>
      <c r="G643" s="75"/>
      <c r="H643" s="75"/>
      <c r="I643" s="2"/>
      <c r="J643" s="83"/>
      <c r="K643" s="83"/>
      <c r="L643" s="83"/>
      <c r="M643" s="83"/>
      <c r="N643" s="83"/>
      <c r="O643" s="2"/>
      <c r="P643" s="75" t="n">
        <v>640</v>
      </c>
      <c r="Q643" s="146" t="n">
        <v>14341.757296446</v>
      </c>
      <c r="R643" s="146" t="n">
        <v>0.262220560343502</v>
      </c>
      <c r="S643" s="146" t="n">
        <v>0.0742697193772567</v>
      </c>
      <c r="T643" s="146" t="n">
        <v>0.0282516344167038</v>
      </c>
      <c r="U643" s="29"/>
      <c r="V643" s="29"/>
      <c r="W643" s="29"/>
      <c r="X643" s="29"/>
      <c r="Y643" s="29"/>
      <c r="Z643" s="75"/>
    </row>
    <row r="644" customFormat="false" ht="12.75" hidden="false" customHeight="true" outlineLevel="0" collapsed="false">
      <c r="A644" s="2"/>
      <c r="B644" s="2"/>
      <c r="C644" s="75"/>
      <c r="D644" s="75"/>
      <c r="E644" s="75"/>
      <c r="F644" s="75"/>
      <c r="G644" s="75"/>
      <c r="H644" s="75"/>
      <c r="I644" s="2"/>
      <c r="J644" s="83"/>
      <c r="K644" s="83"/>
      <c r="L644" s="83"/>
      <c r="M644" s="83"/>
      <c r="N644" s="83"/>
      <c r="O644" s="2"/>
      <c r="P644" s="75" t="n">
        <v>641</v>
      </c>
      <c r="Q644" s="146" t="n">
        <v>14364.598814592</v>
      </c>
      <c r="R644" s="146" t="n">
        <v>0.263057086295268</v>
      </c>
      <c r="S644" s="146" t="n">
        <v>0.0781252057505261</v>
      </c>
      <c r="T644" s="146" t="n">
        <v>0.0286196169405896</v>
      </c>
      <c r="U644" s="29"/>
      <c r="V644" s="29"/>
      <c r="W644" s="29"/>
      <c r="X644" s="29"/>
      <c r="Y644" s="29"/>
      <c r="Z644" s="75"/>
    </row>
    <row r="645" customFormat="false" ht="12.75" hidden="false" customHeight="true" outlineLevel="0" collapsed="false">
      <c r="A645" s="2"/>
      <c r="B645" s="2"/>
      <c r="C645" s="75"/>
      <c r="D645" s="75"/>
      <c r="E645" s="75"/>
      <c r="F645" s="75"/>
      <c r="G645" s="75"/>
      <c r="H645" s="75"/>
      <c r="I645" s="2"/>
      <c r="J645" s="83"/>
      <c r="K645" s="83"/>
      <c r="L645" s="83"/>
      <c r="M645" s="83"/>
      <c r="N645" s="83"/>
      <c r="O645" s="2"/>
      <c r="P645" s="75" t="n">
        <v>642</v>
      </c>
      <c r="Q645" s="146" t="n">
        <v>14387.292139409</v>
      </c>
      <c r="R645" s="146" t="n">
        <v>0.263167966321225</v>
      </c>
      <c r="S645" s="146" t="n">
        <v>0.0833993089972777</v>
      </c>
      <c r="T645" s="146" t="n">
        <v>0.0289686394585639</v>
      </c>
      <c r="U645" s="29"/>
      <c r="V645" s="29"/>
      <c r="W645" s="29"/>
      <c r="X645" s="29"/>
      <c r="Y645" s="29"/>
      <c r="Z645" s="75"/>
    </row>
    <row r="646" customFormat="false" ht="12.75" hidden="false" customHeight="true" outlineLevel="0" collapsed="false">
      <c r="A646" s="2"/>
      <c r="B646" s="2"/>
      <c r="C646" s="75"/>
      <c r="D646" s="75"/>
      <c r="E646" s="75"/>
      <c r="F646" s="75"/>
      <c r="G646" s="75"/>
      <c r="H646" s="75"/>
      <c r="I646" s="2"/>
      <c r="J646" s="83"/>
      <c r="K646" s="83"/>
      <c r="L646" s="83"/>
      <c r="M646" s="83"/>
      <c r="N646" s="83"/>
      <c r="O646" s="2"/>
      <c r="P646" s="75" t="n">
        <v>643</v>
      </c>
      <c r="Q646" s="146" t="n">
        <v>14410.068822572</v>
      </c>
      <c r="R646" s="146" t="n">
        <v>0.264182251342376</v>
      </c>
      <c r="S646" s="146" t="n">
        <v>0.0868088187420113</v>
      </c>
      <c r="T646" s="146" t="n">
        <v>0.028957105575463</v>
      </c>
      <c r="U646" s="29"/>
      <c r="V646" s="29"/>
      <c r="W646" s="29"/>
      <c r="X646" s="29"/>
      <c r="Y646" s="29"/>
      <c r="Z646" s="75"/>
    </row>
    <row r="647" customFormat="false" ht="12.75" hidden="false" customHeight="true" outlineLevel="0" collapsed="false">
      <c r="A647" s="2"/>
      <c r="B647" s="2"/>
      <c r="C647" s="75"/>
      <c r="D647" s="75"/>
      <c r="E647" s="75"/>
      <c r="F647" s="75"/>
      <c r="G647" s="75"/>
      <c r="H647" s="75"/>
      <c r="I647" s="2"/>
      <c r="J647" s="83"/>
      <c r="K647" s="83"/>
      <c r="L647" s="83"/>
      <c r="M647" s="83"/>
      <c r="N647" s="83"/>
      <c r="O647" s="2"/>
      <c r="P647" s="75" t="n">
        <v>644</v>
      </c>
      <c r="Q647" s="146" t="n">
        <v>14433.157917542</v>
      </c>
      <c r="R647" s="146" t="n">
        <v>0.265137176485429</v>
      </c>
      <c r="S647" s="146" t="n">
        <v>0.0920588496771345</v>
      </c>
      <c r="T647" s="146" t="n">
        <v>0.0288782303458243</v>
      </c>
      <c r="U647" s="29"/>
      <c r="V647" s="29"/>
      <c r="W647" s="29"/>
      <c r="X647" s="29"/>
      <c r="Y647" s="29"/>
      <c r="Z647" s="75"/>
    </row>
    <row r="648" customFormat="false" ht="12.75" hidden="false" customHeight="true" outlineLevel="0" collapsed="false">
      <c r="A648" s="2"/>
      <c r="B648" s="2"/>
      <c r="C648" s="75"/>
      <c r="D648" s="75"/>
      <c r="E648" s="75"/>
      <c r="F648" s="75"/>
      <c r="G648" s="75"/>
      <c r="H648" s="75"/>
      <c r="I648" s="2"/>
      <c r="J648" s="83"/>
      <c r="K648" s="83"/>
      <c r="L648" s="83"/>
      <c r="M648" s="83"/>
      <c r="N648" s="83"/>
      <c r="O648" s="2"/>
      <c r="P648" s="75" t="n">
        <v>645</v>
      </c>
      <c r="Q648" s="146" t="n">
        <v>14455.97195993</v>
      </c>
      <c r="R648" s="146" t="n">
        <v>0.266129066408864</v>
      </c>
      <c r="S648" s="146" t="n">
        <v>0.0970588007692707</v>
      </c>
      <c r="T648" s="146" t="n">
        <v>0.0285621727229882</v>
      </c>
      <c r="U648" s="29"/>
      <c r="V648" s="29"/>
      <c r="W648" s="29"/>
      <c r="X648" s="29"/>
      <c r="Y648" s="29"/>
      <c r="Z648" s="75"/>
    </row>
    <row r="649" customFormat="false" ht="12.75" hidden="false" customHeight="true" outlineLevel="0" collapsed="false">
      <c r="A649" s="2"/>
      <c r="B649" s="2"/>
      <c r="C649" s="75"/>
      <c r="D649" s="75"/>
      <c r="E649" s="75"/>
      <c r="F649" s="75"/>
      <c r="G649" s="75"/>
      <c r="H649" s="75"/>
      <c r="I649" s="2"/>
      <c r="J649" s="83"/>
      <c r="K649" s="83"/>
      <c r="L649" s="83"/>
      <c r="M649" s="83"/>
      <c r="N649" s="83"/>
      <c r="O649" s="2"/>
      <c r="P649" s="75" t="n">
        <v>646</v>
      </c>
      <c r="Q649" s="146" t="n">
        <v>14478.827737978</v>
      </c>
      <c r="R649" s="146" t="n">
        <v>0.266901868910408</v>
      </c>
      <c r="S649" s="146" t="n">
        <v>0.101551163165031</v>
      </c>
      <c r="T649" s="146" t="n">
        <v>0.0280328539622667</v>
      </c>
      <c r="U649" s="29"/>
      <c r="V649" s="29"/>
      <c r="W649" s="29"/>
      <c r="X649" s="29"/>
      <c r="Y649" s="29"/>
      <c r="Z649" s="75"/>
    </row>
    <row r="650" customFormat="false" ht="12.75" hidden="false" customHeight="true" outlineLevel="0" collapsed="false">
      <c r="A650" s="2"/>
      <c r="B650" s="2"/>
      <c r="C650" s="75"/>
      <c r="D650" s="75"/>
      <c r="E650" s="75"/>
      <c r="F650" s="75"/>
      <c r="G650" s="75"/>
      <c r="H650" s="75"/>
      <c r="I650" s="2"/>
      <c r="J650" s="83"/>
      <c r="K650" s="83"/>
      <c r="L650" s="83"/>
      <c r="M650" s="83"/>
      <c r="N650" s="83"/>
      <c r="O650" s="2"/>
      <c r="P650" s="75" t="n">
        <v>647</v>
      </c>
      <c r="Q650" s="146" t="n">
        <v>14501.595164448</v>
      </c>
      <c r="R650" s="146" t="n">
        <v>0.267665159369348</v>
      </c>
      <c r="S650" s="146" t="n">
        <v>0.105445044386319</v>
      </c>
      <c r="T650" s="146" t="n">
        <v>0.0274224266482455</v>
      </c>
      <c r="U650" s="29"/>
      <c r="V650" s="29"/>
      <c r="W650" s="29"/>
      <c r="X650" s="29"/>
      <c r="Y650" s="29"/>
      <c r="Z650" s="75"/>
    </row>
    <row r="651" customFormat="false" ht="12.75" hidden="false" customHeight="true" outlineLevel="0" collapsed="false">
      <c r="A651" s="2"/>
      <c r="B651" s="2"/>
      <c r="C651" s="75"/>
      <c r="D651" s="75"/>
      <c r="E651" s="75"/>
      <c r="F651" s="75"/>
      <c r="G651" s="75"/>
      <c r="H651" s="75"/>
      <c r="I651" s="2"/>
      <c r="J651" s="83"/>
      <c r="K651" s="83"/>
      <c r="L651" s="83"/>
      <c r="M651" s="83"/>
      <c r="N651" s="83"/>
      <c r="O651" s="2"/>
      <c r="P651" s="75" t="n">
        <v>648</v>
      </c>
      <c r="Q651" s="146" t="n">
        <v>14524.441926893</v>
      </c>
      <c r="R651" s="146" t="n">
        <v>0.268350441832125</v>
      </c>
      <c r="S651" s="146" t="n">
        <v>0.108277011463856</v>
      </c>
      <c r="T651" s="146" t="n">
        <v>0.0269974611836149</v>
      </c>
      <c r="U651" s="29"/>
      <c r="V651" s="29"/>
      <c r="W651" s="29"/>
      <c r="X651" s="29"/>
      <c r="Y651" s="29"/>
      <c r="Z651" s="75"/>
    </row>
    <row r="652" customFormat="false" ht="12.75" hidden="false" customHeight="true" outlineLevel="0" collapsed="false">
      <c r="A652" s="2"/>
      <c r="B652" s="2"/>
      <c r="C652" s="75"/>
      <c r="D652" s="75"/>
      <c r="E652" s="75"/>
      <c r="F652" s="75"/>
      <c r="G652" s="75"/>
      <c r="H652" s="75"/>
      <c r="I652" s="2"/>
      <c r="J652" s="83"/>
      <c r="K652" s="83"/>
      <c r="L652" s="83"/>
      <c r="M652" s="83"/>
      <c r="N652" s="83"/>
      <c r="O652" s="2"/>
      <c r="P652" s="75" t="n">
        <v>649</v>
      </c>
      <c r="Q652" s="146" t="n">
        <v>14547.118922564</v>
      </c>
      <c r="R652" s="146" t="n">
        <v>0.268717392761903</v>
      </c>
      <c r="S652" s="146" t="n">
        <v>0.109633893975566</v>
      </c>
      <c r="T652" s="146" t="n">
        <v>0.0266441490937967</v>
      </c>
      <c r="U652" s="29"/>
      <c r="V652" s="29"/>
      <c r="W652" s="29"/>
      <c r="X652" s="29"/>
      <c r="Y652" s="29"/>
      <c r="Z652" s="75"/>
    </row>
    <row r="653" customFormat="false" ht="12.75" hidden="false" customHeight="true" outlineLevel="0" collapsed="false">
      <c r="A653" s="2"/>
      <c r="B653" s="2"/>
      <c r="C653" s="75"/>
      <c r="D653" s="75"/>
      <c r="E653" s="75"/>
      <c r="F653" s="75"/>
      <c r="G653" s="75"/>
      <c r="H653" s="75"/>
      <c r="I653" s="2"/>
      <c r="J653" s="83"/>
      <c r="K653" s="83"/>
      <c r="L653" s="83"/>
      <c r="M653" s="83"/>
      <c r="N653" s="83"/>
      <c r="O653" s="2"/>
      <c r="P653" s="75" t="n">
        <v>650</v>
      </c>
      <c r="Q653" s="146" t="n">
        <v>14569.674126286</v>
      </c>
      <c r="R653" s="146" t="n">
        <v>0.268848718751154</v>
      </c>
      <c r="S653" s="146" t="n">
        <v>0.109765588222258</v>
      </c>
      <c r="T653" s="146" t="n">
        <v>0.0265289786260283</v>
      </c>
      <c r="U653" s="29"/>
      <c r="V653" s="29"/>
      <c r="W653" s="29"/>
      <c r="X653" s="29"/>
      <c r="Y653" s="29"/>
      <c r="Z653" s="75"/>
    </row>
    <row r="654" customFormat="false" ht="12.75" hidden="false" customHeight="true" outlineLevel="0" collapsed="false">
      <c r="A654" s="2"/>
      <c r="B654" s="2"/>
      <c r="C654" s="75"/>
      <c r="D654" s="75"/>
      <c r="E654" s="75"/>
      <c r="F654" s="75"/>
      <c r="G654" s="75"/>
      <c r="H654" s="75"/>
      <c r="I654" s="2"/>
      <c r="J654" s="83"/>
      <c r="K654" s="83"/>
      <c r="L654" s="83"/>
      <c r="M654" s="83"/>
      <c r="N654" s="83"/>
      <c r="O654" s="2"/>
      <c r="P654" s="75" t="n">
        <v>651</v>
      </c>
      <c r="Q654" s="146" t="n">
        <v>14592.121331039</v>
      </c>
      <c r="R654" s="146" t="n">
        <v>0.268521908877113</v>
      </c>
      <c r="S654" s="146" t="n">
        <v>0.108041927649101</v>
      </c>
      <c r="T654" s="146" t="n">
        <v>0.0264104847966199</v>
      </c>
      <c r="U654" s="29"/>
      <c r="V654" s="29"/>
      <c r="W654" s="29"/>
      <c r="X654" s="29"/>
      <c r="Y654" s="29"/>
      <c r="Z654" s="75"/>
    </row>
    <row r="655" customFormat="false" ht="12.75" hidden="false" customHeight="true" outlineLevel="0" collapsed="false">
      <c r="A655" s="2"/>
      <c r="B655" s="2"/>
      <c r="C655" s="75"/>
      <c r="D655" s="75"/>
      <c r="E655" s="75"/>
      <c r="F655" s="75"/>
      <c r="G655" s="75"/>
      <c r="H655" s="75"/>
      <c r="I655" s="2"/>
      <c r="J655" s="83"/>
      <c r="K655" s="83"/>
      <c r="L655" s="83"/>
      <c r="M655" s="83"/>
      <c r="N655" s="83"/>
      <c r="O655" s="2"/>
      <c r="P655" s="75" t="n">
        <v>652</v>
      </c>
      <c r="Q655" s="146" t="n">
        <v>14614.886721298</v>
      </c>
      <c r="R655" s="146" t="n">
        <v>0.267941664406288</v>
      </c>
      <c r="S655" s="146" t="n">
        <v>0.105027733133284</v>
      </c>
      <c r="T655" s="146" t="n">
        <v>0.0265451581271038</v>
      </c>
      <c r="U655" s="29"/>
      <c r="V655" s="29"/>
      <c r="W655" s="29"/>
      <c r="X655" s="29"/>
      <c r="Y655" s="29"/>
      <c r="Z655" s="75"/>
    </row>
    <row r="656" customFormat="false" ht="12.75" hidden="false" customHeight="true" outlineLevel="0" collapsed="false">
      <c r="A656" s="2"/>
      <c r="B656" s="2"/>
      <c r="C656" s="75"/>
      <c r="D656" s="75"/>
      <c r="E656" s="75"/>
      <c r="F656" s="75"/>
      <c r="G656" s="75"/>
      <c r="H656" s="75"/>
      <c r="I656" s="2"/>
      <c r="J656" s="83"/>
      <c r="K656" s="83"/>
      <c r="L656" s="83"/>
      <c r="M656" s="83"/>
      <c r="N656" s="83"/>
      <c r="O656" s="2"/>
      <c r="P656" s="75" t="n">
        <v>653</v>
      </c>
      <c r="Q656" s="146" t="n">
        <v>14637.61233802</v>
      </c>
      <c r="R656" s="146" t="n">
        <v>0.266940413807801</v>
      </c>
      <c r="S656" s="146" t="n">
        <v>0.101134670207099</v>
      </c>
      <c r="T656" s="146" t="n">
        <v>0.0263851457115151</v>
      </c>
      <c r="U656" s="29"/>
      <c r="V656" s="29"/>
      <c r="W656" s="29"/>
      <c r="X656" s="29"/>
      <c r="Y656" s="29"/>
      <c r="Z656" s="75"/>
    </row>
    <row r="657" customFormat="false" ht="12.75" hidden="false" customHeight="true" outlineLevel="0" collapsed="false">
      <c r="A657" s="2"/>
      <c r="B657" s="2"/>
      <c r="C657" s="75"/>
      <c r="D657" s="75"/>
      <c r="E657" s="75"/>
      <c r="F657" s="75"/>
      <c r="G657" s="75"/>
      <c r="H657" s="75"/>
      <c r="I657" s="2"/>
      <c r="J657" s="83"/>
      <c r="K657" s="83"/>
      <c r="L657" s="83"/>
      <c r="M657" s="83"/>
      <c r="N657" s="83"/>
      <c r="O657" s="2"/>
      <c r="P657" s="75" t="n">
        <v>654</v>
      </c>
      <c r="Q657" s="146" t="n">
        <v>14660.210493865</v>
      </c>
      <c r="R657" s="146" t="n">
        <v>0.265718247974439</v>
      </c>
      <c r="S657" s="146" t="n">
        <v>0.0975038911326192</v>
      </c>
      <c r="T657" s="146" t="n">
        <v>0.0261458439980567</v>
      </c>
      <c r="U657" s="29"/>
      <c r="V657" s="29"/>
      <c r="W657" s="29"/>
      <c r="X657" s="29"/>
      <c r="Y657" s="29"/>
      <c r="Z657" s="75"/>
    </row>
    <row r="658" customFormat="false" ht="12.75" hidden="false" customHeight="true" outlineLevel="0" collapsed="false">
      <c r="A658" s="2"/>
      <c r="B658" s="2"/>
      <c r="C658" s="75"/>
      <c r="D658" s="75"/>
      <c r="E658" s="75"/>
      <c r="F658" s="75"/>
      <c r="G658" s="75"/>
      <c r="H658" s="75"/>
      <c r="I658" s="2"/>
      <c r="J658" s="83"/>
      <c r="K658" s="83"/>
      <c r="L658" s="83"/>
      <c r="M658" s="83"/>
      <c r="N658" s="83"/>
      <c r="O658" s="2"/>
      <c r="P658" s="75" t="n">
        <v>655</v>
      </c>
      <c r="Q658" s="146" t="n">
        <v>14682.993440641</v>
      </c>
      <c r="R658" s="146" t="n">
        <v>0.264192886893482</v>
      </c>
      <c r="S658" s="146" t="n">
        <v>0.0930269763242924</v>
      </c>
      <c r="T658" s="146" t="n">
        <v>0.0257591460589133</v>
      </c>
      <c r="U658" s="29"/>
      <c r="V658" s="29"/>
      <c r="W658" s="29"/>
      <c r="X658" s="29"/>
      <c r="Y658" s="29"/>
      <c r="Z658" s="75"/>
    </row>
    <row r="659" customFormat="false" ht="12.75" hidden="false" customHeight="true" outlineLevel="0" collapsed="false">
      <c r="A659" s="2"/>
      <c r="B659" s="2"/>
      <c r="C659" s="75"/>
      <c r="D659" s="75"/>
      <c r="E659" s="75"/>
      <c r="F659" s="75"/>
      <c r="G659" s="75"/>
      <c r="H659" s="75"/>
      <c r="I659" s="2"/>
      <c r="J659" s="83"/>
      <c r="K659" s="83"/>
      <c r="L659" s="83"/>
      <c r="M659" s="83"/>
      <c r="N659" s="83"/>
      <c r="O659" s="2"/>
      <c r="P659" s="75" t="n">
        <v>656</v>
      </c>
      <c r="Q659" s="146" t="n">
        <v>14705.899336203</v>
      </c>
      <c r="R659" s="146" t="n">
        <v>0.26306663473347</v>
      </c>
      <c r="S659" s="146" t="n">
        <v>0.0894353410220004</v>
      </c>
      <c r="T659" s="146" t="n">
        <v>0.0250381774070194</v>
      </c>
      <c r="U659" s="29"/>
      <c r="V659" s="29"/>
      <c r="W659" s="29"/>
      <c r="X659" s="29"/>
      <c r="Y659" s="29"/>
      <c r="Z659" s="75"/>
    </row>
    <row r="660" customFormat="false" ht="12.75" hidden="false" customHeight="true" outlineLevel="0" collapsed="false">
      <c r="A660" s="2"/>
      <c r="B660" s="2"/>
      <c r="C660" s="75"/>
      <c r="D660" s="75"/>
      <c r="E660" s="75"/>
      <c r="F660" s="75"/>
      <c r="G660" s="75"/>
      <c r="H660" s="75"/>
      <c r="I660" s="2"/>
      <c r="J660" s="83"/>
      <c r="K660" s="83"/>
      <c r="L660" s="83"/>
      <c r="M660" s="83"/>
      <c r="N660" s="83"/>
      <c r="O660" s="2"/>
      <c r="P660" s="75" t="n">
        <v>657</v>
      </c>
      <c r="Q660" s="146" t="n">
        <v>14728.693289524</v>
      </c>
      <c r="R660" s="146" t="n">
        <v>0.262183623133446</v>
      </c>
      <c r="S660" s="146" t="n">
        <v>0.0855373583614069</v>
      </c>
      <c r="T660" s="146" t="n">
        <v>0.0250827556002113</v>
      </c>
      <c r="U660" s="29"/>
      <c r="V660" s="29"/>
      <c r="W660" s="29"/>
      <c r="X660" s="29"/>
      <c r="Y660" s="29"/>
      <c r="Z660" s="75"/>
    </row>
    <row r="661" customFormat="false" ht="12.75" hidden="false" customHeight="true" outlineLevel="0" collapsed="false">
      <c r="A661" s="2"/>
      <c r="B661" s="2"/>
      <c r="C661" s="75"/>
      <c r="D661" s="75"/>
      <c r="E661" s="75"/>
      <c r="F661" s="75"/>
      <c r="G661" s="75"/>
      <c r="H661" s="75"/>
      <c r="I661" s="2"/>
      <c r="J661" s="83"/>
      <c r="K661" s="83"/>
      <c r="L661" s="83"/>
      <c r="M661" s="83"/>
      <c r="N661" s="83"/>
      <c r="O661" s="2"/>
      <c r="P661" s="75" t="n">
        <v>658</v>
      </c>
      <c r="Q661" s="146" t="n">
        <v>14751.221803375</v>
      </c>
      <c r="R661" s="146" t="n">
        <v>0.261309468600479</v>
      </c>
      <c r="S661" s="146" t="n">
        <v>0.0825065373504247</v>
      </c>
      <c r="T661" s="146" t="n">
        <v>0.0244077756010001</v>
      </c>
      <c r="U661" s="29"/>
      <c r="V661" s="29"/>
      <c r="W661" s="29"/>
      <c r="X661" s="29"/>
      <c r="Y661" s="29"/>
      <c r="Z661" s="75"/>
    </row>
    <row r="662" customFormat="false" ht="12.75" hidden="false" customHeight="true" outlineLevel="0" collapsed="false">
      <c r="A662" s="2"/>
      <c r="B662" s="2"/>
      <c r="C662" s="75"/>
      <c r="D662" s="75"/>
      <c r="E662" s="75"/>
      <c r="F662" s="75"/>
      <c r="G662" s="75"/>
      <c r="H662" s="75"/>
      <c r="I662" s="2"/>
      <c r="J662" s="83"/>
      <c r="K662" s="83"/>
      <c r="L662" s="83"/>
      <c r="M662" s="83"/>
      <c r="N662" s="83"/>
      <c r="O662" s="2"/>
      <c r="P662" s="75" t="n">
        <v>659</v>
      </c>
      <c r="Q662" s="146" t="n">
        <v>14774.118460635</v>
      </c>
      <c r="R662" s="146" t="n">
        <v>0.261162744688041</v>
      </c>
      <c r="S662" s="146" t="n">
        <v>0.0813926640107147</v>
      </c>
      <c r="T662" s="146" t="n">
        <v>0.0237291778881365</v>
      </c>
      <c r="U662" s="29"/>
      <c r="V662" s="29"/>
      <c r="W662" s="29"/>
      <c r="X662" s="29"/>
      <c r="Y662" s="29"/>
      <c r="Z662" s="75"/>
    </row>
    <row r="663" customFormat="false" ht="12.75" hidden="false" customHeight="true" outlineLevel="0" collapsed="false">
      <c r="A663" s="2"/>
      <c r="B663" s="2"/>
      <c r="C663" s="75"/>
      <c r="D663" s="75"/>
      <c r="E663" s="75"/>
      <c r="F663" s="75"/>
      <c r="G663" s="75"/>
      <c r="H663" s="75"/>
      <c r="I663" s="2"/>
      <c r="J663" s="83"/>
      <c r="K663" s="83"/>
      <c r="L663" s="83"/>
      <c r="M663" s="83"/>
      <c r="N663" s="83"/>
      <c r="O663" s="2"/>
      <c r="P663" s="75" t="n">
        <v>660</v>
      </c>
      <c r="Q663" s="146" t="n">
        <v>14796.1710585</v>
      </c>
      <c r="R663" s="146" t="n">
        <v>0.260713119564919</v>
      </c>
      <c r="S663" s="146" t="n">
        <v>0.0803268582307757</v>
      </c>
      <c r="T663" s="146" t="n">
        <v>0.023601688099007</v>
      </c>
      <c r="U663" s="29"/>
      <c r="V663" s="29"/>
      <c r="W663" s="29"/>
      <c r="X663" s="29"/>
      <c r="Y663" s="29"/>
      <c r="Z663" s="75"/>
    </row>
    <row r="664" customFormat="false" ht="12.75" hidden="false" customHeight="true" outlineLevel="0" collapsed="false">
      <c r="A664" s="2"/>
      <c r="B664" s="2"/>
      <c r="C664" s="75"/>
      <c r="D664" s="75"/>
      <c r="E664" s="75"/>
      <c r="F664" s="75"/>
      <c r="G664" s="75"/>
      <c r="H664" s="75"/>
      <c r="I664" s="2"/>
      <c r="J664" s="83"/>
      <c r="K664" s="83"/>
      <c r="L664" s="83"/>
      <c r="M664" s="83"/>
      <c r="N664" s="83"/>
      <c r="O664" s="2"/>
      <c r="P664" s="75" t="n">
        <v>661</v>
      </c>
      <c r="Q664" s="146" t="n">
        <v>14819.074602592</v>
      </c>
      <c r="R664" s="146" t="n">
        <v>0.262409165978789</v>
      </c>
      <c r="S664" s="146" t="n">
        <v>0.0835886624136249</v>
      </c>
      <c r="T664" s="146" t="n">
        <v>0.0221864153849468</v>
      </c>
      <c r="U664" s="29"/>
      <c r="V664" s="29"/>
      <c r="W664" s="29"/>
      <c r="X664" s="29"/>
      <c r="Y664" s="29"/>
      <c r="Z664" s="75"/>
    </row>
    <row r="665" customFormat="false" ht="12.75" hidden="false" customHeight="true" outlineLevel="0" collapsed="false">
      <c r="A665" s="2"/>
      <c r="B665" s="2"/>
      <c r="C665" s="75"/>
      <c r="D665" s="75"/>
      <c r="E665" s="75"/>
      <c r="F665" s="75"/>
      <c r="G665" s="75"/>
      <c r="H665" s="75"/>
      <c r="I665" s="2"/>
      <c r="J665" s="83"/>
      <c r="K665" s="83"/>
      <c r="L665" s="83"/>
      <c r="M665" s="83"/>
      <c r="N665" s="83"/>
      <c r="O665" s="2"/>
      <c r="P665" s="75" t="n">
        <v>662</v>
      </c>
      <c r="Q665" s="146" t="n">
        <v>14841.339366126</v>
      </c>
      <c r="R665" s="146" t="n">
        <v>0.262938584926607</v>
      </c>
      <c r="S665" s="146" t="n">
        <v>0.0847056487061268</v>
      </c>
      <c r="T665" s="146" t="n">
        <v>0.0224311985805845</v>
      </c>
      <c r="U665" s="29"/>
      <c r="V665" s="29"/>
      <c r="W665" s="29"/>
      <c r="X665" s="29"/>
      <c r="Y665" s="29"/>
      <c r="Z665" s="75"/>
    </row>
    <row r="666" customFormat="false" ht="12.75" hidden="false" customHeight="true" outlineLevel="0" collapsed="false">
      <c r="A666" s="2"/>
      <c r="B666" s="2"/>
      <c r="C666" s="75"/>
      <c r="D666" s="75"/>
      <c r="E666" s="75"/>
      <c r="F666" s="75"/>
      <c r="G666" s="75"/>
      <c r="H666" s="75"/>
      <c r="I666" s="2"/>
      <c r="J666" s="83"/>
      <c r="K666" s="83"/>
      <c r="L666" s="83"/>
      <c r="M666" s="83"/>
      <c r="N666" s="83"/>
      <c r="O666" s="2"/>
      <c r="P666" s="75" t="n">
        <v>663</v>
      </c>
      <c r="Q666" s="146" t="n">
        <v>14864.03748551</v>
      </c>
      <c r="R666" s="146" t="n">
        <v>0.265484604152964</v>
      </c>
      <c r="S666" s="146" t="n">
        <v>0.0848855764423161</v>
      </c>
      <c r="T666" s="146" t="n">
        <v>0.0220775091957004</v>
      </c>
      <c r="U666" s="29"/>
      <c r="V666" s="29"/>
      <c r="W666" s="29"/>
      <c r="X666" s="29"/>
      <c r="Y666" s="29"/>
      <c r="Z666" s="75"/>
    </row>
    <row r="667" customFormat="false" ht="12.75" hidden="false" customHeight="true" outlineLevel="0" collapsed="false">
      <c r="A667" s="2"/>
      <c r="B667" s="2"/>
      <c r="C667" s="75"/>
      <c r="D667" s="75"/>
      <c r="E667" s="75"/>
      <c r="F667" s="75"/>
      <c r="G667" s="75"/>
      <c r="H667" s="75"/>
      <c r="I667" s="2"/>
      <c r="J667" s="83"/>
      <c r="K667" s="83"/>
      <c r="L667" s="83"/>
      <c r="M667" s="83"/>
      <c r="N667" s="83"/>
      <c r="O667" s="2"/>
      <c r="P667" s="75" t="n">
        <v>664</v>
      </c>
      <c r="Q667" s="146" t="n">
        <v>14886.599526493</v>
      </c>
      <c r="R667" s="146" t="n">
        <v>0.267952558972987</v>
      </c>
      <c r="S667" s="146" t="n">
        <v>0.0831793131049209</v>
      </c>
      <c r="T667" s="146" t="n">
        <v>0.0216831026459239</v>
      </c>
      <c r="U667" s="29"/>
      <c r="V667" s="29"/>
      <c r="W667" s="29"/>
      <c r="X667" s="29"/>
      <c r="Y667" s="29"/>
      <c r="Z667" s="75"/>
    </row>
    <row r="668" customFormat="false" ht="12.75" hidden="false" customHeight="true" outlineLevel="0" collapsed="false">
      <c r="A668" s="2"/>
      <c r="B668" s="2"/>
      <c r="C668" s="75"/>
      <c r="D668" s="75"/>
      <c r="E668" s="75"/>
      <c r="F668" s="75"/>
      <c r="G668" s="75"/>
      <c r="H668" s="75"/>
      <c r="I668" s="2"/>
      <c r="J668" s="83"/>
      <c r="K668" s="83"/>
      <c r="L668" s="83"/>
      <c r="M668" s="83"/>
      <c r="N668" s="83"/>
      <c r="O668" s="2"/>
      <c r="P668" s="75" t="n">
        <v>665</v>
      </c>
      <c r="Q668" s="146" t="n">
        <v>14909.194689361</v>
      </c>
      <c r="R668" s="146" t="n">
        <v>0.271056215674676</v>
      </c>
      <c r="S668" s="146" t="n">
        <v>0.0784927231845918</v>
      </c>
      <c r="T668" s="146" t="n">
        <v>0.021374749349228</v>
      </c>
      <c r="U668" s="29"/>
      <c r="V668" s="29"/>
      <c r="W668" s="29"/>
      <c r="X668" s="29"/>
      <c r="Y668" s="29"/>
      <c r="Z668" s="75"/>
    </row>
    <row r="669" customFormat="false" ht="12.75" hidden="false" customHeight="true" outlineLevel="0" collapsed="false">
      <c r="A669" s="2"/>
      <c r="B669" s="2"/>
      <c r="C669" s="75"/>
      <c r="D669" s="75"/>
      <c r="E669" s="75"/>
      <c r="F669" s="75"/>
      <c r="G669" s="75"/>
      <c r="H669" s="75"/>
      <c r="I669" s="2"/>
      <c r="J669" s="83"/>
      <c r="K669" s="83"/>
      <c r="L669" s="83"/>
      <c r="M669" s="83"/>
      <c r="N669" s="83"/>
      <c r="O669" s="2"/>
      <c r="P669" s="75" t="n">
        <v>666</v>
      </c>
      <c r="Q669" s="146" t="n">
        <v>14931.763326497</v>
      </c>
      <c r="R669" s="146" t="n">
        <v>0.274011015293358</v>
      </c>
      <c r="S669" s="146" t="n">
        <v>0.0719951054247395</v>
      </c>
      <c r="T669" s="146" t="n">
        <v>0.0209206149121326</v>
      </c>
      <c r="U669" s="29"/>
      <c r="V669" s="29"/>
      <c r="W669" s="29"/>
      <c r="X669" s="29"/>
      <c r="Y669" s="29"/>
      <c r="Z669" s="75"/>
    </row>
    <row r="670" customFormat="false" ht="12.75" hidden="false" customHeight="true" outlineLevel="0" collapsed="false">
      <c r="A670" s="2"/>
      <c r="B670" s="2"/>
      <c r="C670" s="75"/>
      <c r="D670" s="75"/>
      <c r="E670" s="75"/>
      <c r="F670" s="75"/>
      <c r="G670" s="75"/>
      <c r="H670" s="75"/>
      <c r="I670" s="2"/>
      <c r="J670" s="83"/>
      <c r="K670" s="83"/>
      <c r="L670" s="83"/>
      <c r="M670" s="83"/>
      <c r="N670" s="83"/>
      <c r="O670" s="2"/>
      <c r="P670" s="75" t="n">
        <v>667</v>
      </c>
      <c r="Q670" s="146" t="n">
        <v>14953.810465124</v>
      </c>
      <c r="R670" s="146" t="n">
        <v>0.276042792836636</v>
      </c>
      <c r="S670" s="146" t="n">
        <v>0.0683293655987307</v>
      </c>
      <c r="T670" s="146" t="n">
        <v>0.0204413023144766</v>
      </c>
      <c r="U670" s="29"/>
      <c r="V670" s="29"/>
      <c r="W670" s="29"/>
      <c r="X670" s="29"/>
      <c r="Y670" s="29"/>
      <c r="Z670" s="75"/>
    </row>
    <row r="671" customFormat="false" ht="12.75" hidden="false" customHeight="true" outlineLevel="0" collapsed="false">
      <c r="A671" s="2"/>
      <c r="B671" s="2"/>
      <c r="C671" s="75"/>
      <c r="D671" s="75"/>
      <c r="E671" s="75"/>
      <c r="F671" s="75"/>
      <c r="G671" s="75"/>
      <c r="H671" s="75"/>
      <c r="I671" s="2"/>
      <c r="J671" s="83"/>
      <c r="K671" s="83"/>
      <c r="L671" s="83"/>
      <c r="M671" s="83"/>
      <c r="N671" s="83"/>
      <c r="O671" s="2"/>
      <c r="P671" s="75" t="n">
        <v>668</v>
      </c>
      <c r="Q671" s="146" t="n">
        <v>14976.847888106</v>
      </c>
      <c r="R671" s="146" t="n">
        <v>0.277833412661126</v>
      </c>
      <c r="S671" s="146" t="n">
        <v>0.0609142376042628</v>
      </c>
      <c r="T671" s="146" t="n">
        <v>0.0191604071866629</v>
      </c>
      <c r="U671" s="29"/>
      <c r="V671" s="29"/>
      <c r="W671" s="29"/>
      <c r="X671" s="29"/>
      <c r="Y671" s="29"/>
      <c r="Z671" s="75"/>
    </row>
    <row r="672" customFormat="false" ht="12.75" hidden="false" customHeight="true" outlineLevel="0" collapsed="false">
      <c r="A672" s="2"/>
      <c r="B672" s="2"/>
      <c r="C672" s="75"/>
      <c r="D672" s="75"/>
      <c r="E672" s="75"/>
      <c r="F672" s="75"/>
      <c r="G672" s="75"/>
      <c r="H672" s="75"/>
      <c r="I672" s="2"/>
      <c r="J672" s="83"/>
      <c r="K672" s="83"/>
      <c r="L672" s="83"/>
      <c r="M672" s="83"/>
      <c r="N672" s="83"/>
      <c r="O672" s="2"/>
      <c r="P672" s="75" t="n">
        <v>669</v>
      </c>
      <c r="Q672" s="146" t="n">
        <v>14998.94941742</v>
      </c>
      <c r="R672" s="146" t="n">
        <v>0.278196217696066</v>
      </c>
      <c r="S672" s="146" t="n">
        <v>0.0615860182684518</v>
      </c>
      <c r="T672" s="146" t="n">
        <v>0.0186104583240401</v>
      </c>
      <c r="U672" s="29"/>
      <c r="V672" s="29"/>
      <c r="W672" s="29"/>
      <c r="X672" s="29"/>
      <c r="Y672" s="29"/>
      <c r="Z672" s="75"/>
    </row>
    <row r="673" customFormat="false" ht="12.75" hidden="false" customHeight="true" outlineLevel="0" collapsed="false">
      <c r="A673" s="2"/>
      <c r="B673" s="2"/>
      <c r="C673" s="75"/>
      <c r="D673" s="75"/>
      <c r="E673" s="75"/>
      <c r="F673" s="75"/>
      <c r="G673" s="75"/>
      <c r="H673" s="75"/>
      <c r="I673" s="2"/>
      <c r="J673" s="83"/>
      <c r="K673" s="83"/>
      <c r="L673" s="83"/>
      <c r="M673" s="83"/>
      <c r="N673" s="83"/>
      <c r="O673" s="2"/>
      <c r="P673" s="75" t="n">
        <v>670</v>
      </c>
      <c r="Q673" s="146" t="n">
        <v>15021.516079377</v>
      </c>
      <c r="R673" s="146" t="n">
        <v>0.27787005212369</v>
      </c>
      <c r="S673" s="146" t="n">
        <v>0.0663362743197666</v>
      </c>
      <c r="T673" s="146" t="n">
        <v>0.0176437177590607</v>
      </c>
      <c r="U673" s="29"/>
      <c r="V673" s="29"/>
      <c r="W673" s="29"/>
      <c r="X673" s="29"/>
      <c r="Y673" s="29"/>
      <c r="Z673" s="75"/>
    </row>
    <row r="674" customFormat="false" ht="12.75" hidden="false" customHeight="true" outlineLevel="0" collapsed="false">
      <c r="A674" s="2"/>
      <c r="B674" s="2"/>
      <c r="C674" s="75"/>
      <c r="D674" s="75"/>
      <c r="E674" s="75"/>
      <c r="F674" s="75"/>
      <c r="G674" s="75"/>
      <c r="H674" s="75"/>
      <c r="I674" s="2"/>
      <c r="J674" s="83"/>
      <c r="K674" s="83"/>
      <c r="L674" s="83"/>
      <c r="M674" s="83"/>
      <c r="N674" s="83"/>
      <c r="O674" s="2"/>
      <c r="P674" s="75" t="n">
        <v>671</v>
      </c>
      <c r="Q674" s="146" t="n">
        <v>15044.033017956</v>
      </c>
      <c r="R674" s="146" t="n">
        <v>0.277123319845751</v>
      </c>
      <c r="S674" s="146" t="n">
        <v>0.0714430483638834</v>
      </c>
      <c r="T674" s="146" t="n">
        <v>0.0166841244892841</v>
      </c>
      <c r="U674" s="29"/>
      <c r="V674" s="29"/>
      <c r="W674" s="29"/>
      <c r="X674" s="29"/>
      <c r="Y674" s="29"/>
      <c r="Z674" s="75"/>
    </row>
    <row r="675" customFormat="false" ht="12.75" hidden="false" customHeight="true" outlineLevel="0" collapsed="false">
      <c r="A675" s="2"/>
      <c r="B675" s="2"/>
      <c r="C675" s="75"/>
      <c r="D675" s="75"/>
      <c r="E675" s="75"/>
      <c r="F675" s="75"/>
      <c r="G675" s="75"/>
      <c r="H675" s="75"/>
      <c r="I675" s="2"/>
      <c r="J675" s="83"/>
      <c r="K675" s="83"/>
      <c r="L675" s="83"/>
      <c r="M675" s="83"/>
      <c r="N675" s="83"/>
      <c r="O675" s="2"/>
      <c r="P675" s="75" t="n">
        <v>672</v>
      </c>
      <c r="Q675" s="146" t="n">
        <v>15066.505017709</v>
      </c>
      <c r="R675" s="146" t="n">
        <v>0.27562580075671</v>
      </c>
      <c r="S675" s="146" t="n">
        <v>0.0776416130947493</v>
      </c>
      <c r="T675" s="146" t="n">
        <v>0.0163453387063876</v>
      </c>
      <c r="U675" s="29"/>
      <c r="V675" s="29"/>
      <c r="W675" s="29"/>
      <c r="X675" s="29"/>
      <c r="Y675" s="29"/>
      <c r="Z675" s="75"/>
    </row>
    <row r="676" customFormat="false" ht="12.75" hidden="false" customHeight="true" outlineLevel="0" collapsed="false">
      <c r="A676" s="2"/>
      <c r="B676" s="2"/>
      <c r="C676" s="75"/>
      <c r="D676" s="75"/>
      <c r="E676" s="75"/>
      <c r="F676" s="75"/>
      <c r="G676" s="75"/>
      <c r="H676" s="75"/>
      <c r="I676" s="2"/>
      <c r="J676" s="83"/>
      <c r="K676" s="83"/>
      <c r="L676" s="83"/>
      <c r="M676" s="83"/>
      <c r="N676" s="83"/>
      <c r="O676" s="2"/>
      <c r="P676" s="75" t="n">
        <v>673</v>
      </c>
      <c r="Q676" s="146" t="n">
        <v>15089.131479638</v>
      </c>
      <c r="R676" s="146" t="n">
        <v>0.273916466376352</v>
      </c>
      <c r="S676" s="146" t="n">
        <v>0.082497078100594</v>
      </c>
      <c r="T676" s="146" t="n">
        <v>0.0160199338249134</v>
      </c>
      <c r="U676" s="29"/>
      <c r="V676" s="29"/>
      <c r="W676" s="29"/>
      <c r="X676" s="29"/>
      <c r="Y676" s="29"/>
      <c r="Z676" s="75"/>
    </row>
    <row r="677" customFormat="false" ht="12.75" hidden="false" customHeight="true" outlineLevel="0" collapsed="false">
      <c r="A677" s="2"/>
      <c r="B677" s="2"/>
      <c r="C677" s="75"/>
      <c r="D677" s="75"/>
      <c r="E677" s="75"/>
      <c r="F677" s="75"/>
      <c r="G677" s="75"/>
      <c r="H677" s="75"/>
      <c r="I677" s="2"/>
      <c r="J677" s="83"/>
      <c r="K677" s="83"/>
      <c r="L677" s="83"/>
      <c r="M677" s="83"/>
      <c r="N677" s="83"/>
      <c r="O677" s="2"/>
      <c r="P677" s="75" t="n">
        <v>674</v>
      </c>
      <c r="Q677" s="146" t="n">
        <v>15111.594178099</v>
      </c>
      <c r="R677" s="146" t="n">
        <v>0.272243192375981</v>
      </c>
      <c r="S677" s="146" t="n">
        <v>0.0871180666055313</v>
      </c>
      <c r="T677" s="146" t="n">
        <v>0.0158371488375779</v>
      </c>
      <c r="U677" s="29"/>
      <c r="V677" s="29"/>
      <c r="W677" s="29"/>
      <c r="X677" s="29"/>
      <c r="Y677" s="29"/>
      <c r="Z677" s="75"/>
    </row>
    <row r="678" customFormat="false" ht="12.75" hidden="false" customHeight="true" outlineLevel="0" collapsed="false">
      <c r="A678" s="2"/>
      <c r="B678" s="2"/>
      <c r="C678" s="75"/>
      <c r="D678" s="75"/>
      <c r="E678" s="75"/>
      <c r="F678" s="75"/>
      <c r="G678" s="75"/>
      <c r="H678" s="75"/>
      <c r="I678" s="2"/>
      <c r="J678" s="83"/>
      <c r="K678" s="83"/>
      <c r="L678" s="83"/>
      <c r="M678" s="83"/>
      <c r="N678" s="83"/>
      <c r="O678" s="2"/>
      <c r="P678" s="75" t="n">
        <v>675</v>
      </c>
      <c r="Q678" s="146" t="n">
        <v>15134.24452034</v>
      </c>
      <c r="R678" s="146" t="n">
        <v>0.270785143116481</v>
      </c>
      <c r="S678" s="146" t="n">
        <v>0.0906589491077214</v>
      </c>
      <c r="T678" s="146" t="n">
        <v>0.015461262263042</v>
      </c>
      <c r="U678" s="29"/>
      <c r="V678" s="29"/>
      <c r="W678" s="29"/>
      <c r="X678" s="29"/>
      <c r="Y678" s="29"/>
      <c r="Z678" s="75"/>
    </row>
    <row r="679" customFormat="false" ht="12.75" hidden="false" customHeight="true" outlineLevel="0" collapsed="false">
      <c r="A679" s="2"/>
      <c r="B679" s="2"/>
      <c r="C679" s="75"/>
      <c r="D679" s="75"/>
      <c r="E679" s="75"/>
      <c r="F679" s="75"/>
      <c r="G679" s="75"/>
      <c r="H679" s="75"/>
      <c r="I679" s="2"/>
      <c r="J679" s="83"/>
      <c r="K679" s="83"/>
      <c r="L679" s="83"/>
      <c r="M679" s="83"/>
      <c r="N679" s="83"/>
      <c r="O679" s="2"/>
      <c r="P679" s="75" t="n">
        <v>676</v>
      </c>
      <c r="Q679" s="146" t="n">
        <v>15156.523487646</v>
      </c>
      <c r="R679" s="146" t="n">
        <v>0.26969548125874</v>
      </c>
      <c r="S679" s="146" t="n">
        <v>0.0934370963481945</v>
      </c>
      <c r="T679" s="146" t="n">
        <v>0.014917648412294</v>
      </c>
      <c r="U679" s="29"/>
      <c r="V679" s="29"/>
      <c r="W679" s="29"/>
      <c r="X679" s="29"/>
      <c r="Y679" s="29"/>
      <c r="Z679" s="75"/>
    </row>
    <row r="680" customFormat="false" ht="12.75" hidden="false" customHeight="true" outlineLevel="0" collapsed="false">
      <c r="A680" s="2"/>
      <c r="B680" s="2"/>
      <c r="C680" s="75"/>
      <c r="D680" s="75"/>
      <c r="E680" s="75"/>
      <c r="F680" s="75"/>
      <c r="G680" s="75"/>
      <c r="H680" s="75"/>
      <c r="I680" s="2"/>
      <c r="J680" s="83"/>
      <c r="K680" s="83"/>
      <c r="L680" s="83"/>
      <c r="M680" s="83"/>
      <c r="N680" s="83"/>
      <c r="O680" s="2"/>
      <c r="P680" s="75" t="n">
        <v>677</v>
      </c>
      <c r="Q680" s="146" t="n">
        <v>15179.080990159</v>
      </c>
      <c r="R680" s="146" t="n">
        <v>0.269198334766245</v>
      </c>
      <c r="S680" s="146" t="n">
        <v>0.0943023915423571</v>
      </c>
      <c r="T680" s="146" t="n">
        <v>0.0141445496645076</v>
      </c>
      <c r="U680" s="29"/>
      <c r="V680" s="29"/>
      <c r="W680" s="29"/>
      <c r="X680" s="29"/>
      <c r="Y680" s="29"/>
      <c r="Z680" s="75"/>
    </row>
    <row r="681" customFormat="false" ht="12.75" hidden="false" customHeight="true" outlineLevel="0" collapsed="false">
      <c r="A681" s="2"/>
      <c r="B681" s="2"/>
      <c r="C681" s="75"/>
      <c r="D681" s="75"/>
      <c r="E681" s="75"/>
      <c r="F681" s="75"/>
      <c r="G681" s="75"/>
      <c r="H681" s="75"/>
      <c r="I681" s="2"/>
      <c r="J681" s="83"/>
      <c r="K681" s="83"/>
      <c r="L681" s="83"/>
      <c r="M681" s="83"/>
      <c r="N681" s="83"/>
      <c r="O681" s="2"/>
      <c r="P681" s="75" t="n">
        <v>678</v>
      </c>
      <c r="Q681" s="146" t="n">
        <v>15201.705727086</v>
      </c>
      <c r="R681" s="146" t="n">
        <v>0.269059232375005</v>
      </c>
      <c r="S681" s="146" t="n">
        <v>0.0938300091339173</v>
      </c>
      <c r="T681" s="146" t="n">
        <v>0.0134449114749167</v>
      </c>
      <c r="U681" s="29"/>
      <c r="V681" s="29"/>
      <c r="W681" s="29"/>
      <c r="X681" s="29"/>
      <c r="Y681" s="29"/>
      <c r="Z681" s="75"/>
    </row>
    <row r="682" customFormat="false" ht="12.75" hidden="false" customHeight="true" outlineLevel="0" collapsed="false">
      <c r="A682" s="2"/>
      <c r="B682" s="2"/>
      <c r="C682" s="75"/>
      <c r="D682" s="75"/>
      <c r="E682" s="75"/>
      <c r="F682" s="75"/>
      <c r="G682" s="75"/>
      <c r="H682" s="75"/>
      <c r="I682" s="2"/>
      <c r="J682" s="83"/>
      <c r="K682" s="83"/>
      <c r="L682" s="83"/>
      <c r="M682" s="83"/>
      <c r="N682" s="83"/>
      <c r="O682" s="2"/>
      <c r="P682" s="75" t="n">
        <v>679</v>
      </c>
      <c r="Q682" s="146" t="n">
        <v>15223.982153503</v>
      </c>
      <c r="R682" s="146" t="n">
        <v>0.269337776256574</v>
      </c>
      <c r="S682" s="146" t="n">
        <v>0.0917066909256277</v>
      </c>
      <c r="T682" s="146" t="n">
        <v>0.012082575319237</v>
      </c>
      <c r="U682" s="29"/>
      <c r="V682" s="29"/>
      <c r="W682" s="29"/>
      <c r="X682" s="29"/>
      <c r="Y682" s="29"/>
      <c r="Z682" s="75"/>
    </row>
    <row r="683" customFormat="false" ht="12.75" hidden="false" customHeight="true" outlineLevel="0" collapsed="false">
      <c r="A683" s="2"/>
      <c r="B683" s="2"/>
      <c r="C683" s="75"/>
      <c r="D683" s="75"/>
      <c r="E683" s="75"/>
      <c r="F683" s="75"/>
      <c r="G683" s="75"/>
      <c r="H683" s="75"/>
      <c r="I683" s="2"/>
      <c r="J683" s="83"/>
      <c r="K683" s="83"/>
      <c r="L683" s="83"/>
      <c r="M683" s="83"/>
      <c r="N683" s="83"/>
      <c r="O683" s="2"/>
      <c r="P683" s="75" t="n">
        <v>680</v>
      </c>
      <c r="Q683" s="146" t="n">
        <v>15246.440540662</v>
      </c>
      <c r="R683" s="146" t="n">
        <v>0.270427276223745</v>
      </c>
      <c r="S683" s="146" t="n">
        <v>0.0871755473690093</v>
      </c>
      <c r="T683" s="146" t="n">
        <v>0.010926221646693</v>
      </c>
      <c r="U683" s="29"/>
      <c r="V683" s="29"/>
      <c r="W683" s="29"/>
      <c r="X683" s="29"/>
      <c r="Y683" s="29"/>
      <c r="Z683" s="75"/>
    </row>
    <row r="684" customFormat="false" ht="12.75" hidden="false" customHeight="true" outlineLevel="0" collapsed="false">
      <c r="A684" s="2"/>
      <c r="B684" s="2"/>
      <c r="C684" s="75"/>
      <c r="D684" s="75"/>
      <c r="E684" s="75"/>
      <c r="F684" s="75"/>
      <c r="G684" s="75"/>
      <c r="H684" s="75"/>
      <c r="I684" s="2"/>
      <c r="J684" s="83"/>
      <c r="K684" s="83"/>
      <c r="L684" s="83"/>
      <c r="M684" s="83"/>
      <c r="N684" s="83"/>
      <c r="O684" s="2"/>
      <c r="P684" s="75" t="n">
        <v>681</v>
      </c>
      <c r="Q684" s="146" t="n">
        <v>15268.693729343</v>
      </c>
      <c r="R684" s="146" t="n">
        <v>0.271607590613089</v>
      </c>
      <c r="S684" s="146" t="n">
        <v>0.081899259344155</v>
      </c>
      <c r="T684" s="146" t="n">
        <v>0.0101235088787821</v>
      </c>
      <c r="U684" s="29"/>
      <c r="V684" s="29"/>
      <c r="W684" s="29"/>
      <c r="X684" s="29"/>
      <c r="Y684" s="29"/>
      <c r="Z684" s="75"/>
    </row>
    <row r="685" customFormat="false" ht="12.75" hidden="false" customHeight="true" outlineLevel="0" collapsed="false">
      <c r="A685" s="2"/>
      <c r="B685" s="2"/>
      <c r="C685" s="75"/>
      <c r="D685" s="75"/>
      <c r="E685" s="75"/>
      <c r="F685" s="75"/>
      <c r="G685" s="75"/>
      <c r="H685" s="75"/>
      <c r="I685" s="2"/>
      <c r="J685" s="83"/>
      <c r="K685" s="83"/>
      <c r="L685" s="83"/>
      <c r="M685" s="83"/>
      <c r="N685" s="83"/>
      <c r="O685" s="2"/>
      <c r="P685" s="75" t="n">
        <v>682</v>
      </c>
      <c r="Q685" s="146" t="n">
        <v>15290.902256748</v>
      </c>
      <c r="R685" s="146" t="n">
        <v>0.273108488456445</v>
      </c>
      <c r="S685" s="146" t="n">
        <v>0.0773649531420136</v>
      </c>
      <c r="T685" s="146" t="n">
        <v>0.00970318044519765</v>
      </c>
      <c r="U685" s="29"/>
      <c r="V685" s="29"/>
      <c r="W685" s="29"/>
      <c r="X685" s="29"/>
      <c r="Y685" s="29"/>
      <c r="Z685" s="75"/>
    </row>
    <row r="686" customFormat="false" ht="12.75" hidden="false" customHeight="true" outlineLevel="0" collapsed="false">
      <c r="A686" s="2"/>
      <c r="B686" s="2"/>
      <c r="C686" s="75"/>
      <c r="D686" s="75"/>
      <c r="E686" s="75"/>
      <c r="F686" s="75"/>
      <c r="G686" s="75"/>
      <c r="H686" s="75"/>
      <c r="I686" s="2"/>
      <c r="J686" s="83"/>
      <c r="K686" s="83"/>
      <c r="L686" s="83"/>
      <c r="M686" s="83"/>
      <c r="N686" s="83"/>
      <c r="O686" s="2"/>
      <c r="P686" s="75" t="n">
        <v>683</v>
      </c>
      <c r="Q686" s="146" t="n">
        <v>15313.20634332</v>
      </c>
      <c r="R686" s="146" t="n">
        <v>0.27430426339963</v>
      </c>
      <c r="S686" s="146" t="n">
        <v>0.074872443251001</v>
      </c>
      <c r="T686" s="146" t="n">
        <v>0.00962906915475483</v>
      </c>
      <c r="U686" s="29"/>
      <c r="V686" s="29"/>
      <c r="W686" s="29"/>
      <c r="X686" s="29"/>
      <c r="Y686" s="29"/>
      <c r="Z686" s="75"/>
    </row>
    <row r="687" customFormat="false" ht="12.75" hidden="false" customHeight="true" outlineLevel="0" collapsed="false">
      <c r="A687" s="2"/>
      <c r="B687" s="2"/>
      <c r="C687" s="75"/>
      <c r="D687" s="75"/>
      <c r="E687" s="75"/>
      <c r="F687" s="75"/>
      <c r="G687" s="75"/>
      <c r="H687" s="75"/>
      <c r="I687" s="2"/>
      <c r="J687" s="83"/>
      <c r="K687" s="83"/>
      <c r="L687" s="83"/>
      <c r="M687" s="83"/>
      <c r="N687" s="83"/>
      <c r="O687" s="2"/>
      <c r="P687" s="75" t="n">
        <v>684</v>
      </c>
      <c r="Q687" s="146" t="n">
        <v>15335.950921294</v>
      </c>
      <c r="R687" s="146" t="n">
        <v>0.275022509442208</v>
      </c>
      <c r="S687" s="146" t="n">
        <v>0.0749258151705483</v>
      </c>
      <c r="T687" s="146" t="n">
        <v>0.00956485161355353</v>
      </c>
      <c r="U687" s="29"/>
      <c r="V687" s="29"/>
      <c r="W687" s="29"/>
      <c r="X687" s="29"/>
      <c r="Y687" s="29"/>
      <c r="Z687" s="75"/>
    </row>
    <row r="688" customFormat="false" ht="12.75" hidden="false" customHeight="true" outlineLevel="0" collapsed="false">
      <c r="A688" s="2"/>
      <c r="B688" s="2"/>
      <c r="C688" s="75"/>
      <c r="D688" s="75"/>
      <c r="E688" s="75"/>
      <c r="F688" s="75"/>
      <c r="G688" s="75"/>
      <c r="H688" s="75"/>
      <c r="I688" s="2"/>
      <c r="J688" s="83"/>
      <c r="K688" s="83"/>
      <c r="L688" s="83"/>
      <c r="M688" s="83"/>
      <c r="N688" s="83"/>
      <c r="O688" s="2"/>
      <c r="P688" s="75" t="n">
        <v>685</v>
      </c>
      <c r="Q688" s="146" t="n">
        <v>15358.395408376</v>
      </c>
      <c r="R688" s="146" t="n">
        <v>0.274923726908895</v>
      </c>
      <c r="S688" s="146" t="n">
        <v>0.0793345216159952</v>
      </c>
      <c r="T688" s="146" t="n">
        <v>0.00920511808637568</v>
      </c>
      <c r="U688" s="29"/>
      <c r="V688" s="29"/>
      <c r="W688" s="29"/>
      <c r="X688" s="29"/>
      <c r="Y688" s="29"/>
      <c r="Z688" s="75"/>
    </row>
    <row r="689" customFormat="false" ht="12.75" hidden="false" customHeight="true" outlineLevel="0" collapsed="false">
      <c r="A689" s="2"/>
      <c r="B689" s="2"/>
      <c r="C689" s="75"/>
      <c r="D689" s="75"/>
      <c r="E689" s="75"/>
      <c r="F689" s="75"/>
      <c r="G689" s="75"/>
      <c r="H689" s="75"/>
      <c r="I689" s="2"/>
      <c r="J689" s="83"/>
      <c r="K689" s="83"/>
      <c r="L689" s="83"/>
      <c r="M689" s="83"/>
      <c r="N689" s="83"/>
      <c r="O689" s="2"/>
      <c r="P689" s="75" t="n">
        <v>686</v>
      </c>
      <c r="Q689" s="146" t="n">
        <v>15380.954472127</v>
      </c>
      <c r="R689" s="146" t="n">
        <v>0.274637481279609</v>
      </c>
      <c r="S689" s="146" t="n">
        <v>0.0856690816809867</v>
      </c>
      <c r="T689" s="146" t="n">
        <v>0.00955130979232967</v>
      </c>
      <c r="U689" s="29"/>
      <c r="V689" s="29"/>
      <c r="W689" s="29"/>
      <c r="X689" s="29"/>
      <c r="Y689" s="29"/>
      <c r="Z689" s="75"/>
    </row>
    <row r="690" customFormat="false" ht="12.75" hidden="false" customHeight="true" outlineLevel="0" collapsed="false">
      <c r="A690" s="2"/>
      <c r="B690" s="2"/>
      <c r="C690" s="75"/>
      <c r="D690" s="75"/>
      <c r="E690" s="75"/>
      <c r="F690" s="75"/>
      <c r="G690" s="75"/>
      <c r="H690" s="75"/>
      <c r="I690" s="2"/>
      <c r="J690" s="83"/>
      <c r="K690" s="83"/>
      <c r="L690" s="83"/>
      <c r="M690" s="83"/>
      <c r="N690" s="83"/>
      <c r="O690" s="2"/>
      <c r="P690" s="75" t="n">
        <v>687</v>
      </c>
      <c r="Q690" s="146" t="n">
        <v>15403.849749011</v>
      </c>
      <c r="R690" s="146" t="n">
        <v>0.274014730106609</v>
      </c>
      <c r="S690" s="146" t="n">
        <v>0.0924431290061551</v>
      </c>
      <c r="T690" s="146" t="n">
        <v>0.00969199923007416</v>
      </c>
      <c r="U690" s="29"/>
      <c r="V690" s="29"/>
      <c r="W690" s="29"/>
      <c r="X690" s="29"/>
      <c r="Y690" s="29"/>
      <c r="Z690" s="75"/>
    </row>
    <row r="691" customFormat="false" ht="12.75" hidden="false" customHeight="true" outlineLevel="0" collapsed="false">
      <c r="A691" s="2"/>
      <c r="B691" s="2"/>
      <c r="C691" s="75"/>
      <c r="D691" s="75"/>
      <c r="E691" s="75"/>
      <c r="F691" s="75"/>
      <c r="G691" s="75"/>
      <c r="H691" s="75"/>
      <c r="I691" s="2"/>
      <c r="J691" s="83"/>
      <c r="K691" s="83"/>
      <c r="L691" s="83"/>
      <c r="M691" s="83"/>
      <c r="N691" s="83"/>
      <c r="O691" s="2"/>
      <c r="P691" s="75" t="n">
        <v>688</v>
      </c>
      <c r="Q691" s="146" t="n">
        <v>15426.697935763</v>
      </c>
      <c r="R691" s="146" t="n">
        <v>0.273025078036423</v>
      </c>
      <c r="S691" s="146" t="n">
        <v>0.0986204217536618</v>
      </c>
      <c r="T691" s="146" t="n">
        <v>0.00959273797940114</v>
      </c>
      <c r="U691" s="29"/>
      <c r="V691" s="29"/>
      <c r="W691" s="29"/>
      <c r="X691" s="29"/>
      <c r="Y691" s="29"/>
      <c r="Z691" s="75"/>
    </row>
    <row r="692" customFormat="false" ht="12.75" hidden="false" customHeight="true" outlineLevel="0" collapsed="false">
      <c r="A692" s="2"/>
      <c r="B692" s="2"/>
      <c r="C692" s="75"/>
      <c r="D692" s="75"/>
      <c r="E692" s="75"/>
      <c r="F692" s="75"/>
      <c r="G692" s="75"/>
      <c r="H692" s="75"/>
      <c r="I692" s="2"/>
      <c r="J692" s="83"/>
      <c r="K692" s="83"/>
      <c r="L692" s="83"/>
      <c r="M692" s="83"/>
      <c r="N692" s="83"/>
      <c r="O692" s="2"/>
      <c r="P692" s="75" t="n">
        <v>689</v>
      </c>
      <c r="Q692" s="146" t="n">
        <v>15449.768532974</v>
      </c>
      <c r="R692" s="146" t="n">
        <v>0.271828256755423</v>
      </c>
      <c r="S692" s="146" t="n">
        <v>0.103851770081263</v>
      </c>
      <c r="T692" s="146" t="n">
        <v>0.00931684986102264</v>
      </c>
      <c r="U692" s="29"/>
      <c r="V692" s="29"/>
      <c r="W692" s="29"/>
      <c r="X692" s="29"/>
      <c r="Y692" s="29"/>
      <c r="Z692" s="75"/>
    </row>
    <row r="693" customFormat="false" ht="12.75" hidden="false" customHeight="true" outlineLevel="0" collapsed="false">
      <c r="A693" s="2"/>
      <c r="B693" s="2"/>
      <c r="C693" s="75"/>
      <c r="D693" s="75"/>
      <c r="E693" s="75"/>
      <c r="F693" s="75"/>
      <c r="G693" s="75"/>
      <c r="H693" s="75"/>
      <c r="I693" s="2"/>
      <c r="J693" s="83"/>
      <c r="K693" s="83"/>
      <c r="L693" s="83"/>
      <c r="M693" s="83"/>
      <c r="N693" s="83"/>
      <c r="O693" s="2"/>
      <c r="P693" s="75" t="n">
        <v>690</v>
      </c>
      <c r="Q693" s="146" t="n">
        <v>15472.834637933</v>
      </c>
      <c r="R693" s="146" t="n">
        <v>0.270566850575704</v>
      </c>
      <c r="S693" s="146" t="n">
        <v>0.107046463636016</v>
      </c>
      <c r="T693" s="146" t="n">
        <v>0.00920810273094144</v>
      </c>
      <c r="U693" s="29"/>
      <c r="V693" s="29"/>
      <c r="W693" s="29"/>
      <c r="X693" s="29"/>
      <c r="Y693" s="29"/>
      <c r="Z693" s="75"/>
    </row>
    <row r="694" customFormat="false" ht="12.75" hidden="false" customHeight="true" outlineLevel="0" collapsed="false">
      <c r="A694" s="2"/>
      <c r="B694" s="2"/>
      <c r="C694" s="75"/>
      <c r="D694" s="75"/>
      <c r="E694" s="75"/>
      <c r="F694" s="75"/>
      <c r="G694" s="75"/>
      <c r="H694" s="75"/>
      <c r="I694" s="2"/>
      <c r="J694" s="83"/>
      <c r="K694" s="83"/>
      <c r="L694" s="83"/>
      <c r="M694" s="83"/>
      <c r="N694" s="83"/>
      <c r="O694" s="2"/>
      <c r="P694" s="75" t="n">
        <v>691</v>
      </c>
      <c r="Q694" s="146" t="n">
        <v>15495.534927478</v>
      </c>
      <c r="R694" s="146" t="n">
        <v>0.26924133748478</v>
      </c>
      <c r="S694" s="146" t="n">
        <v>0.108194592178435</v>
      </c>
      <c r="T694" s="146" t="n">
        <v>0.00924772888249079</v>
      </c>
      <c r="U694" s="29"/>
      <c r="V694" s="29"/>
      <c r="W694" s="29"/>
      <c r="X694" s="29"/>
      <c r="Y694" s="29"/>
      <c r="Z694" s="75"/>
    </row>
    <row r="695" customFormat="false" ht="12.75" hidden="false" customHeight="true" outlineLevel="0" collapsed="false">
      <c r="A695" s="2"/>
      <c r="B695" s="2"/>
      <c r="C695" s="75"/>
      <c r="D695" s="75"/>
      <c r="E695" s="75"/>
      <c r="F695" s="75"/>
      <c r="G695" s="75"/>
      <c r="H695" s="75"/>
      <c r="I695" s="2"/>
      <c r="J695" s="83"/>
      <c r="K695" s="83"/>
      <c r="L695" s="83"/>
      <c r="M695" s="83"/>
      <c r="N695" s="83"/>
      <c r="O695" s="2"/>
      <c r="P695" s="75" t="n">
        <v>692</v>
      </c>
      <c r="Q695" s="146" t="n">
        <v>15517.951585761</v>
      </c>
      <c r="R695" s="146" t="n">
        <v>0.268044037926455</v>
      </c>
      <c r="S695" s="146" t="n">
        <v>0.10769347970219</v>
      </c>
      <c r="T695" s="146" t="n">
        <v>0.00955281711515755</v>
      </c>
      <c r="U695" s="29"/>
      <c r="V695" s="29"/>
      <c r="W695" s="29"/>
      <c r="X695" s="29"/>
      <c r="Y695" s="29"/>
      <c r="Z695" s="75"/>
    </row>
    <row r="696" customFormat="false" ht="12.75" hidden="false" customHeight="true" outlineLevel="0" collapsed="false">
      <c r="A696" s="2"/>
      <c r="B696" s="2"/>
      <c r="C696" s="75"/>
      <c r="D696" s="75"/>
      <c r="E696" s="75"/>
      <c r="F696" s="75"/>
      <c r="G696" s="75"/>
      <c r="H696" s="75"/>
      <c r="I696" s="2"/>
      <c r="J696" s="83"/>
      <c r="K696" s="83"/>
      <c r="L696" s="83"/>
      <c r="M696" s="83"/>
      <c r="N696" s="83"/>
      <c r="O696" s="2"/>
      <c r="P696" s="75" t="n">
        <v>693</v>
      </c>
      <c r="Q696" s="146" t="n">
        <v>15540.923606646</v>
      </c>
      <c r="R696" s="146" t="n">
        <v>0.267269816451256</v>
      </c>
      <c r="S696" s="146" t="n">
        <v>0.102549981734541</v>
      </c>
      <c r="T696" s="146" t="n">
        <v>0.00956998595771942</v>
      </c>
      <c r="U696" s="29"/>
      <c r="V696" s="29"/>
      <c r="W696" s="29"/>
      <c r="X696" s="29"/>
      <c r="Y696" s="29"/>
      <c r="Z696" s="75"/>
    </row>
    <row r="697" customFormat="false" ht="12.75" hidden="false" customHeight="true" outlineLevel="0" collapsed="false">
      <c r="A697" s="2"/>
      <c r="B697" s="2"/>
      <c r="C697" s="75"/>
      <c r="D697" s="75"/>
      <c r="E697" s="75"/>
      <c r="F697" s="75"/>
      <c r="G697" s="75"/>
      <c r="H697" s="75"/>
      <c r="I697" s="2"/>
      <c r="J697" s="83"/>
      <c r="K697" s="83"/>
      <c r="L697" s="83"/>
      <c r="M697" s="83"/>
      <c r="N697" s="83"/>
      <c r="O697" s="2"/>
      <c r="P697" s="75" t="n">
        <v>694</v>
      </c>
      <c r="Q697" s="146" t="n">
        <v>15563.005324262</v>
      </c>
      <c r="R697" s="146" t="n">
        <v>0.266448777323687</v>
      </c>
      <c r="S697" s="146" t="n">
        <v>0.100935277017791</v>
      </c>
      <c r="T697" s="146" t="n">
        <v>0.0101381772228809</v>
      </c>
      <c r="U697" s="29"/>
      <c r="V697" s="29"/>
      <c r="W697" s="29"/>
      <c r="X697" s="29"/>
      <c r="Y697" s="29"/>
      <c r="Z697" s="75"/>
    </row>
    <row r="698" customFormat="false" ht="12.75" hidden="false" customHeight="true" outlineLevel="0" collapsed="false">
      <c r="A698" s="2"/>
      <c r="B698" s="2"/>
      <c r="C698" s="75"/>
      <c r="D698" s="75"/>
      <c r="E698" s="75"/>
      <c r="F698" s="75"/>
      <c r="G698" s="75"/>
      <c r="H698" s="75"/>
      <c r="I698" s="2"/>
      <c r="J698" s="83"/>
      <c r="K698" s="83"/>
      <c r="L698" s="83"/>
      <c r="M698" s="83"/>
      <c r="N698" s="83"/>
      <c r="O698" s="2"/>
      <c r="P698" s="75" t="n">
        <v>695</v>
      </c>
      <c r="Q698" s="146" t="n">
        <v>15585.993223934</v>
      </c>
      <c r="R698" s="146" t="n">
        <v>0.265729189878319</v>
      </c>
      <c r="S698" s="146" t="n">
        <v>0.0942238438063016</v>
      </c>
      <c r="T698" s="146" t="n">
        <v>0.0113286192984668</v>
      </c>
      <c r="U698" s="29"/>
      <c r="V698" s="29"/>
      <c r="W698" s="29"/>
      <c r="X698" s="29"/>
      <c r="Y698" s="29"/>
      <c r="Z698" s="75"/>
    </row>
    <row r="699" customFormat="false" ht="12.75" hidden="false" customHeight="true" outlineLevel="0" collapsed="false">
      <c r="A699" s="2"/>
      <c r="B699" s="2"/>
      <c r="C699" s="75"/>
      <c r="D699" s="75"/>
      <c r="E699" s="75"/>
      <c r="F699" s="75"/>
      <c r="G699" s="75"/>
      <c r="H699" s="75"/>
      <c r="I699" s="2"/>
      <c r="J699" s="83"/>
      <c r="K699" s="83"/>
      <c r="L699" s="83"/>
      <c r="M699" s="83"/>
      <c r="N699" s="83"/>
      <c r="O699" s="2"/>
      <c r="P699" s="75" t="n">
        <v>696</v>
      </c>
      <c r="Q699" s="146" t="n">
        <v>15608.567836213</v>
      </c>
      <c r="R699" s="146" t="n">
        <v>0.265223960439615</v>
      </c>
      <c r="S699" s="146" t="n">
        <v>0.0897867995546826</v>
      </c>
      <c r="T699" s="146" t="n">
        <v>0.0114829017896725</v>
      </c>
      <c r="U699" s="29"/>
      <c r="V699" s="29"/>
      <c r="W699" s="29"/>
      <c r="X699" s="29"/>
      <c r="Y699" s="29"/>
      <c r="Z699" s="75"/>
    </row>
    <row r="700" customFormat="false" ht="12.75" hidden="false" customHeight="true" outlineLevel="0" collapsed="false">
      <c r="A700" s="2"/>
      <c r="B700" s="2"/>
      <c r="C700" s="75"/>
      <c r="D700" s="75"/>
      <c r="E700" s="75"/>
      <c r="F700" s="75"/>
      <c r="G700" s="75"/>
      <c r="H700" s="75"/>
      <c r="I700" s="2"/>
      <c r="J700" s="83"/>
      <c r="K700" s="83"/>
      <c r="L700" s="83"/>
      <c r="M700" s="83"/>
      <c r="N700" s="83"/>
      <c r="O700" s="2"/>
      <c r="P700" s="75" t="n">
        <v>697</v>
      </c>
      <c r="Q700" s="146" t="n">
        <v>15631.382080711</v>
      </c>
      <c r="R700" s="146" t="n">
        <v>0.265271065290405</v>
      </c>
      <c r="S700" s="146" t="n">
        <v>0.0828985661292437</v>
      </c>
      <c r="T700" s="146" t="n">
        <v>0.0121774982867329</v>
      </c>
      <c r="U700" s="29"/>
      <c r="V700" s="29"/>
      <c r="W700" s="29"/>
      <c r="X700" s="29"/>
      <c r="Y700" s="29"/>
      <c r="Z700" s="75"/>
    </row>
    <row r="701" customFormat="false" ht="12.75" hidden="false" customHeight="true" outlineLevel="0" collapsed="false">
      <c r="A701" s="2"/>
      <c r="B701" s="2"/>
      <c r="C701" s="75"/>
      <c r="D701" s="75"/>
      <c r="E701" s="75"/>
      <c r="F701" s="75"/>
      <c r="G701" s="75"/>
      <c r="H701" s="75"/>
      <c r="I701" s="2"/>
      <c r="J701" s="83"/>
      <c r="K701" s="83"/>
      <c r="L701" s="83"/>
      <c r="M701" s="83"/>
      <c r="N701" s="83"/>
      <c r="O701" s="2"/>
      <c r="P701" s="75" t="n">
        <v>698</v>
      </c>
      <c r="Q701" s="146" t="n">
        <v>15654.278751129</v>
      </c>
      <c r="R701" s="146" t="n">
        <v>0.265268306316663</v>
      </c>
      <c r="S701" s="146" t="n">
        <v>0.077646812515564</v>
      </c>
      <c r="T701" s="146" t="n">
        <v>0.0124557345020599</v>
      </c>
      <c r="U701" s="29"/>
      <c r="V701" s="29"/>
      <c r="W701" s="29"/>
      <c r="X701" s="29"/>
      <c r="Y701" s="29"/>
      <c r="Z701" s="75"/>
    </row>
    <row r="702" customFormat="false" ht="12.75" hidden="false" customHeight="true" outlineLevel="0" collapsed="false">
      <c r="A702" s="2"/>
      <c r="B702" s="2"/>
      <c r="C702" s="75"/>
      <c r="D702" s="75"/>
      <c r="E702" s="75"/>
      <c r="F702" s="75"/>
      <c r="G702" s="75"/>
      <c r="H702" s="75"/>
      <c r="I702" s="2"/>
      <c r="J702" s="83"/>
      <c r="K702" s="83"/>
      <c r="L702" s="83"/>
      <c r="M702" s="83"/>
      <c r="N702" s="83"/>
      <c r="O702" s="2"/>
      <c r="P702" s="75" t="n">
        <v>699</v>
      </c>
      <c r="Q702" s="146" t="n">
        <v>15676.986626244</v>
      </c>
      <c r="R702" s="146" t="n">
        <v>0.265299166822507</v>
      </c>
      <c r="S702" s="146" t="n">
        <v>0.0735108267621872</v>
      </c>
      <c r="T702" s="146" t="n">
        <v>0.0122826978097975</v>
      </c>
      <c r="U702" s="29"/>
      <c r="V702" s="29"/>
      <c r="W702" s="29"/>
      <c r="X702" s="29"/>
      <c r="Y702" s="29"/>
      <c r="Z702" s="75"/>
    </row>
    <row r="703" customFormat="false" ht="12.75" hidden="false" customHeight="true" outlineLevel="0" collapsed="false">
      <c r="A703" s="2"/>
      <c r="B703" s="2"/>
      <c r="C703" s="75"/>
      <c r="D703" s="75"/>
      <c r="E703" s="75"/>
      <c r="F703" s="75"/>
      <c r="G703" s="75"/>
      <c r="H703" s="75"/>
      <c r="I703" s="2"/>
      <c r="J703" s="83"/>
      <c r="K703" s="83"/>
      <c r="L703" s="83"/>
      <c r="M703" s="83"/>
      <c r="N703" s="83"/>
      <c r="O703" s="2"/>
      <c r="P703" s="75" t="n">
        <v>700</v>
      </c>
      <c r="Q703" s="146" t="n">
        <v>15699.429349662</v>
      </c>
      <c r="R703" s="146" t="n">
        <v>0.265390201573688</v>
      </c>
      <c r="S703" s="146" t="n">
        <v>0.0714576254886438</v>
      </c>
      <c r="T703" s="146" t="n">
        <v>0.0117830675322921</v>
      </c>
      <c r="U703" s="29"/>
      <c r="V703" s="29"/>
      <c r="W703" s="29"/>
      <c r="X703" s="29"/>
      <c r="Y703" s="29"/>
      <c r="Z703" s="75"/>
    </row>
    <row r="704" customFormat="false" ht="12.75" hidden="false" customHeight="true" outlineLevel="0" collapsed="false">
      <c r="A704" s="2"/>
      <c r="B704" s="2"/>
      <c r="C704" s="75"/>
      <c r="D704" s="75"/>
      <c r="E704" s="75"/>
      <c r="F704" s="75"/>
      <c r="G704" s="75"/>
      <c r="H704" s="75"/>
      <c r="I704" s="2"/>
      <c r="J704" s="83"/>
      <c r="K704" s="83"/>
      <c r="L704" s="83"/>
      <c r="M704" s="83"/>
      <c r="N704" s="83"/>
      <c r="O704" s="2"/>
      <c r="P704" s="75" t="n">
        <v>701</v>
      </c>
      <c r="Q704" s="146" t="n">
        <v>15722.213369912</v>
      </c>
      <c r="R704" s="146" t="n">
        <v>0.265473862013876</v>
      </c>
      <c r="S704" s="146" t="n">
        <v>0.0706021169908726</v>
      </c>
      <c r="T704" s="146" t="n">
        <v>0.0119894126615086</v>
      </c>
      <c r="U704" s="29"/>
      <c r="V704" s="29"/>
      <c r="W704" s="29"/>
      <c r="X704" s="29"/>
      <c r="Y704" s="29"/>
      <c r="Z704" s="75"/>
    </row>
    <row r="705" customFormat="false" ht="12.75" hidden="false" customHeight="true" outlineLevel="0" collapsed="false">
      <c r="A705" s="2"/>
      <c r="B705" s="2"/>
      <c r="C705" s="75"/>
      <c r="D705" s="75"/>
      <c r="E705" s="75"/>
      <c r="F705" s="75"/>
      <c r="G705" s="75"/>
      <c r="H705" s="75"/>
      <c r="I705" s="2"/>
      <c r="J705" s="83"/>
      <c r="K705" s="83"/>
      <c r="L705" s="83"/>
      <c r="M705" s="83"/>
      <c r="N705" s="83"/>
      <c r="O705" s="2"/>
      <c r="P705" s="75" t="n">
        <v>702</v>
      </c>
      <c r="Q705" s="146" t="n">
        <v>15744.597415865</v>
      </c>
      <c r="R705" s="146" t="n">
        <v>0.265414245554844</v>
      </c>
      <c r="S705" s="146" t="n">
        <v>0.0712651125161928</v>
      </c>
      <c r="T705" s="146" t="n">
        <v>0.0108039411976247</v>
      </c>
      <c r="U705" s="29"/>
      <c r="V705" s="29"/>
      <c r="W705" s="29"/>
      <c r="X705" s="29"/>
      <c r="Y705" s="29"/>
      <c r="Z705" s="75"/>
    </row>
    <row r="706" customFormat="false" ht="12.75" hidden="false" customHeight="true" outlineLevel="0" collapsed="false">
      <c r="A706" s="2"/>
      <c r="B706" s="2"/>
      <c r="C706" s="75"/>
      <c r="D706" s="75"/>
      <c r="E706" s="75"/>
      <c r="F706" s="75"/>
      <c r="G706" s="75"/>
      <c r="H706" s="75"/>
      <c r="I706" s="2"/>
      <c r="J706" s="83"/>
      <c r="K706" s="83"/>
      <c r="L706" s="83"/>
      <c r="M706" s="83"/>
      <c r="N706" s="83"/>
      <c r="O706" s="2"/>
      <c r="P706" s="75" t="n">
        <v>703</v>
      </c>
      <c r="Q706" s="146" t="n">
        <v>15767.492174721</v>
      </c>
      <c r="R706" s="146" t="n">
        <v>0.265234626178623</v>
      </c>
      <c r="S706" s="146" t="n">
        <v>0.0740696972613046</v>
      </c>
      <c r="T706" s="146" t="n">
        <v>0.010040823004027</v>
      </c>
      <c r="U706" s="29"/>
      <c r="V706" s="29"/>
      <c r="W706" s="29"/>
      <c r="X706" s="29"/>
      <c r="Y706" s="29"/>
      <c r="Z706" s="75"/>
    </row>
    <row r="707" customFormat="false" ht="12.75" hidden="false" customHeight="true" outlineLevel="0" collapsed="false">
      <c r="A707" s="2"/>
      <c r="B707" s="2"/>
      <c r="C707" s="75"/>
      <c r="D707" s="75"/>
      <c r="E707" s="75"/>
      <c r="F707" s="75"/>
      <c r="G707" s="75"/>
      <c r="H707" s="75"/>
      <c r="I707" s="2"/>
      <c r="J707" s="83"/>
      <c r="K707" s="83"/>
      <c r="L707" s="83"/>
      <c r="M707" s="83"/>
      <c r="N707" s="83"/>
      <c r="O707" s="2"/>
      <c r="P707" s="75" t="n">
        <v>704</v>
      </c>
      <c r="Q707" s="146" t="n">
        <v>15790.621337907</v>
      </c>
      <c r="R707" s="146" t="n">
        <v>0.26500032505615</v>
      </c>
      <c r="S707" s="146" t="n">
        <v>0.0781290108314246</v>
      </c>
      <c r="T707" s="146" t="n">
        <v>0.00915275765142413</v>
      </c>
      <c r="U707" s="29"/>
      <c r="V707" s="29"/>
      <c r="W707" s="29"/>
      <c r="X707" s="29"/>
      <c r="Y707" s="29"/>
      <c r="Z707" s="75"/>
    </row>
    <row r="708" customFormat="false" ht="12.75" hidden="false" customHeight="true" outlineLevel="0" collapsed="false">
      <c r="A708" s="2"/>
      <c r="B708" s="2"/>
      <c r="C708" s="75"/>
      <c r="D708" s="75"/>
      <c r="E708" s="75"/>
      <c r="F708" s="75"/>
      <c r="G708" s="75"/>
      <c r="H708" s="75"/>
      <c r="I708" s="2"/>
      <c r="J708" s="83"/>
      <c r="K708" s="83"/>
      <c r="L708" s="83"/>
      <c r="M708" s="83"/>
      <c r="N708" s="83"/>
      <c r="O708" s="2"/>
      <c r="P708" s="75" t="n">
        <v>705</v>
      </c>
      <c r="Q708" s="146" t="n">
        <v>15813.725180254</v>
      </c>
      <c r="R708" s="146" t="n">
        <v>0.264583149623599</v>
      </c>
      <c r="S708" s="146" t="n">
        <v>0.0865459969769151</v>
      </c>
      <c r="T708" s="146" t="n">
        <v>0.00875910592137541</v>
      </c>
      <c r="U708" s="29"/>
      <c r="V708" s="29"/>
      <c r="W708" s="29"/>
      <c r="X708" s="29"/>
      <c r="Y708" s="29"/>
      <c r="Z708" s="75"/>
    </row>
    <row r="709" customFormat="false" ht="12.75" hidden="false" customHeight="true" outlineLevel="0" collapsed="false">
      <c r="A709" s="2"/>
      <c r="B709" s="2"/>
      <c r="C709" s="75"/>
      <c r="D709" s="75"/>
      <c r="E709" s="75"/>
      <c r="F709" s="75"/>
      <c r="G709" s="75"/>
      <c r="H709" s="75"/>
      <c r="I709" s="2"/>
      <c r="J709" s="83"/>
      <c r="K709" s="83"/>
      <c r="L709" s="83"/>
      <c r="M709" s="83"/>
      <c r="N709" s="83"/>
      <c r="O709" s="2"/>
      <c r="P709" s="75" t="n">
        <v>706</v>
      </c>
      <c r="Q709" s="146" t="n">
        <v>15836.572655549</v>
      </c>
      <c r="R709" s="146" t="n">
        <v>0.263898794587</v>
      </c>
      <c r="S709" s="146" t="n">
        <v>0.0957102553890495</v>
      </c>
      <c r="T709" s="146" t="n">
        <v>0.0095635530503306</v>
      </c>
      <c r="U709" s="29"/>
      <c r="V709" s="29"/>
      <c r="W709" s="29"/>
      <c r="X709" s="29"/>
      <c r="Y709" s="29"/>
      <c r="Z709" s="75"/>
    </row>
    <row r="710" customFormat="false" ht="12.75" hidden="false" customHeight="true" outlineLevel="0" collapsed="false">
      <c r="A710" s="2"/>
      <c r="B710" s="2"/>
      <c r="C710" s="75"/>
      <c r="D710" s="75"/>
      <c r="E710" s="75"/>
      <c r="F710" s="75"/>
      <c r="G710" s="75"/>
      <c r="H710" s="75"/>
      <c r="I710" s="2"/>
      <c r="J710" s="83"/>
      <c r="K710" s="83"/>
      <c r="L710" s="83"/>
      <c r="M710" s="83"/>
      <c r="N710" s="83"/>
      <c r="O710" s="2"/>
      <c r="P710" s="75" t="n">
        <v>707</v>
      </c>
      <c r="Q710" s="146" t="n">
        <v>15858.892549469</v>
      </c>
      <c r="R710" s="146" t="n">
        <v>0.262918122996866</v>
      </c>
      <c r="S710" s="146" t="n">
        <v>0.0985492502567877</v>
      </c>
      <c r="T710" s="146" t="n">
        <v>0.0115681309396263</v>
      </c>
      <c r="U710" s="29"/>
      <c r="V710" s="29"/>
      <c r="W710" s="29"/>
      <c r="X710" s="29"/>
      <c r="Y710" s="29"/>
      <c r="Z710" s="75"/>
    </row>
    <row r="711" customFormat="false" ht="12.75" hidden="false" customHeight="true" outlineLevel="0" collapsed="false">
      <c r="A711" s="2"/>
      <c r="B711" s="2"/>
      <c r="C711" s="75"/>
      <c r="D711" s="75"/>
      <c r="E711" s="75"/>
      <c r="F711" s="75"/>
      <c r="G711" s="75"/>
      <c r="H711" s="75"/>
      <c r="I711" s="2"/>
      <c r="J711" s="83"/>
      <c r="K711" s="83"/>
      <c r="L711" s="83"/>
      <c r="M711" s="83"/>
      <c r="N711" s="83"/>
      <c r="O711" s="2"/>
      <c r="P711" s="75" t="n">
        <v>708</v>
      </c>
      <c r="Q711" s="146" t="n">
        <v>15882.487443499</v>
      </c>
      <c r="R711" s="146" t="n">
        <v>0.262704258301684</v>
      </c>
      <c r="S711" s="146" t="n">
        <v>0.105884252761679</v>
      </c>
      <c r="T711" s="146" t="n">
        <v>0.0122291985500989</v>
      </c>
      <c r="U711" s="29"/>
      <c r="V711" s="29"/>
      <c r="W711" s="29"/>
      <c r="X711" s="29"/>
      <c r="Y711" s="29"/>
      <c r="Z711" s="75"/>
    </row>
    <row r="712" customFormat="false" ht="12.75" hidden="false" customHeight="true" outlineLevel="0" collapsed="false">
      <c r="A712" s="2"/>
      <c r="B712" s="2"/>
      <c r="C712" s="75"/>
      <c r="D712" s="75"/>
      <c r="E712" s="75"/>
      <c r="F712" s="75"/>
      <c r="G712" s="75"/>
      <c r="H712" s="75"/>
      <c r="I712" s="2"/>
      <c r="J712" s="83"/>
      <c r="K712" s="83"/>
      <c r="L712" s="83"/>
      <c r="M712" s="83"/>
      <c r="N712" s="83"/>
      <c r="O712" s="2"/>
      <c r="P712" s="75" t="n">
        <v>709</v>
      </c>
      <c r="Q712" s="146" t="n">
        <v>15905.039153209</v>
      </c>
      <c r="R712" s="146" t="n">
        <v>0.26153360870704</v>
      </c>
      <c r="S712" s="146" t="n">
        <v>0.104931193092922</v>
      </c>
      <c r="T712" s="146" t="n">
        <v>0.0144404163594324</v>
      </c>
      <c r="U712" s="29"/>
      <c r="V712" s="29"/>
      <c r="W712" s="29"/>
      <c r="X712" s="29"/>
      <c r="Y712" s="29"/>
      <c r="Z712" s="75"/>
    </row>
    <row r="713" customFormat="false" ht="12.75" hidden="false" customHeight="true" outlineLevel="0" collapsed="false">
      <c r="A713" s="2"/>
      <c r="B713" s="2"/>
      <c r="C713" s="75"/>
      <c r="D713" s="75"/>
      <c r="E713" s="75"/>
      <c r="F713" s="75"/>
      <c r="G713" s="75"/>
      <c r="H713" s="75"/>
      <c r="I713" s="2"/>
      <c r="J713" s="83"/>
      <c r="K713" s="83"/>
      <c r="L713" s="83"/>
      <c r="M713" s="83"/>
      <c r="N713" s="83"/>
      <c r="O713" s="2"/>
      <c r="P713" s="75" t="n">
        <v>710</v>
      </c>
      <c r="Q713" s="146" t="n">
        <v>15927.630634291</v>
      </c>
      <c r="R713" s="146" t="n">
        <v>0.261333246609307</v>
      </c>
      <c r="S713" s="146" t="n">
        <v>0.102606890450034</v>
      </c>
      <c r="T713" s="146" t="n">
        <v>0.0159340882792129</v>
      </c>
      <c r="U713" s="29"/>
      <c r="V713" s="29"/>
      <c r="W713" s="29"/>
      <c r="X713" s="29"/>
      <c r="Y713" s="29"/>
      <c r="Z713" s="75"/>
    </row>
    <row r="714" customFormat="false" ht="12.75" hidden="false" customHeight="true" outlineLevel="0" collapsed="false">
      <c r="A714" s="2"/>
      <c r="B714" s="2"/>
      <c r="C714" s="75"/>
      <c r="D714" s="75"/>
      <c r="E714" s="75"/>
      <c r="F714" s="75"/>
      <c r="G714" s="75"/>
      <c r="H714" s="75"/>
      <c r="I714" s="2"/>
      <c r="J714" s="83"/>
      <c r="K714" s="83"/>
      <c r="L714" s="83"/>
      <c r="M714" s="83"/>
      <c r="N714" s="83"/>
      <c r="O714" s="2"/>
      <c r="P714" s="75" t="n">
        <v>711</v>
      </c>
      <c r="Q714" s="146" t="n">
        <v>15950.382854568</v>
      </c>
      <c r="R714" s="146" t="n">
        <v>0.262089479551968</v>
      </c>
      <c r="S714" s="146" t="n">
        <v>0.0980136206584791</v>
      </c>
      <c r="T714" s="146" t="n">
        <v>0.0178763593068369</v>
      </c>
      <c r="U714" s="29"/>
      <c r="V714" s="29"/>
      <c r="W714" s="29"/>
      <c r="X714" s="29"/>
      <c r="Y714" s="29"/>
      <c r="Z714" s="75"/>
    </row>
    <row r="715" customFormat="false" ht="12.75" hidden="false" customHeight="true" outlineLevel="0" collapsed="false">
      <c r="A715" s="2"/>
      <c r="B715" s="2"/>
      <c r="C715" s="75"/>
      <c r="D715" s="75"/>
      <c r="E715" s="75"/>
      <c r="F715" s="75"/>
      <c r="G715" s="75"/>
      <c r="H715" s="75"/>
      <c r="I715" s="2"/>
      <c r="J715" s="83"/>
      <c r="K715" s="83"/>
      <c r="L715" s="83"/>
      <c r="M715" s="83"/>
      <c r="N715" s="83"/>
      <c r="O715" s="2"/>
      <c r="P715" s="75" t="n">
        <v>712</v>
      </c>
      <c r="Q715" s="146" t="n">
        <v>15973.222890273</v>
      </c>
      <c r="R715" s="146" t="n">
        <v>0.263080421012559</v>
      </c>
      <c r="S715" s="146" t="n">
        <v>0.0897747297382256</v>
      </c>
      <c r="T715" s="146" t="n">
        <v>0.0196663012617622</v>
      </c>
      <c r="U715" s="29"/>
      <c r="V715" s="29"/>
      <c r="W715" s="29"/>
      <c r="X715" s="29"/>
      <c r="Y715" s="29"/>
      <c r="Z715" s="75"/>
    </row>
    <row r="716" customFormat="false" ht="12.75" hidden="false" customHeight="true" outlineLevel="0" collapsed="false">
      <c r="A716" s="2"/>
      <c r="B716" s="2"/>
      <c r="C716" s="75"/>
      <c r="D716" s="75"/>
      <c r="E716" s="75"/>
      <c r="F716" s="75"/>
      <c r="G716" s="75"/>
      <c r="H716" s="75"/>
      <c r="I716" s="2"/>
      <c r="J716" s="83"/>
      <c r="K716" s="83"/>
      <c r="L716" s="83"/>
      <c r="M716" s="83"/>
      <c r="N716" s="83"/>
      <c r="O716" s="2"/>
      <c r="P716" s="75" t="n">
        <v>713</v>
      </c>
      <c r="Q716" s="146" t="n">
        <v>15996.186712282</v>
      </c>
      <c r="R716" s="146" t="n">
        <v>0.263804503612466</v>
      </c>
      <c r="S716" s="146" t="n">
        <v>0.0802194942875839</v>
      </c>
      <c r="T716" s="146" t="n">
        <v>0.0214841064808322</v>
      </c>
      <c r="U716" s="29"/>
      <c r="V716" s="29"/>
      <c r="W716" s="29"/>
      <c r="X716" s="29"/>
      <c r="Y716" s="29"/>
      <c r="Z716" s="75"/>
    </row>
    <row r="717" customFormat="false" ht="12.75" hidden="false" customHeight="true" outlineLevel="0" collapsed="false">
      <c r="A717" s="2"/>
      <c r="B717" s="2"/>
      <c r="C717" s="75"/>
      <c r="D717" s="75"/>
      <c r="E717" s="75"/>
      <c r="F717" s="75"/>
      <c r="G717" s="75"/>
      <c r="H717" s="75"/>
      <c r="I717" s="2"/>
      <c r="J717" s="83"/>
      <c r="K717" s="83"/>
      <c r="L717" s="83"/>
      <c r="M717" s="83"/>
      <c r="N717" s="83"/>
      <c r="O717" s="2"/>
      <c r="P717" s="75" t="n">
        <v>714</v>
      </c>
      <c r="Q717" s="146" t="n">
        <v>16018.663580563</v>
      </c>
      <c r="R717" s="146" t="n">
        <v>0.264755749143054</v>
      </c>
      <c r="S717" s="146" t="n">
        <v>0.075576886005567</v>
      </c>
      <c r="T717" s="146" t="n">
        <v>0.0225660483492944</v>
      </c>
      <c r="U717" s="29"/>
      <c r="V717" s="29"/>
      <c r="W717" s="29"/>
      <c r="X717" s="29"/>
      <c r="Y717" s="29"/>
      <c r="Z717" s="75"/>
    </row>
    <row r="718" customFormat="false" ht="12.75" hidden="false" customHeight="true" outlineLevel="0" collapsed="false">
      <c r="A718" s="2"/>
      <c r="B718" s="2"/>
      <c r="C718" s="75"/>
      <c r="D718" s="75"/>
      <c r="E718" s="75"/>
      <c r="F718" s="75"/>
      <c r="G718" s="75"/>
      <c r="H718" s="75"/>
      <c r="I718" s="2"/>
      <c r="J718" s="83"/>
      <c r="K718" s="83"/>
      <c r="L718" s="83"/>
      <c r="M718" s="83"/>
      <c r="N718" s="83"/>
      <c r="O718" s="2"/>
      <c r="P718" s="75" t="n">
        <v>715</v>
      </c>
      <c r="Q718" s="146" t="n">
        <v>16041.641755374</v>
      </c>
      <c r="R718" s="146" t="n">
        <v>0.266082477228572</v>
      </c>
      <c r="S718" s="146" t="n">
        <v>0.0703700819642546</v>
      </c>
      <c r="T718" s="146" t="n">
        <v>0.0244897057342167</v>
      </c>
      <c r="U718" s="29"/>
      <c r="V718" s="29"/>
      <c r="W718" s="29"/>
      <c r="X718" s="29"/>
      <c r="Y718" s="29"/>
      <c r="Z718" s="75"/>
    </row>
    <row r="719" customFormat="false" ht="12.75" hidden="false" customHeight="true" outlineLevel="0" collapsed="false">
      <c r="A719" s="2"/>
      <c r="B719" s="2"/>
      <c r="C719" s="75"/>
      <c r="D719" s="75"/>
      <c r="E719" s="75"/>
      <c r="F719" s="75"/>
      <c r="G719" s="75"/>
      <c r="H719" s="75"/>
      <c r="I719" s="2"/>
      <c r="J719" s="83"/>
      <c r="K719" s="83"/>
      <c r="L719" s="83"/>
      <c r="M719" s="83"/>
      <c r="N719" s="83"/>
      <c r="O719" s="2"/>
      <c r="P719" s="75" t="n">
        <v>716</v>
      </c>
      <c r="Q719" s="146" t="n">
        <v>16063.995906897</v>
      </c>
      <c r="R719" s="146" t="n">
        <v>0.266818076347431</v>
      </c>
      <c r="S719" s="146" t="n">
        <v>0.0693945903292442</v>
      </c>
      <c r="T719" s="146" t="n">
        <v>0.0251738468778342</v>
      </c>
      <c r="U719" s="29"/>
      <c r="V719" s="29"/>
      <c r="W719" s="29"/>
      <c r="X719" s="29"/>
      <c r="Y719" s="29"/>
      <c r="Z719" s="75"/>
    </row>
    <row r="720" customFormat="false" ht="12.75" hidden="false" customHeight="true" outlineLevel="0" collapsed="false">
      <c r="A720" s="2"/>
      <c r="B720" s="2"/>
      <c r="C720" s="75"/>
      <c r="D720" s="75"/>
      <c r="E720" s="75"/>
      <c r="F720" s="75"/>
      <c r="G720" s="75"/>
      <c r="H720" s="75"/>
      <c r="I720" s="2"/>
      <c r="J720" s="83"/>
      <c r="K720" s="83"/>
      <c r="L720" s="83"/>
      <c r="M720" s="83"/>
      <c r="N720" s="83"/>
      <c r="O720" s="2"/>
      <c r="P720" s="75" t="n">
        <v>717</v>
      </c>
      <c r="Q720" s="146" t="n">
        <v>16087.12582535</v>
      </c>
      <c r="R720" s="146" t="n">
        <v>0.267197258999142</v>
      </c>
      <c r="S720" s="146" t="n">
        <v>0.0713346249591315</v>
      </c>
      <c r="T720" s="146" t="n">
        <v>0.0264916335908123</v>
      </c>
      <c r="U720" s="29"/>
      <c r="V720" s="29"/>
      <c r="W720" s="29"/>
      <c r="X720" s="29"/>
      <c r="Y720" s="29"/>
      <c r="Z720" s="75"/>
    </row>
    <row r="721" customFormat="false" ht="12.75" hidden="false" customHeight="true" outlineLevel="0" collapsed="false">
      <c r="A721" s="2"/>
      <c r="B721" s="2"/>
      <c r="C721" s="75"/>
      <c r="D721" s="75"/>
      <c r="E721" s="75"/>
      <c r="F721" s="75"/>
      <c r="G721" s="75"/>
      <c r="H721" s="75"/>
      <c r="I721" s="2"/>
      <c r="J721" s="83"/>
      <c r="K721" s="83"/>
      <c r="L721" s="83"/>
      <c r="M721" s="83"/>
      <c r="N721" s="83"/>
      <c r="O721" s="2"/>
      <c r="P721" s="75" t="n">
        <v>718</v>
      </c>
      <c r="Q721" s="146" t="n">
        <v>16109.186123182</v>
      </c>
      <c r="R721" s="146" t="n">
        <v>0.267631029448047</v>
      </c>
      <c r="S721" s="146" t="n">
        <v>0.073737823157514</v>
      </c>
      <c r="T721" s="146" t="n">
        <v>0.0266919992589504</v>
      </c>
      <c r="U721" s="29"/>
      <c r="V721" s="29"/>
      <c r="W721" s="29"/>
      <c r="X721" s="29"/>
      <c r="Y721" s="29"/>
      <c r="Z721" s="75"/>
    </row>
    <row r="722" customFormat="false" ht="12.75" hidden="false" customHeight="true" outlineLevel="0" collapsed="false">
      <c r="A722" s="2"/>
      <c r="B722" s="2"/>
      <c r="C722" s="75"/>
      <c r="D722" s="75"/>
      <c r="E722" s="75"/>
      <c r="F722" s="75"/>
      <c r="G722" s="75"/>
      <c r="H722" s="75"/>
      <c r="I722" s="2"/>
      <c r="J722" s="83"/>
      <c r="K722" s="83"/>
      <c r="L722" s="83"/>
      <c r="M722" s="83"/>
      <c r="N722" s="83"/>
      <c r="O722" s="2"/>
      <c r="P722" s="75" t="n">
        <v>719</v>
      </c>
      <c r="Q722" s="146" t="n">
        <v>16132.303596525</v>
      </c>
      <c r="R722" s="146" t="n">
        <v>0.266832998324772</v>
      </c>
      <c r="S722" s="146" t="n">
        <v>0.0829438336810128</v>
      </c>
      <c r="T722" s="146" t="n">
        <v>0.0282691868428761</v>
      </c>
      <c r="U722" s="29"/>
      <c r="V722" s="29"/>
      <c r="W722" s="29"/>
      <c r="X722" s="29"/>
      <c r="Y722" s="29"/>
      <c r="Z722" s="75"/>
    </row>
    <row r="723" customFormat="false" ht="12.75" hidden="false" customHeight="true" outlineLevel="0" collapsed="false">
      <c r="A723" s="2"/>
      <c r="B723" s="2"/>
      <c r="C723" s="75"/>
      <c r="D723" s="75"/>
      <c r="E723" s="75"/>
      <c r="F723" s="75"/>
      <c r="G723" s="75"/>
      <c r="H723" s="75"/>
      <c r="I723" s="2"/>
      <c r="J723" s="83"/>
      <c r="K723" s="83"/>
      <c r="L723" s="83"/>
      <c r="M723" s="83"/>
      <c r="N723" s="83"/>
      <c r="O723" s="2"/>
      <c r="P723" s="75" t="n">
        <v>720</v>
      </c>
      <c r="Q723" s="146" t="n">
        <v>16154.594102294</v>
      </c>
      <c r="R723" s="146" t="n">
        <v>0.266737614046205</v>
      </c>
      <c r="S723" s="146" t="n">
        <v>0.0876345174338015</v>
      </c>
      <c r="T723" s="146" t="n">
        <v>0.0283606891574396</v>
      </c>
      <c r="U723" s="29"/>
      <c r="V723" s="29"/>
      <c r="W723" s="29"/>
      <c r="X723" s="29"/>
      <c r="Y723" s="29"/>
      <c r="Z723" s="75"/>
    </row>
    <row r="724" customFormat="false" ht="12.75" hidden="false" customHeight="true" outlineLevel="0" collapsed="false">
      <c r="A724" s="2"/>
      <c r="B724" s="2"/>
      <c r="C724" s="75"/>
      <c r="D724" s="75"/>
      <c r="E724" s="75"/>
      <c r="F724" s="75"/>
      <c r="G724" s="75"/>
      <c r="H724" s="75"/>
      <c r="I724" s="2"/>
      <c r="J724" s="83"/>
      <c r="K724" s="83"/>
      <c r="L724" s="83"/>
      <c r="M724" s="83"/>
      <c r="N724" s="83"/>
      <c r="O724" s="2"/>
      <c r="P724" s="75" t="n">
        <v>721</v>
      </c>
      <c r="Q724" s="146" t="n">
        <v>16177.770166852</v>
      </c>
      <c r="R724" s="146" t="n">
        <v>0.265400160977946</v>
      </c>
      <c r="S724" s="146" t="n">
        <v>0.0998337574015778</v>
      </c>
      <c r="T724" s="146" t="n">
        <v>0.0294754300813116</v>
      </c>
      <c r="U724" s="29"/>
      <c r="V724" s="29"/>
      <c r="W724" s="29"/>
      <c r="X724" s="29"/>
      <c r="Y724" s="29"/>
      <c r="Z724" s="75"/>
    </row>
    <row r="725" customFormat="false" ht="12.75" hidden="false" customHeight="true" outlineLevel="0" collapsed="false">
      <c r="A725" s="2"/>
      <c r="B725" s="2"/>
      <c r="C725" s="75"/>
      <c r="D725" s="75"/>
      <c r="E725" s="75"/>
      <c r="F725" s="75"/>
      <c r="G725" s="75"/>
      <c r="H725" s="75"/>
      <c r="I725" s="2"/>
      <c r="J725" s="83"/>
      <c r="K725" s="83"/>
      <c r="L725" s="83"/>
      <c r="M725" s="83"/>
      <c r="N725" s="83"/>
      <c r="O725" s="2"/>
      <c r="P725" s="75" t="n">
        <v>722</v>
      </c>
      <c r="Q725" s="146" t="n">
        <v>16199.838326112</v>
      </c>
      <c r="R725" s="146" t="n">
        <v>0.265438453558179</v>
      </c>
      <c r="S725" s="146" t="n">
        <v>0.103961463158448</v>
      </c>
      <c r="T725" s="146" t="n">
        <v>0.0297138223185644</v>
      </c>
      <c r="U725" s="29"/>
      <c r="V725" s="29"/>
      <c r="W725" s="29"/>
      <c r="X725" s="29"/>
      <c r="Y725" s="29"/>
      <c r="Z725" s="75"/>
    </row>
    <row r="726" customFormat="false" ht="12.75" hidden="false" customHeight="true" outlineLevel="0" collapsed="false">
      <c r="A726" s="2"/>
      <c r="B726" s="2"/>
      <c r="C726" s="75"/>
      <c r="D726" s="75"/>
      <c r="E726" s="75"/>
      <c r="F726" s="75"/>
      <c r="G726" s="75"/>
      <c r="H726" s="75"/>
      <c r="I726" s="2"/>
      <c r="J726" s="83"/>
      <c r="K726" s="83"/>
      <c r="L726" s="83"/>
      <c r="M726" s="83"/>
      <c r="N726" s="83"/>
      <c r="O726" s="2"/>
      <c r="P726" s="75" t="n">
        <v>723</v>
      </c>
      <c r="Q726" s="146" t="n">
        <v>16222.526139907</v>
      </c>
      <c r="R726" s="146" t="n">
        <v>0.264917716052726</v>
      </c>
      <c r="S726" s="146" t="n">
        <v>0.107641537941222</v>
      </c>
      <c r="T726" s="146" t="n">
        <v>0.0301684218324688</v>
      </c>
      <c r="U726" s="29"/>
      <c r="V726" s="29"/>
      <c r="W726" s="29"/>
      <c r="X726" s="29"/>
      <c r="Y726" s="29"/>
      <c r="Z726" s="75"/>
    </row>
    <row r="727" customFormat="false" ht="12.75" hidden="false" customHeight="true" outlineLevel="0" collapsed="false">
      <c r="A727" s="2"/>
      <c r="B727" s="2"/>
      <c r="C727" s="75"/>
      <c r="D727" s="75"/>
      <c r="E727" s="75"/>
      <c r="F727" s="75"/>
      <c r="G727" s="75"/>
      <c r="H727" s="75"/>
      <c r="I727" s="2"/>
      <c r="J727" s="83"/>
      <c r="K727" s="83"/>
      <c r="L727" s="83"/>
      <c r="M727" s="83"/>
      <c r="N727" s="83"/>
      <c r="O727" s="2"/>
      <c r="P727" s="75" t="n">
        <v>724</v>
      </c>
      <c r="Q727" s="146" t="n">
        <v>16245.264276411</v>
      </c>
      <c r="R727" s="146" t="n">
        <v>0.265285769469615</v>
      </c>
      <c r="S727" s="146" t="n">
        <v>0.108369279645899</v>
      </c>
      <c r="T727" s="146" t="n">
        <v>0.0307418289782931</v>
      </c>
      <c r="U727" s="29"/>
      <c r="V727" s="29"/>
      <c r="W727" s="29"/>
      <c r="X727" s="29"/>
      <c r="Y727" s="29"/>
      <c r="Z727" s="75"/>
    </row>
    <row r="728" customFormat="false" ht="12.75" hidden="false" customHeight="true" outlineLevel="0" collapsed="false">
      <c r="A728" s="2"/>
      <c r="B728" s="2"/>
      <c r="C728" s="75"/>
      <c r="D728" s="75"/>
      <c r="E728" s="75"/>
      <c r="F728" s="75"/>
      <c r="G728" s="75"/>
      <c r="H728" s="75"/>
      <c r="I728" s="2"/>
      <c r="J728" s="83"/>
      <c r="K728" s="83"/>
      <c r="L728" s="83"/>
      <c r="M728" s="83"/>
      <c r="N728" s="83"/>
      <c r="O728" s="2"/>
      <c r="P728" s="75" t="n">
        <v>725</v>
      </c>
      <c r="Q728" s="146" t="n">
        <v>16267.347681919</v>
      </c>
      <c r="R728" s="146" t="n">
        <v>0.265845479490518</v>
      </c>
      <c r="S728" s="146" t="n">
        <v>0.109231003813689</v>
      </c>
      <c r="T728" s="146" t="n">
        <v>0.0308281327925974</v>
      </c>
      <c r="U728" s="29"/>
      <c r="V728" s="29"/>
      <c r="W728" s="29"/>
      <c r="X728" s="29"/>
      <c r="Y728" s="29"/>
      <c r="Z728" s="75"/>
    </row>
    <row r="729" customFormat="false" ht="12.75" hidden="false" customHeight="true" outlineLevel="0" collapsed="false">
      <c r="A729" s="2"/>
      <c r="B729" s="2"/>
      <c r="C729" s="75"/>
      <c r="D729" s="75"/>
      <c r="E729" s="75"/>
      <c r="F729" s="75"/>
      <c r="G729" s="75"/>
      <c r="H729" s="75"/>
      <c r="I729" s="2"/>
      <c r="J729" s="83"/>
      <c r="K729" s="83"/>
      <c r="L729" s="83"/>
      <c r="M729" s="83"/>
      <c r="N729" s="83"/>
      <c r="O729" s="2"/>
      <c r="P729" s="75" t="n">
        <v>726</v>
      </c>
      <c r="Q729" s="146" t="n">
        <v>16290.202727443</v>
      </c>
      <c r="R729" s="146" t="n">
        <v>0.266840320102133</v>
      </c>
      <c r="S729" s="146" t="n">
        <v>0.106193513194185</v>
      </c>
      <c r="T729" s="146" t="n">
        <v>0.0307414518972418</v>
      </c>
      <c r="U729" s="29"/>
      <c r="V729" s="29"/>
      <c r="W729" s="29"/>
      <c r="X729" s="29"/>
      <c r="Y729" s="29"/>
      <c r="Z729" s="75"/>
    </row>
    <row r="730" customFormat="false" ht="12.75" hidden="false" customHeight="true" outlineLevel="0" collapsed="false">
      <c r="A730" s="2"/>
      <c r="B730" s="2"/>
      <c r="C730" s="75"/>
      <c r="D730" s="75"/>
      <c r="E730" s="75"/>
      <c r="F730" s="75"/>
      <c r="G730" s="75"/>
      <c r="H730" s="75"/>
      <c r="I730" s="2"/>
      <c r="J730" s="83"/>
      <c r="K730" s="83"/>
      <c r="L730" s="83"/>
      <c r="M730" s="83"/>
      <c r="N730" s="83"/>
      <c r="O730" s="2"/>
      <c r="P730" s="75" t="n">
        <v>727</v>
      </c>
      <c r="Q730" s="146" t="n">
        <v>16312.660241122</v>
      </c>
      <c r="R730" s="146" t="n">
        <v>0.268075527147742</v>
      </c>
      <c r="S730" s="146" t="n">
        <v>0.104750629256101</v>
      </c>
      <c r="T730" s="146" t="n">
        <v>0.0308425648937582</v>
      </c>
      <c r="U730" s="29"/>
      <c r="V730" s="29"/>
      <c r="W730" s="29"/>
      <c r="X730" s="29"/>
      <c r="Y730" s="29"/>
      <c r="Z730" s="75"/>
    </row>
    <row r="731" customFormat="false" ht="12.75" hidden="false" customHeight="true" outlineLevel="0" collapsed="false">
      <c r="A731" s="2"/>
      <c r="B731" s="2"/>
      <c r="C731" s="75"/>
      <c r="D731" s="75"/>
      <c r="E731" s="75"/>
      <c r="F731" s="75"/>
      <c r="G731" s="75"/>
      <c r="H731" s="75"/>
      <c r="I731" s="2"/>
      <c r="J731" s="83"/>
      <c r="K731" s="83"/>
      <c r="L731" s="83"/>
      <c r="M731" s="83"/>
      <c r="N731" s="83"/>
      <c r="O731" s="2"/>
      <c r="P731" s="75" t="n">
        <v>728</v>
      </c>
      <c r="Q731" s="146" t="n">
        <v>16335.691341481</v>
      </c>
      <c r="R731" s="146" t="n">
        <v>0.269654887140684</v>
      </c>
      <c r="S731" s="146" t="n">
        <v>0.0996819505060852</v>
      </c>
      <c r="T731" s="146" t="n">
        <v>0.0312867638855492</v>
      </c>
      <c r="U731" s="29"/>
      <c r="V731" s="29"/>
      <c r="W731" s="29"/>
      <c r="X731" s="29"/>
      <c r="Y731" s="29"/>
      <c r="Z731" s="75"/>
    </row>
    <row r="732" customFormat="false" ht="12.75" hidden="false" customHeight="true" outlineLevel="0" collapsed="false">
      <c r="A732" s="2"/>
      <c r="B732" s="2"/>
      <c r="C732" s="75"/>
      <c r="D732" s="75"/>
      <c r="E732" s="75"/>
      <c r="F732" s="75"/>
      <c r="G732" s="75"/>
      <c r="H732" s="75"/>
      <c r="I732" s="2"/>
      <c r="J732" s="83"/>
      <c r="K732" s="83"/>
      <c r="L732" s="83"/>
      <c r="M732" s="83"/>
      <c r="N732" s="83"/>
      <c r="O732" s="2"/>
      <c r="P732" s="75" t="n">
        <v>729</v>
      </c>
      <c r="Q732" s="146" t="n">
        <v>16357.866625901</v>
      </c>
      <c r="R732" s="146" t="n">
        <v>0.270784890716013</v>
      </c>
      <c r="S732" s="146" t="n">
        <v>0.0978864428543675</v>
      </c>
      <c r="T732" s="146" t="n">
        <v>0.0318488566027943</v>
      </c>
      <c r="U732" s="29"/>
      <c r="V732" s="29"/>
      <c r="W732" s="29"/>
      <c r="X732" s="29"/>
      <c r="Y732" s="29"/>
      <c r="Z732" s="75"/>
    </row>
    <row r="733" customFormat="false" ht="12.75" hidden="false" customHeight="true" outlineLevel="0" collapsed="false">
      <c r="A733" s="2"/>
      <c r="B733" s="2"/>
      <c r="C733" s="75"/>
      <c r="D733" s="75"/>
      <c r="E733" s="75"/>
      <c r="F733" s="75"/>
      <c r="G733" s="75"/>
      <c r="H733" s="75"/>
      <c r="I733" s="2"/>
      <c r="J733" s="83"/>
      <c r="K733" s="83"/>
      <c r="L733" s="83"/>
      <c r="M733" s="83"/>
      <c r="N733" s="83"/>
      <c r="O733" s="2"/>
      <c r="P733" s="75" t="n">
        <v>730</v>
      </c>
      <c r="Q733" s="146" t="n">
        <v>16380.262470161</v>
      </c>
      <c r="R733" s="146" t="n">
        <v>0.271889851756807</v>
      </c>
      <c r="S733" s="146" t="n">
        <v>0.0948272788523348</v>
      </c>
      <c r="T733" s="146" t="n">
        <v>0.0335901781061197</v>
      </c>
      <c r="U733" s="29"/>
      <c r="V733" s="29"/>
      <c r="W733" s="29"/>
      <c r="X733" s="29"/>
      <c r="Y733" s="29"/>
      <c r="Z733" s="75"/>
    </row>
    <row r="734" customFormat="false" ht="12.75" hidden="false" customHeight="true" outlineLevel="0" collapsed="false">
      <c r="A734" s="2"/>
      <c r="B734" s="2"/>
      <c r="C734" s="75"/>
      <c r="D734" s="75"/>
      <c r="E734" s="75"/>
      <c r="F734" s="75"/>
      <c r="G734" s="75"/>
      <c r="H734" s="75"/>
      <c r="I734" s="2"/>
      <c r="J734" s="83"/>
      <c r="K734" s="83"/>
      <c r="L734" s="83"/>
      <c r="M734" s="83"/>
      <c r="N734" s="83"/>
      <c r="O734" s="2"/>
      <c r="P734" s="75" t="n">
        <v>731</v>
      </c>
      <c r="Q734" s="146" t="n">
        <v>16403.09495962</v>
      </c>
      <c r="R734" s="146" t="n">
        <v>0.272258251922663</v>
      </c>
      <c r="S734" s="146" t="n">
        <v>0.0924564741727346</v>
      </c>
      <c r="T734" s="146" t="n">
        <v>0.0355464741076352</v>
      </c>
      <c r="U734" s="29"/>
      <c r="V734" s="29"/>
      <c r="W734" s="29"/>
      <c r="X734" s="29"/>
      <c r="Y734" s="29"/>
      <c r="Z734" s="75"/>
    </row>
    <row r="735" customFormat="false" ht="12.75" hidden="false" customHeight="true" outlineLevel="0" collapsed="false">
      <c r="A735" s="2"/>
      <c r="B735" s="2"/>
      <c r="C735" s="75"/>
      <c r="D735" s="75"/>
      <c r="E735" s="75"/>
      <c r="F735" s="75"/>
      <c r="G735" s="75"/>
      <c r="H735" s="75"/>
      <c r="I735" s="2"/>
      <c r="J735" s="83"/>
      <c r="K735" s="83"/>
      <c r="L735" s="83"/>
      <c r="M735" s="83"/>
      <c r="N735" s="83"/>
      <c r="O735" s="2"/>
      <c r="P735" s="75" t="n">
        <v>732</v>
      </c>
      <c r="Q735" s="146" t="n">
        <v>16425.600246632</v>
      </c>
      <c r="R735" s="146" t="n">
        <v>0.272429248292684</v>
      </c>
      <c r="S735" s="146" t="n">
        <v>0.091817094508336</v>
      </c>
      <c r="T735" s="146" t="n">
        <v>0.0372377909074497</v>
      </c>
      <c r="U735" s="29"/>
      <c r="V735" s="29"/>
      <c r="W735" s="29"/>
      <c r="X735" s="29"/>
      <c r="Y735" s="29"/>
      <c r="Z735" s="75"/>
    </row>
    <row r="736" customFormat="false" ht="12.75" hidden="false" customHeight="true" outlineLevel="0" collapsed="false">
      <c r="A736" s="2"/>
      <c r="B736" s="2"/>
      <c r="C736" s="75"/>
      <c r="D736" s="75"/>
      <c r="E736" s="75"/>
      <c r="F736" s="75"/>
      <c r="G736" s="75"/>
      <c r="H736" s="75"/>
      <c r="I736" s="2"/>
      <c r="J736" s="83"/>
      <c r="K736" s="83"/>
      <c r="L736" s="83"/>
      <c r="M736" s="83"/>
      <c r="N736" s="83"/>
      <c r="O736" s="2"/>
      <c r="P736" s="75" t="n">
        <v>733</v>
      </c>
      <c r="Q736" s="146" t="n">
        <v>16448.223048023</v>
      </c>
      <c r="R736" s="146" t="n">
        <v>0.271948521812493</v>
      </c>
      <c r="S736" s="146" t="n">
        <v>0.0928542541671749</v>
      </c>
      <c r="T736" s="146" t="n">
        <v>0.0386283413910744</v>
      </c>
      <c r="U736" s="29"/>
      <c r="V736" s="29"/>
      <c r="W736" s="29"/>
      <c r="X736" s="29"/>
      <c r="Y736" s="29"/>
      <c r="Z736" s="75"/>
    </row>
    <row r="737" customFormat="false" ht="12.75" hidden="false" customHeight="true" outlineLevel="0" collapsed="false">
      <c r="A737" s="2"/>
      <c r="B737" s="2"/>
      <c r="C737" s="75"/>
      <c r="D737" s="75"/>
      <c r="E737" s="75"/>
      <c r="F737" s="75"/>
      <c r="G737" s="75"/>
      <c r="H737" s="75"/>
      <c r="I737" s="2"/>
      <c r="J737" s="83"/>
      <c r="K737" s="83"/>
      <c r="L737" s="83"/>
      <c r="M737" s="83"/>
      <c r="N737" s="83"/>
      <c r="O737" s="2"/>
      <c r="P737" s="75" t="n">
        <v>734</v>
      </c>
      <c r="Q737" s="146" t="n">
        <v>16470.944726866</v>
      </c>
      <c r="R737" s="146" t="n">
        <v>0.271044061308218</v>
      </c>
      <c r="S737" s="146" t="n">
        <v>0.0956941230220481</v>
      </c>
      <c r="T737" s="146" t="n">
        <v>0.0396269038712244</v>
      </c>
      <c r="U737" s="29"/>
      <c r="V737" s="29"/>
      <c r="W737" s="29"/>
      <c r="X737" s="29"/>
      <c r="Y737" s="29"/>
      <c r="Z737" s="75"/>
    </row>
    <row r="738" customFormat="false" ht="12.75" hidden="false" customHeight="true" outlineLevel="0" collapsed="false">
      <c r="A738" s="2"/>
      <c r="B738" s="2"/>
      <c r="C738" s="75"/>
      <c r="D738" s="75"/>
      <c r="E738" s="75"/>
      <c r="F738" s="75"/>
      <c r="G738" s="75"/>
      <c r="H738" s="75"/>
      <c r="I738" s="2"/>
      <c r="J738" s="83"/>
      <c r="K738" s="83"/>
      <c r="L738" s="83"/>
      <c r="M738" s="83"/>
      <c r="N738" s="83"/>
      <c r="O738" s="2"/>
      <c r="P738" s="75" t="n">
        <v>735</v>
      </c>
      <c r="Q738" s="146" t="n">
        <v>16493.774103608</v>
      </c>
      <c r="R738" s="146" t="n">
        <v>0.269930872897517</v>
      </c>
      <c r="S738" s="146" t="n">
        <v>0.0995727689005939</v>
      </c>
      <c r="T738" s="146" t="n">
        <v>0.0396446252016591</v>
      </c>
      <c r="U738" s="29"/>
      <c r="V738" s="29"/>
      <c r="W738" s="29"/>
      <c r="X738" s="29"/>
      <c r="Y738" s="29"/>
      <c r="Z738" s="75"/>
    </row>
    <row r="739" customFormat="false" ht="12.75" hidden="false" customHeight="true" outlineLevel="0" collapsed="false">
      <c r="A739" s="2"/>
      <c r="B739" s="2"/>
      <c r="C739" s="75"/>
      <c r="D739" s="75"/>
      <c r="E739" s="75"/>
      <c r="F739" s="75"/>
      <c r="G739" s="75"/>
      <c r="H739" s="75"/>
      <c r="I739" s="2"/>
      <c r="J739" s="83"/>
      <c r="K739" s="83"/>
      <c r="L739" s="83"/>
      <c r="M739" s="83"/>
      <c r="N739" s="85"/>
      <c r="O739" s="2"/>
      <c r="P739" s="75" t="n">
        <v>736</v>
      </c>
      <c r="Q739" s="146" t="n">
        <v>16516.486700159</v>
      </c>
      <c r="R739" s="146" t="n">
        <v>0.26885538082203</v>
      </c>
      <c r="S739" s="146" t="n">
        <v>0.104323222397405</v>
      </c>
      <c r="T739" s="146" t="n">
        <v>0.0390835986404043</v>
      </c>
      <c r="U739" s="29"/>
      <c r="V739" s="29"/>
      <c r="W739" s="29"/>
      <c r="X739" s="29"/>
      <c r="Y739" s="29"/>
      <c r="Z739" s="75"/>
    </row>
    <row r="740" customFormat="false" ht="12.75" hidden="false" customHeight="true" outlineLevel="0" collapsed="false">
      <c r="A740" s="2"/>
      <c r="B740" s="2"/>
      <c r="C740" s="75"/>
      <c r="D740" s="75"/>
      <c r="E740" s="75"/>
      <c r="F740" s="75"/>
      <c r="G740" s="75"/>
      <c r="H740" s="75"/>
      <c r="I740" s="2"/>
      <c r="J740" s="83"/>
      <c r="K740" s="83"/>
      <c r="L740" s="83"/>
      <c r="M740" s="83"/>
      <c r="N740" s="83"/>
      <c r="O740" s="2"/>
      <c r="P740" s="75" t="n">
        <v>737</v>
      </c>
      <c r="Q740" s="146" t="n">
        <v>16539.021310683</v>
      </c>
      <c r="R740" s="146" t="n">
        <v>0.267898145873055</v>
      </c>
      <c r="S740" s="146" t="n">
        <v>0.108919076886899</v>
      </c>
      <c r="T740" s="146" t="n">
        <v>0.0374431970623662</v>
      </c>
      <c r="U740" s="29"/>
      <c r="V740" s="29"/>
      <c r="W740" s="29"/>
      <c r="X740" s="29"/>
      <c r="Y740" s="29"/>
      <c r="Z740" s="75"/>
    </row>
    <row r="741" customFormat="false" ht="12.75" hidden="false" customHeight="true" outlineLevel="0" collapsed="false">
      <c r="A741" s="2"/>
      <c r="B741" s="2"/>
      <c r="C741" s="75"/>
      <c r="D741" s="75"/>
      <c r="E741" s="75"/>
      <c r="F741" s="75"/>
      <c r="G741" s="75"/>
      <c r="H741" s="75"/>
      <c r="I741" s="2"/>
      <c r="J741" s="83"/>
      <c r="K741" s="83"/>
      <c r="L741" s="83"/>
      <c r="M741" s="83"/>
      <c r="N741" s="83"/>
      <c r="O741" s="2"/>
      <c r="P741" s="75" t="n">
        <v>738</v>
      </c>
      <c r="Q741" s="146" t="n">
        <v>16561.631469485</v>
      </c>
      <c r="R741" s="146" t="n">
        <v>0.267241163258082</v>
      </c>
      <c r="S741" s="146" t="n">
        <v>0.112933438187692</v>
      </c>
      <c r="T741" s="146" t="n">
        <v>0.0354784293898695</v>
      </c>
      <c r="U741" s="29"/>
      <c r="V741" s="29"/>
      <c r="W741" s="29"/>
      <c r="X741" s="29"/>
      <c r="Y741" s="29"/>
      <c r="Z741" s="75"/>
    </row>
    <row r="742" customFormat="false" ht="12.75" hidden="false" customHeight="true" outlineLevel="0" collapsed="false">
      <c r="A742" s="2"/>
      <c r="B742" s="2"/>
      <c r="C742" s="75"/>
      <c r="D742" s="75"/>
      <c r="E742" s="75"/>
      <c r="F742" s="75"/>
      <c r="G742" s="75"/>
      <c r="H742" s="75"/>
      <c r="I742" s="2"/>
      <c r="J742" s="83"/>
      <c r="K742" s="83"/>
      <c r="L742" s="83"/>
      <c r="M742" s="83"/>
      <c r="N742" s="83"/>
      <c r="O742" s="2"/>
      <c r="P742" s="75" t="n">
        <v>739</v>
      </c>
      <c r="Q742" s="146" t="n">
        <v>16584.007952294</v>
      </c>
      <c r="R742" s="146" t="n">
        <v>0.266756189820026</v>
      </c>
      <c r="S742" s="146" t="n">
        <v>0.115951149543565</v>
      </c>
      <c r="T742" s="146" t="n">
        <v>0.0330356549173104</v>
      </c>
      <c r="U742" s="29"/>
      <c r="V742" s="29"/>
      <c r="W742" s="29"/>
      <c r="X742" s="29"/>
      <c r="Y742" s="29"/>
      <c r="Z742" s="75"/>
    </row>
    <row r="743" customFormat="false" ht="12.75" hidden="false" customHeight="true" outlineLevel="0" collapsed="false">
      <c r="A743" s="2"/>
      <c r="B743" s="2"/>
      <c r="C743" s="75"/>
      <c r="D743" s="75"/>
      <c r="E743" s="75"/>
      <c r="F743" s="75"/>
      <c r="G743" s="75"/>
      <c r="H743" s="75"/>
      <c r="I743" s="2"/>
      <c r="J743" s="83"/>
      <c r="K743" s="83"/>
      <c r="L743" s="83"/>
      <c r="M743" s="83"/>
      <c r="N743" s="83"/>
      <c r="O743" s="2"/>
      <c r="P743" s="75" t="n">
        <v>740</v>
      </c>
      <c r="Q743" s="146" t="n">
        <v>16606.455600578</v>
      </c>
      <c r="R743" s="146" t="n">
        <v>0.266610446928908</v>
      </c>
      <c r="S743" s="146" t="n">
        <v>0.120811657639815</v>
      </c>
      <c r="T743" s="146" t="n">
        <v>0.0302459218460837</v>
      </c>
      <c r="U743" s="29"/>
      <c r="V743" s="29"/>
      <c r="W743" s="29"/>
      <c r="X743" s="29"/>
      <c r="Y743" s="29"/>
      <c r="Z743" s="75"/>
    </row>
    <row r="744" customFormat="false" ht="12.75" hidden="false" customHeight="true" outlineLevel="0" collapsed="false">
      <c r="A744" s="2"/>
      <c r="B744" s="2"/>
      <c r="C744" s="75"/>
      <c r="D744" s="75"/>
      <c r="E744" s="75"/>
      <c r="F744" s="75"/>
      <c r="G744" s="75"/>
      <c r="H744" s="75"/>
      <c r="I744" s="2"/>
      <c r="J744" s="83"/>
      <c r="K744" s="83"/>
      <c r="L744" s="83"/>
      <c r="M744" s="83"/>
      <c r="N744" s="83"/>
      <c r="O744" s="2"/>
      <c r="P744" s="75" t="n">
        <v>741</v>
      </c>
      <c r="Q744" s="146" t="n">
        <v>16629.22269121</v>
      </c>
      <c r="R744" s="146" t="n">
        <v>0.266489720141394</v>
      </c>
      <c r="S744" s="146" t="n">
        <v>0.123653858238281</v>
      </c>
      <c r="T744" s="146" t="n">
        <v>0.0277940777113686</v>
      </c>
      <c r="U744" s="29"/>
      <c r="V744" s="29"/>
      <c r="W744" s="29"/>
      <c r="X744" s="29"/>
      <c r="Y744" s="29"/>
      <c r="Z744" s="75"/>
    </row>
    <row r="745" customFormat="false" ht="12.75" hidden="false" customHeight="true" outlineLevel="0" collapsed="false">
      <c r="A745" s="2"/>
      <c r="B745" s="2"/>
      <c r="C745" s="75"/>
      <c r="D745" s="75"/>
      <c r="E745" s="75"/>
      <c r="F745" s="75"/>
      <c r="G745" s="75"/>
      <c r="H745" s="75"/>
      <c r="I745" s="2"/>
      <c r="J745" s="83"/>
      <c r="K745" s="83"/>
      <c r="L745" s="83"/>
      <c r="M745" s="83"/>
      <c r="N745" s="83"/>
      <c r="O745" s="2"/>
      <c r="P745" s="75" t="n">
        <v>742</v>
      </c>
      <c r="Q745" s="146" t="n">
        <v>16651.89794372</v>
      </c>
      <c r="R745" s="146" t="n">
        <v>0.266574159101567</v>
      </c>
      <c r="S745" s="146" t="n">
        <v>0.124144044144436</v>
      </c>
      <c r="T745" s="146" t="n">
        <v>0.026188207877128</v>
      </c>
      <c r="U745" s="29"/>
      <c r="V745" s="29"/>
      <c r="W745" s="29"/>
      <c r="X745" s="29"/>
      <c r="Y745" s="29"/>
      <c r="Z745" s="75"/>
    </row>
    <row r="746" customFormat="false" ht="12.75" hidden="false" customHeight="true" outlineLevel="0" collapsed="false">
      <c r="A746" s="2"/>
      <c r="B746" s="2"/>
      <c r="C746" s="75"/>
      <c r="D746" s="75"/>
      <c r="E746" s="75"/>
      <c r="F746" s="75"/>
      <c r="G746" s="75"/>
      <c r="H746" s="75"/>
      <c r="I746" s="2"/>
      <c r="J746" s="83"/>
      <c r="K746" s="83"/>
      <c r="L746" s="83"/>
      <c r="M746" s="83"/>
      <c r="N746" s="83"/>
      <c r="O746" s="2"/>
      <c r="P746" s="75" t="n">
        <v>743</v>
      </c>
      <c r="Q746" s="146" t="n">
        <v>16674.891571763</v>
      </c>
      <c r="R746" s="146" t="n">
        <v>0.267110203498006</v>
      </c>
      <c r="S746" s="146" t="n">
        <v>0.122747064658706</v>
      </c>
      <c r="T746" s="146" t="n">
        <v>0.0250555108110575</v>
      </c>
      <c r="U746" s="29"/>
      <c r="V746" s="29"/>
      <c r="W746" s="29"/>
      <c r="X746" s="29"/>
      <c r="Y746" s="29"/>
      <c r="Z746" s="75"/>
    </row>
    <row r="747" customFormat="false" ht="12.75" hidden="false" customHeight="true" outlineLevel="0" collapsed="false">
      <c r="A747" s="2"/>
      <c r="B747" s="2"/>
      <c r="C747" s="75"/>
      <c r="D747" s="75"/>
      <c r="E747" s="75"/>
      <c r="F747" s="75"/>
      <c r="G747" s="75"/>
      <c r="H747" s="75"/>
      <c r="I747" s="2"/>
      <c r="J747" s="83"/>
      <c r="K747" s="83"/>
      <c r="L747" s="83"/>
      <c r="M747" s="83"/>
      <c r="N747" s="83"/>
      <c r="O747" s="2"/>
      <c r="P747" s="75" t="n">
        <v>744</v>
      </c>
      <c r="Q747" s="146" t="n">
        <v>16697.413560797</v>
      </c>
      <c r="R747" s="146" t="n">
        <v>0.26830801241834</v>
      </c>
      <c r="S747" s="146" t="n">
        <v>0.119494908765051</v>
      </c>
      <c r="T747" s="146" t="n">
        <v>0.0245661134082712</v>
      </c>
      <c r="U747" s="29"/>
      <c r="V747" s="29"/>
      <c r="W747" s="29"/>
      <c r="X747" s="29"/>
      <c r="Y747" s="29"/>
      <c r="Z747" s="75"/>
    </row>
    <row r="748" customFormat="false" ht="12.75" hidden="false" customHeight="true" outlineLevel="0" collapsed="false">
      <c r="A748" s="2"/>
      <c r="B748" s="2"/>
      <c r="C748" s="75"/>
      <c r="D748" s="75"/>
      <c r="E748" s="75"/>
      <c r="F748" s="75"/>
      <c r="G748" s="75"/>
      <c r="H748" s="75"/>
      <c r="I748" s="2"/>
      <c r="J748" s="83"/>
      <c r="K748" s="83"/>
      <c r="L748" s="83"/>
      <c r="M748" s="83"/>
      <c r="N748" s="83"/>
      <c r="O748" s="2"/>
      <c r="P748" s="75" t="n">
        <v>745</v>
      </c>
      <c r="Q748" s="146" t="n">
        <v>16720.010409201</v>
      </c>
      <c r="R748" s="146" t="n">
        <v>0.269899461488467</v>
      </c>
      <c r="S748" s="146" t="n">
        <v>0.114663101811803</v>
      </c>
      <c r="T748" s="146" t="n">
        <v>0.0248544690553543</v>
      </c>
      <c r="U748" s="29"/>
      <c r="V748" s="29"/>
      <c r="W748" s="29"/>
      <c r="X748" s="29"/>
      <c r="Y748" s="29"/>
      <c r="Z748" s="75"/>
    </row>
    <row r="749" customFormat="false" ht="12.75" hidden="false" customHeight="true" outlineLevel="0" collapsed="false">
      <c r="A749" s="2"/>
      <c r="B749" s="2"/>
      <c r="C749" s="75"/>
      <c r="D749" s="75"/>
      <c r="E749" s="75"/>
      <c r="F749" s="75"/>
      <c r="G749" s="75"/>
      <c r="H749" s="75"/>
      <c r="I749" s="2"/>
      <c r="J749" s="83"/>
      <c r="K749" s="83"/>
      <c r="L749" s="83"/>
      <c r="M749" s="83"/>
      <c r="N749" s="83"/>
      <c r="O749" s="2"/>
      <c r="P749" s="75" t="n">
        <v>746</v>
      </c>
      <c r="Q749" s="146" t="n">
        <v>16742.67868091</v>
      </c>
      <c r="R749" s="146" t="n">
        <v>0.271836511804105</v>
      </c>
      <c r="S749" s="146" t="n">
        <v>0.109489854694026</v>
      </c>
      <c r="T749" s="146" t="n">
        <v>0.0254994242776157</v>
      </c>
      <c r="U749" s="29"/>
      <c r="V749" s="29"/>
      <c r="W749" s="29"/>
      <c r="X749" s="29"/>
      <c r="Y749" s="29"/>
      <c r="Z749" s="75"/>
    </row>
    <row r="750" customFormat="false" ht="12.75" hidden="false" customHeight="true" outlineLevel="0" collapsed="false">
      <c r="A750" s="2"/>
      <c r="B750" s="2"/>
      <c r="C750" s="75"/>
      <c r="D750" s="75"/>
      <c r="E750" s="75"/>
      <c r="F750" s="75"/>
      <c r="G750" s="75"/>
      <c r="H750" s="75"/>
      <c r="I750" s="2"/>
      <c r="J750" s="83"/>
      <c r="K750" s="83"/>
      <c r="L750" s="83"/>
      <c r="M750" s="83"/>
      <c r="N750" s="83"/>
      <c r="O750" s="2"/>
      <c r="P750" s="75" t="n">
        <v>747</v>
      </c>
      <c r="Q750" s="146" t="n">
        <v>16765.213432163</v>
      </c>
      <c r="R750" s="146" t="n">
        <v>0.27362238384867</v>
      </c>
      <c r="S750" s="146" t="n">
        <v>0.10476967923959</v>
      </c>
      <c r="T750" s="146" t="n">
        <v>0.0261793836601184</v>
      </c>
      <c r="U750" s="29"/>
      <c r="V750" s="29"/>
      <c r="W750" s="29"/>
      <c r="X750" s="29"/>
      <c r="Y750" s="29"/>
      <c r="Z750" s="75"/>
    </row>
    <row r="751" customFormat="false" ht="12.75" hidden="false" customHeight="true" outlineLevel="0" collapsed="false">
      <c r="A751" s="2"/>
      <c r="B751" s="2"/>
      <c r="C751" s="75"/>
      <c r="D751" s="75"/>
      <c r="E751" s="75"/>
      <c r="F751" s="75"/>
      <c r="G751" s="75"/>
      <c r="H751" s="75"/>
      <c r="I751" s="2"/>
      <c r="J751" s="83"/>
      <c r="K751" s="83"/>
      <c r="L751" s="83"/>
      <c r="M751" s="83"/>
      <c r="N751" s="83"/>
      <c r="O751" s="2"/>
      <c r="P751" s="75" t="n">
        <v>748</v>
      </c>
      <c r="Q751" s="146" t="n">
        <v>16787.206081323</v>
      </c>
      <c r="R751" s="146" t="n">
        <v>0.274684532229694</v>
      </c>
      <c r="S751" s="146" t="n">
        <v>0.102451634283121</v>
      </c>
      <c r="T751" s="146" t="n">
        <v>0.026391744859969</v>
      </c>
      <c r="U751" s="29"/>
      <c r="V751" s="29"/>
      <c r="W751" s="29"/>
      <c r="X751" s="29"/>
      <c r="Y751" s="29"/>
      <c r="Z751" s="75"/>
    </row>
    <row r="752" customFormat="false" ht="12.75" hidden="false" customHeight="true" outlineLevel="0" collapsed="false">
      <c r="A752" s="2"/>
      <c r="B752" s="2"/>
      <c r="C752" s="75"/>
      <c r="D752" s="75"/>
      <c r="E752" s="75"/>
      <c r="F752" s="75"/>
      <c r="G752" s="75"/>
      <c r="H752" s="75"/>
      <c r="I752" s="2"/>
      <c r="J752" s="83"/>
      <c r="K752" s="83"/>
      <c r="L752" s="83"/>
      <c r="M752" s="83"/>
      <c r="N752" s="83"/>
      <c r="O752" s="2"/>
      <c r="P752" s="75" t="n">
        <v>749</v>
      </c>
      <c r="Q752" s="146" t="n">
        <v>16810.095520754</v>
      </c>
      <c r="R752" s="146" t="n">
        <v>0.275462289128086</v>
      </c>
      <c r="S752" s="146" t="n">
        <v>0.100016325815992</v>
      </c>
      <c r="T752" s="146" t="n">
        <v>0.027409356426717</v>
      </c>
      <c r="U752" s="29"/>
      <c r="V752" s="29"/>
      <c r="W752" s="29"/>
      <c r="X752" s="29"/>
      <c r="Y752" s="29"/>
      <c r="Z752" s="75"/>
    </row>
    <row r="753" customFormat="false" ht="12.75" hidden="false" customHeight="true" outlineLevel="0" collapsed="false">
      <c r="A753" s="2"/>
      <c r="B753" s="2"/>
      <c r="C753" s="75"/>
      <c r="D753" s="75"/>
      <c r="E753" s="75"/>
      <c r="F753" s="75"/>
      <c r="G753" s="75"/>
      <c r="H753" s="75"/>
      <c r="I753" s="2"/>
      <c r="J753" s="83"/>
      <c r="K753" s="83"/>
      <c r="L753" s="83"/>
      <c r="M753" s="83"/>
      <c r="N753" s="83"/>
      <c r="O753" s="2"/>
      <c r="P753" s="75" t="n">
        <v>750</v>
      </c>
      <c r="Q753" s="146" t="n">
        <v>16832.582258141</v>
      </c>
      <c r="R753" s="146" t="n">
        <v>0.275047353261304</v>
      </c>
      <c r="S753" s="146" t="n">
        <v>0.0992965622777099</v>
      </c>
      <c r="T753" s="146" t="n">
        <v>0.0276012852571296</v>
      </c>
      <c r="U753" s="29"/>
      <c r="V753" s="29"/>
      <c r="W753" s="29"/>
      <c r="X753" s="29"/>
      <c r="Y753" s="29"/>
      <c r="Z753" s="75"/>
    </row>
    <row r="754" customFormat="false" ht="12.75" hidden="false" customHeight="true" outlineLevel="0" collapsed="false">
      <c r="A754" s="2"/>
      <c r="B754" s="2"/>
      <c r="C754" s="75"/>
      <c r="D754" s="75"/>
      <c r="E754" s="75"/>
      <c r="F754" s="75"/>
      <c r="G754" s="75"/>
      <c r="H754" s="75"/>
      <c r="I754" s="2"/>
      <c r="J754" s="83"/>
      <c r="K754" s="83"/>
      <c r="L754" s="83"/>
      <c r="M754" s="83"/>
      <c r="N754" s="83"/>
      <c r="O754" s="2"/>
      <c r="P754" s="75" t="n">
        <v>751</v>
      </c>
      <c r="Q754" s="146" t="n">
        <v>16855.055059794</v>
      </c>
      <c r="R754" s="146" t="n">
        <v>0.274678434700461</v>
      </c>
      <c r="S754" s="146" t="n">
        <v>0.0998976192854181</v>
      </c>
      <c r="T754" s="146" t="n">
        <v>0.0274812938681013</v>
      </c>
      <c r="U754" s="29"/>
      <c r="V754" s="29"/>
      <c r="W754" s="29"/>
      <c r="X754" s="29"/>
      <c r="Y754" s="29"/>
      <c r="Z754" s="75"/>
    </row>
    <row r="755" customFormat="false" ht="12.75" hidden="false" customHeight="true" outlineLevel="0" collapsed="false">
      <c r="A755" s="2"/>
      <c r="B755" s="2"/>
      <c r="C755" s="75"/>
      <c r="D755" s="75"/>
      <c r="E755" s="75"/>
      <c r="F755" s="75"/>
      <c r="G755" s="75"/>
      <c r="H755" s="75"/>
      <c r="I755" s="2"/>
      <c r="J755" s="83"/>
      <c r="K755" s="83"/>
      <c r="L755" s="83"/>
      <c r="M755" s="83"/>
      <c r="N755" s="83"/>
      <c r="O755" s="2"/>
      <c r="P755" s="75" t="n">
        <v>752</v>
      </c>
      <c r="Q755" s="146" t="n">
        <v>16877.570177527</v>
      </c>
      <c r="R755" s="146" t="n">
        <v>0.273888974693912</v>
      </c>
      <c r="S755" s="146" t="n">
        <v>0.101132334065849</v>
      </c>
      <c r="T755" s="146" t="n">
        <v>0.0271509664685245</v>
      </c>
      <c r="U755" s="29"/>
      <c r="V755" s="29"/>
      <c r="W755" s="29"/>
      <c r="X755" s="29"/>
      <c r="Y755" s="29"/>
      <c r="Z755" s="75"/>
    </row>
    <row r="756" customFormat="false" ht="12.75" hidden="false" customHeight="true" outlineLevel="0" collapsed="false">
      <c r="A756" s="2"/>
      <c r="B756" s="2"/>
      <c r="C756" s="75"/>
      <c r="D756" s="75"/>
      <c r="E756" s="75"/>
      <c r="F756" s="75"/>
      <c r="G756" s="75"/>
      <c r="H756" s="75"/>
      <c r="I756" s="2"/>
      <c r="J756" s="83"/>
      <c r="K756" s="83"/>
      <c r="L756" s="83"/>
      <c r="M756" s="83"/>
      <c r="N756" s="83"/>
      <c r="O756" s="2"/>
      <c r="P756" s="75" t="n">
        <v>753</v>
      </c>
      <c r="Q756" s="146" t="n">
        <v>16900.281575462</v>
      </c>
      <c r="R756" s="146" t="n">
        <v>0.273191518280909</v>
      </c>
      <c r="S756" s="146" t="n">
        <v>0.102133028983919</v>
      </c>
      <c r="T756" s="146" t="n">
        <v>0.0263540014590168</v>
      </c>
      <c r="U756" s="29"/>
      <c r="V756" s="29"/>
      <c r="W756" s="29"/>
      <c r="X756" s="29"/>
      <c r="Y756" s="29"/>
      <c r="Z756" s="75"/>
    </row>
    <row r="757" customFormat="false" ht="12.75" hidden="false" customHeight="true" outlineLevel="0" collapsed="false">
      <c r="A757" s="2"/>
      <c r="B757" s="2"/>
      <c r="C757" s="75"/>
      <c r="D757" s="75"/>
      <c r="E757" s="75"/>
      <c r="F757" s="75"/>
      <c r="G757" s="75"/>
      <c r="H757" s="75"/>
      <c r="I757" s="2"/>
      <c r="J757" s="83"/>
      <c r="K757" s="83"/>
      <c r="L757" s="83"/>
      <c r="M757" s="83"/>
      <c r="N757" s="83"/>
      <c r="O757" s="2"/>
      <c r="P757" s="75" t="n">
        <v>754</v>
      </c>
      <c r="Q757" s="146" t="n">
        <v>16922.62860143</v>
      </c>
      <c r="R757" s="146" t="n">
        <v>0.272215778217671</v>
      </c>
      <c r="S757" s="146" t="n">
        <v>0.102619264989439</v>
      </c>
      <c r="T757" s="146" t="n">
        <v>0.0254607060419332</v>
      </c>
      <c r="U757" s="29"/>
      <c r="V757" s="29"/>
      <c r="W757" s="29"/>
      <c r="X757" s="29"/>
      <c r="Y757" s="29"/>
      <c r="Z757" s="75"/>
    </row>
    <row r="758" customFormat="false" ht="12.75" hidden="false" customHeight="true" outlineLevel="0" collapsed="false">
      <c r="A758" s="2"/>
      <c r="B758" s="2"/>
      <c r="C758" s="75"/>
      <c r="D758" s="75"/>
      <c r="E758" s="75"/>
      <c r="F758" s="75"/>
      <c r="G758" s="75"/>
      <c r="H758" s="75"/>
      <c r="I758" s="2"/>
      <c r="J758" s="83"/>
      <c r="K758" s="83"/>
      <c r="L758" s="83"/>
      <c r="M758" s="83"/>
      <c r="N758" s="83"/>
      <c r="O758" s="2"/>
      <c r="P758" s="75" t="n">
        <v>755</v>
      </c>
      <c r="Q758" s="146" t="n">
        <v>16944.51638263</v>
      </c>
      <c r="R758" s="146" t="n">
        <v>0.271664423621114</v>
      </c>
      <c r="S758" s="146" t="n">
        <v>0.102278725736618</v>
      </c>
      <c r="T758" s="146" t="n">
        <v>0.0244460288024605</v>
      </c>
      <c r="U758" s="29"/>
      <c r="V758" s="29"/>
      <c r="W758" s="29"/>
      <c r="X758" s="29"/>
      <c r="Y758" s="29"/>
      <c r="Z758" s="75"/>
    </row>
    <row r="759" customFormat="false" ht="12.75" hidden="false" customHeight="true" outlineLevel="0" collapsed="false">
      <c r="A759" s="2"/>
      <c r="B759" s="2"/>
      <c r="C759" s="75"/>
      <c r="D759" s="75"/>
      <c r="E759" s="75"/>
      <c r="F759" s="75"/>
      <c r="G759" s="75"/>
      <c r="H759" s="75"/>
      <c r="I759" s="2"/>
      <c r="J759" s="83"/>
      <c r="K759" s="83"/>
      <c r="L759" s="83"/>
      <c r="M759" s="83"/>
      <c r="N759" s="83"/>
      <c r="O759" s="2"/>
      <c r="P759" s="75" t="n">
        <v>756</v>
      </c>
      <c r="Q759" s="146" t="n">
        <v>16966.951040516</v>
      </c>
      <c r="R759" s="146" t="n">
        <v>0.27107381995197</v>
      </c>
      <c r="S759" s="146" t="n">
        <v>0.0985740223172419</v>
      </c>
      <c r="T759" s="146" t="n">
        <v>0.0228482002506557</v>
      </c>
      <c r="U759" s="29"/>
      <c r="V759" s="29"/>
      <c r="W759" s="29"/>
      <c r="X759" s="29"/>
      <c r="Y759" s="29"/>
      <c r="Z759" s="75"/>
    </row>
    <row r="760" customFormat="false" ht="12.75" hidden="false" customHeight="true" outlineLevel="0" collapsed="false">
      <c r="A760" s="2"/>
      <c r="B760" s="2"/>
      <c r="C760" s="75"/>
      <c r="D760" s="75"/>
      <c r="E760" s="75"/>
      <c r="F760" s="75"/>
      <c r="G760" s="75"/>
      <c r="H760" s="75"/>
      <c r="I760" s="2"/>
      <c r="J760" s="83"/>
      <c r="K760" s="83"/>
      <c r="L760" s="83"/>
      <c r="M760" s="83"/>
      <c r="N760" s="83"/>
      <c r="O760" s="2"/>
      <c r="P760" s="75" t="n">
        <v>757</v>
      </c>
      <c r="Q760" s="146" t="n">
        <v>16988.841770634</v>
      </c>
      <c r="R760" s="146" t="n">
        <v>0.271118798800739</v>
      </c>
      <c r="S760" s="146" t="n">
        <v>0.0968745451080938</v>
      </c>
      <c r="T760" s="146" t="n">
        <v>0.0218738378918219</v>
      </c>
      <c r="U760" s="29"/>
      <c r="V760" s="29"/>
      <c r="W760" s="29"/>
      <c r="X760" s="29"/>
      <c r="Y760" s="29"/>
      <c r="Z760" s="75"/>
    </row>
    <row r="761" customFormat="false" ht="12.75" hidden="false" customHeight="true" outlineLevel="0" collapsed="false">
      <c r="A761" s="2"/>
      <c r="B761" s="2"/>
      <c r="C761" s="75"/>
      <c r="D761" s="75"/>
      <c r="E761" s="75"/>
      <c r="F761" s="75"/>
      <c r="G761" s="75"/>
      <c r="H761" s="75"/>
      <c r="I761" s="2"/>
      <c r="J761" s="83"/>
      <c r="K761" s="83"/>
      <c r="L761" s="83"/>
      <c r="M761" s="83"/>
      <c r="N761" s="83"/>
      <c r="O761" s="2"/>
      <c r="P761" s="75" t="n">
        <v>758</v>
      </c>
      <c r="Q761" s="146" t="n">
        <v>17011.563787517</v>
      </c>
      <c r="R761" s="146" t="n">
        <v>0.271223620470347</v>
      </c>
      <c r="S761" s="146" t="n">
        <v>0.0913234170217265</v>
      </c>
      <c r="T761" s="146" t="n">
        <v>0.0201857490670335</v>
      </c>
      <c r="U761" s="29"/>
      <c r="V761" s="29"/>
      <c r="W761" s="29"/>
      <c r="X761" s="29"/>
      <c r="Y761" s="29"/>
      <c r="Z761" s="75"/>
    </row>
    <row r="762" customFormat="false" ht="12.75" hidden="false" customHeight="true" outlineLevel="0" collapsed="false">
      <c r="A762" s="2"/>
      <c r="B762" s="2"/>
      <c r="C762" s="75"/>
      <c r="D762" s="75"/>
      <c r="E762" s="75"/>
      <c r="F762" s="75"/>
      <c r="G762" s="75"/>
      <c r="H762" s="75"/>
      <c r="I762" s="2"/>
      <c r="J762" s="83"/>
      <c r="K762" s="83"/>
      <c r="L762" s="83"/>
      <c r="M762" s="83"/>
      <c r="N762" s="83"/>
      <c r="O762" s="2"/>
      <c r="P762" s="75" t="n">
        <v>759</v>
      </c>
      <c r="Q762" s="146" t="n">
        <v>17034.242455473</v>
      </c>
      <c r="R762" s="146" t="n">
        <v>0.271867404565574</v>
      </c>
      <c r="S762" s="146" t="n">
        <v>0.0870828480971361</v>
      </c>
      <c r="T762" s="146" t="n">
        <v>0.0186927043782883</v>
      </c>
      <c r="U762" s="29"/>
      <c r="V762" s="29"/>
      <c r="W762" s="29"/>
      <c r="X762" s="29"/>
      <c r="Y762" s="29"/>
      <c r="Z762" s="75"/>
    </row>
    <row r="763" customFormat="false" ht="12.75" hidden="false" customHeight="true" outlineLevel="0" collapsed="false">
      <c r="A763" s="2"/>
      <c r="B763" s="2"/>
      <c r="C763" s="75"/>
      <c r="D763" s="75"/>
      <c r="E763" s="75"/>
      <c r="F763" s="75"/>
      <c r="G763" s="75"/>
      <c r="H763" s="75"/>
      <c r="I763" s="2"/>
      <c r="J763" s="83"/>
      <c r="K763" s="83"/>
      <c r="L763" s="83"/>
      <c r="M763" s="83"/>
      <c r="N763" s="83"/>
      <c r="O763" s="2"/>
      <c r="P763" s="75" t="n">
        <v>760</v>
      </c>
      <c r="Q763" s="146" t="n">
        <v>17056.723172494</v>
      </c>
      <c r="R763" s="146" t="n">
        <v>0.272202276314364</v>
      </c>
      <c r="S763" s="146" t="n">
        <v>0.0833723157959779</v>
      </c>
      <c r="T763" s="146" t="n">
        <v>0.0171536898113763</v>
      </c>
      <c r="U763" s="29"/>
      <c r="V763" s="29"/>
      <c r="W763" s="29"/>
      <c r="X763" s="29"/>
      <c r="Y763" s="29"/>
      <c r="Z763" s="75"/>
    </row>
    <row r="764" customFormat="false" ht="12.75" hidden="false" customHeight="true" outlineLevel="0" collapsed="false">
      <c r="A764" s="2"/>
      <c r="B764" s="2"/>
      <c r="C764" s="75"/>
      <c r="D764" s="75"/>
      <c r="E764" s="75"/>
      <c r="F764" s="75"/>
      <c r="G764" s="75"/>
      <c r="H764" s="75"/>
      <c r="I764" s="2"/>
      <c r="J764" s="83"/>
      <c r="K764" s="83"/>
      <c r="L764" s="83"/>
      <c r="M764" s="83"/>
      <c r="N764" s="83"/>
      <c r="O764" s="2"/>
      <c r="P764" s="75" t="n">
        <v>761</v>
      </c>
      <c r="Q764" s="146" t="n">
        <v>17079.367799817</v>
      </c>
      <c r="R764" s="146" t="n">
        <v>0.273317718292094</v>
      </c>
      <c r="S764" s="146" t="n">
        <v>0.076759497819056</v>
      </c>
      <c r="T764" s="146" t="n">
        <v>0.0156938596133646</v>
      </c>
      <c r="U764" s="29"/>
      <c r="V764" s="29"/>
      <c r="W764" s="29"/>
      <c r="X764" s="29"/>
      <c r="Y764" s="29"/>
      <c r="Z764" s="75"/>
    </row>
    <row r="765" customFormat="false" ht="12.75" hidden="false" customHeight="true" outlineLevel="0" collapsed="false">
      <c r="A765" s="2"/>
      <c r="B765" s="2"/>
      <c r="C765" s="75"/>
      <c r="D765" s="75"/>
      <c r="E765" s="75"/>
      <c r="F765" s="75"/>
      <c r="G765" s="75"/>
      <c r="H765" s="75"/>
      <c r="I765" s="2"/>
      <c r="J765" s="83"/>
      <c r="K765" s="83"/>
      <c r="L765" s="83"/>
      <c r="M765" s="83"/>
      <c r="N765" s="83"/>
      <c r="O765" s="2"/>
      <c r="P765" s="75" t="n">
        <v>762</v>
      </c>
      <c r="Q765" s="146" t="n">
        <v>17102.131390343</v>
      </c>
      <c r="R765" s="146" t="n">
        <v>0.273919833042259</v>
      </c>
      <c r="S765" s="146" t="n">
        <v>0.0710646260474262</v>
      </c>
      <c r="T765" s="146" t="n">
        <v>0.0146343675736371</v>
      </c>
      <c r="U765" s="29"/>
      <c r="V765" s="29"/>
      <c r="W765" s="29"/>
      <c r="X765" s="29"/>
      <c r="Y765" s="29"/>
      <c r="Z765" s="75"/>
    </row>
    <row r="766" customFormat="false" ht="12.75" hidden="false" customHeight="true" outlineLevel="0" collapsed="false">
      <c r="A766" s="2"/>
      <c r="B766" s="2"/>
      <c r="C766" s="75"/>
      <c r="D766" s="75"/>
      <c r="E766" s="75"/>
      <c r="F766" s="75"/>
      <c r="G766" s="75"/>
      <c r="H766" s="75"/>
      <c r="I766" s="2"/>
      <c r="J766" s="83"/>
      <c r="K766" s="83"/>
      <c r="L766" s="83"/>
      <c r="M766" s="83"/>
      <c r="N766" s="83"/>
      <c r="O766" s="2"/>
      <c r="P766" s="75" t="n">
        <v>763</v>
      </c>
      <c r="Q766" s="146" t="n">
        <v>17124.193412864</v>
      </c>
      <c r="R766" s="146" t="n">
        <v>0.274938788805287</v>
      </c>
      <c r="S766" s="146" t="n">
        <v>0.0678345870403495</v>
      </c>
      <c r="T766" s="146" t="n">
        <v>0.014107383070964</v>
      </c>
      <c r="U766" s="29"/>
      <c r="V766" s="29"/>
      <c r="W766" s="29"/>
      <c r="X766" s="29"/>
      <c r="Y766" s="29"/>
      <c r="Z766" s="75"/>
    </row>
    <row r="767" customFormat="false" ht="12.75" hidden="false" customHeight="true" outlineLevel="0" collapsed="false">
      <c r="A767" s="2"/>
      <c r="B767" s="2"/>
      <c r="C767" s="75"/>
      <c r="D767" s="75"/>
      <c r="E767" s="75"/>
      <c r="F767" s="75"/>
      <c r="G767" s="75"/>
      <c r="H767" s="75"/>
      <c r="I767" s="2"/>
      <c r="J767" s="83"/>
      <c r="K767" s="83"/>
      <c r="L767" s="83"/>
      <c r="M767" s="83"/>
      <c r="N767" s="83"/>
      <c r="O767" s="2"/>
      <c r="P767" s="75" t="n">
        <v>764</v>
      </c>
      <c r="Q767" s="146" t="n">
        <v>17146.418021353</v>
      </c>
      <c r="R767" s="146" t="n">
        <v>0.275926314720659</v>
      </c>
      <c r="S767" s="146" t="n">
        <v>0.0634899336617635</v>
      </c>
      <c r="T767" s="146" t="n">
        <v>0.0138512979567629</v>
      </c>
      <c r="U767" s="29"/>
      <c r="V767" s="29"/>
      <c r="W767" s="29"/>
      <c r="X767" s="29"/>
      <c r="Y767" s="29"/>
      <c r="Z767" s="75"/>
    </row>
    <row r="768" customFormat="false" ht="12.75" hidden="false" customHeight="true" outlineLevel="0" collapsed="false">
      <c r="A768" s="2"/>
      <c r="B768" s="2"/>
      <c r="C768" s="75"/>
      <c r="D768" s="75"/>
      <c r="E768" s="75"/>
      <c r="F768" s="75"/>
      <c r="G768" s="75"/>
      <c r="H768" s="75"/>
      <c r="I768" s="2"/>
      <c r="J768" s="83"/>
      <c r="K768" s="83"/>
      <c r="L768" s="83"/>
      <c r="M768" s="83"/>
      <c r="N768" s="83"/>
      <c r="O768" s="2"/>
      <c r="P768" s="75" t="n">
        <v>765</v>
      </c>
      <c r="Q768" s="146" t="n">
        <v>17168.562447954</v>
      </c>
      <c r="R768" s="146" t="n">
        <v>0.276643172520935</v>
      </c>
      <c r="S768" s="146" t="n">
        <v>0.0635669611802769</v>
      </c>
      <c r="T768" s="146" t="n">
        <v>0.014341955987357</v>
      </c>
      <c r="U768" s="29"/>
      <c r="V768" s="29"/>
      <c r="W768" s="29"/>
      <c r="X768" s="29"/>
      <c r="Y768" s="29"/>
      <c r="Z768" s="75"/>
    </row>
    <row r="769" customFormat="false" ht="12.75" hidden="false" customHeight="true" outlineLevel="0" collapsed="false">
      <c r="A769" s="2"/>
      <c r="B769" s="2"/>
      <c r="C769" s="75"/>
      <c r="D769" s="75"/>
      <c r="E769" s="75"/>
      <c r="F769" s="75"/>
      <c r="G769" s="75"/>
      <c r="H769" s="75"/>
      <c r="I769" s="2"/>
      <c r="J769" s="83"/>
      <c r="K769" s="83"/>
      <c r="L769" s="83"/>
      <c r="M769" s="83"/>
      <c r="N769" s="83"/>
      <c r="O769" s="2"/>
      <c r="P769" s="75" t="n">
        <v>766</v>
      </c>
      <c r="Q769" s="146" t="n">
        <v>17191.371930276</v>
      </c>
      <c r="R769" s="146" t="n">
        <v>0.276346898850388</v>
      </c>
      <c r="S769" s="146" t="n">
        <v>0.0631533061322949</v>
      </c>
      <c r="T769" s="146" t="n">
        <v>0.0145749747032038</v>
      </c>
      <c r="U769" s="29"/>
      <c r="V769" s="29"/>
      <c r="W769" s="29"/>
      <c r="X769" s="29"/>
      <c r="Y769" s="29"/>
      <c r="Z769" s="75"/>
    </row>
    <row r="770" customFormat="false" ht="12.75" hidden="false" customHeight="true" outlineLevel="0" collapsed="false">
      <c r="A770" s="2"/>
      <c r="B770" s="2"/>
      <c r="C770" s="75"/>
      <c r="D770" s="75"/>
      <c r="E770" s="75"/>
      <c r="F770" s="75"/>
      <c r="G770" s="75"/>
      <c r="H770" s="75"/>
      <c r="I770" s="2"/>
      <c r="J770" s="83"/>
      <c r="K770" s="83"/>
      <c r="L770" s="83"/>
      <c r="M770" s="83"/>
      <c r="N770" s="83"/>
      <c r="O770" s="2"/>
      <c r="P770" s="75" t="n">
        <v>767</v>
      </c>
      <c r="Q770" s="146" t="n">
        <v>17213.426489477</v>
      </c>
      <c r="R770" s="146" t="n">
        <v>0.276274424155984</v>
      </c>
      <c r="S770" s="146" t="n">
        <v>0.0661725968346306</v>
      </c>
      <c r="T770" s="146" t="n">
        <v>0.0160678305550466</v>
      </c>
      <c r="U770" s="29"/>
      <c r="V770" s="29"/>
      <c r="W770" s="29"/>
      <c r="X770" s="29"/>
      <c r="Y770" s="29"/>
      <c r="Z770" s="75"/>
    </row>
    <row r="771" customFormat="false" ht="12.75" hidden="false" customHeight="true" outlineLevel="0" collapsed="false">
      <c r="A771" s="2"/>
      <c r="B771" s="2"/>
      <c r="C771" s="75"/>
      <c r="D771" s="75"/>
      <c r="E771" s="75"/>
      <c r="F771" s="75"/>
      <c r="G771" s="75"/>
      <c r="H771" s="75"/>
      <c r="I771" s="2"/>
      <c r="J771" s="83"/>
      <c r="K771" s="83"/>
      <c r="L771" s="83"/>
      <c r="M771" s="83"/>
      <c r="N771" s="83"/>
      <c r="O771" s="2"/>
      <c r="P771" s="75" t="n">
        <v>768</v>
      </c>
      <c r="Q771" s="146" t="n">
        <v>17236.574081671</v>
      </c>
      <c r="R771" s="146" t="n">
        <v>0.274563007038415</v>
      </c>
      <c r="S771" s="146" t="n">
        <v>0.0709744810589311</v>
      </c>
      <c r="T771" s="146" t="n">
        <v>0.0168393384286747</v>
      </c>
      <c r="U771" s="29"/>
      <c r="V771" s="29"/>
      <c r="W771" s="29"/>
      <c r="X771" s="29"/>
      <c r="Y771" s="29"/>
      <c r="Z771" s="75"/>
    </row>
    <row r="772" customFormat="false" ht="12.75" hidden="false" customHeight="true" outlineLevel="0" collapsed="false">
      <c r="A772" s="2"/>
      <c r="B772" s="2"/>
      <c r="C772" s="75"/>
      <c r="D772" s="75"/>
      <c r="E772" s="75"/>
      <c r="F772" s="75"/>
      <c r="G772" s="75"/>
      <c r="H772" s="75"/>
      <c r="I772" s="2"/>
      <c r="J772" s="83"/>
      <c r="K772" s="83"/>
      <c r="L772" s="83"/>
      <c r="M772" s="83"/>
      <c r="N772" s="83"/>
      <c r="O772" s="2"/>
      <c r="P772" s="75" t="n">
        <v>769</v>
      </c>
      <c r="Q772" s="146" t="n">
        <v>17258.58944473</v>
      </c>
      <c r="R772" s="146" t="n">
        <v>0.273818049056472</v>
      </c>
      <c r="S772" s="146" t="n">
        <v>0.0735226277079184</v>
      </c>
      <c r="T772" s="146" t="n">
        <v>0.0185236592513252</v>
      </c>
      <c r="U772" s="29"/>
      <c r="V772" s="29"/>
      <c r="W772" s="29"/>
      <c r="X772" s="29"/>
      <c r="Y772" s="29"/>
      <c r="Z772" s="75"/>
    </row>
    <row r="773" customFormat="false" ht="12.75" hidden="false" customHeight="true" outlineLevel="0" collapsed="false">
      <c r="A773" s="2"/>
      <c r="B773" s="2"/>
      <c r="C773" s="75"/>
      <c r="D773" s="75"/>
      <c r="E773" s="75"/>
      <c r="F773" s="75"/>
      <c r="G773" s="75"/>
      <c r="H773" s="75"/>
      <c r="I773" s="2"/>
      <c r="J773" s="83"/>
      <c r="K773" s="83"/>
      <c r="L773" s="83"/>
      <c r="M773" s="83"/>
      <c r="N773" s="83"/>
      <c r="O773" s="2"/>
      <c r="P773" s="75" t="n">
        <v>770</v>
      </c>
      <c r="Q773" s="146" t="n">
        <v>17281.654644945</v>
      </c>
      <c r="R773" s="146" t="n">
        <v>0.271393111458102</v>
      </c>
      <c r="S773" s="146" t="n">
        <v>0.0746458390803321</v>
      </c>
      <c r="T773" s="146" t="n">
        <v>0.0190285459365427</v>
      </c>
      <c r="U773" s="29"/>
      <c r="V773" s="29"/>
      <c r="W773" s="29"/>
      <c r="X773" s="29"/>
      <c r="Y773" s="29"/>
      <c r="Z773" s="75"/>
    </row>
    <row r="774" customFormat="false" ht="12.75" hidden="false" customHeight="true" outlineLevel="0" collapsed="false">
      <c r="A774" s="2"/>
      <c r="B774" s="2"/>
      <c r="C774" s="75"/>
      <c r="D774" s="75"/>
      <c r="E774" s="75"/>
      <c r="F774" s="75"/>
      <c r="G774" s="75"/>
      <c r="H774" s="75"/>
      <c r="I774" s="2"/>
      <c r="J774" s="83"/>
      <c r="K774" s="83"/>
      <c r="L774" s="83"/>
      <c r="M774" s="83"/>
      <c r="N774" s="83"/>
      <c r="O774" s="2"/>
      <c r="P774" s="75" t="n">
        <v>771</v>
      </c>
      <c r="Q774" s="146" t="n">
        <v>17304.00727167</v>
      </c>
      <c r="R774" s="146" t="n">
        <v>0.270446185440163</v>
      </c>
      <c r="S774" s="146" t="n">
        <v>0.0745308242642295</v>
      </c>
      <c r="T774" s="146" t="n">
        <v>0.0196024739543867</v>
      </c>
      <c r="U774" s="29"/>
      <c r="V774" s="29"/>
      <c r="W774" s="29"/>
      <c r="X774" s="29"/>
      <c r="Y774" s="29"/>
      <c r="Z774" s="75"/>
    </row>
    <row r="775" customFormat="false" ht="12.75" hidden="false" customHeight="true" outlineLevel="0" collapsed="false">
      <c r="A775" s="2"/>
      <c r="B775" s="2"/>
      <c r="C775" s="75"/>
      <c r="D775" s="75"/>
      <c r="E775" s="75"/>
      <c r="F775" s="75"/>
      <c r="G775" s="75"/>
      <c r="H775" s="75"/>
      <c r="I775" s="2"/>
      <c r="J775" s="83"/>
      <c r="K775" s="83"/>
      <c r="L775" s="83"/>
      <c r="M775" s="83"/>
      <c r="N775" s="83"/>
      <c r="O775" s="2"/>
      <c r="P775" s="75" t="n">
        <v>772</v>
      </c>
      <c r="Q775" s="146" t="n">
        <v>17326.888412174</v>
      </c>
      <c r="R775" s="146" t="n">
        <v>0.26888573011631</v>
      </c>
      <c r="S775" s="146" t="n">
        <v>0.0731845597894916</v>
      </c>
      <c r="T775" s="146" t="n">
        <v>0.0190402135227427</v>
      </c>
      <c r="U775" s="29"/>
      <c r="V775" s="29"/>
      <c r="W775" s="29"/>
      <c r="X775" s="29"/>
      <c r="Y775" s="29"/>
      <c r="Z775" s="75"/>
    </row>
    <row r="776" customFormat="false" ht="12.75" hidden="false" customHeight="true" outlineLevel="0" collapsed="false">
      <c r="A776" s="2"/>
      <c r="B776" s="2"/>
      <c r="C776" s="75"/>
      <c r="D776" s="75"/>
      <c r="E776" s="75"/>
      <c r="F776" s="75"/>
      <c r="G776" s="75"/>
      <c r="H776" s="75"/>
      <c r="I776" s="2"/>
      <c r="J776" s="83"/>
      <c r="K776" s="83"/>
      <c r="L776" s="83"/>
      <c r="M776" s="83"/>
      <c r="N776" s="83"/>
      <c r="O776" s="2"/>
      <c r="P776" s="75" t="n">
        <v>773</v>
      </c>
      <c r="Q776" s="146" t="n">
        <v>17349.254806223</v>
      </c>
      <c r="R776" s="146" t="n">
        <v>0.267668779734659</v>
      </c>
      <c r="S776" s="146" t="n">
        <v>0.0721969670260804</v>
      </c>
      <c r="T776" s="146" t="n">
        <v>0.0188117246591536</v>
      </c>
      <c r="U776" s="29"/>
      <c r="V776" s="29"/>
      <c r="W776" s="29"/>
      <c r="X776" s="29"/>
      <c r="Y776" s="29"/>
      <c r="Z776" s="75"/>
    </row>
    <row r="777" customFormat="false" ht="12.75" hidden="false" customHeight="true" outlineLevel="0" collapsed="false">
      <c r="A777" s="2"/>
      <c r="B777" s="2"/>
      <c r="C777" s="75"/>
      <c r="D777" s="75"/>
      <c r="E777" s="75"/>
      <c r="F777" s="75"/>
      <c r="G777" s="75"/>
      <c r="H777" s="75"/>
      <c r="I777" s="2"/>
      <c r="J777" s="83"/>
      <c r="K777" s="83"/>
      <c r="L777" s="83"/>
      <c r="M777" s="83"/>
      <c r="N777" s="83"/>
      <c r="O777" s="2"/>
      <c r="P777" s="75" t="n">
        <v>774</v>
      </c>
      <c r="Q777" s="146" t="n">
        <v>17371.903832778</v>
      </c>
      <c r="R777" s="146" t="n">
        <v>0.266203383282479</v>
      </c>
      <c r="S777" s="146" t="n">
        <v>0.071057654557525</v>
      </c>
      <c r="T777" s="146" t="n">
        <v>0.0175933126419381</v>
      </c>
      <c r="U777" s="29"/>
      <c r="V777" s="29"/>
      <c r="W777" s="29"/>
      <c r="X777" s="29"/>
      <c r="Y777" s="29"/>
      <c r="Z777" s="75"/>
    </row>
    <row r="778" customFormat="false" ht="12.75" hidden="false" customHeight="true" outlineLevel="0" collapsed="false">
      <c r="A778" s="2"/>
      <c r="B778" s="2"/>
      <c r="C778" s="75"/>
      <c r="D778" s="75"/>
      <c r="E778" s="75"/>
      <c r="F778" s="75"/>
      <c r="G778" s="75"/>
      <c r="H778" s="75"/>
      <c r="I778" s="2"/>
      <c r="J778" s="83"/>
      <c r="K778" s="83"/>
      <c r="L778" s="83"/>
      <c r="M778" s="83"/>
      <c r="N778" s="83"/>
      <c r="O778" s="2"/>
      <c r="P778" s="75" t="n">
        <v>775</v>
      </c>
      <c r="Q778" s="146" t="n">
        <v>17394.306666202</v>
      </c>
      <c r="R778" s="146" t="n">
        <v>0.265168378150431</v>
      </c>
      <c r="S778" s="146" t="n">
        <v>0.0710219563752554</v>
      </c>
      <c r="T778" s="146" t="n">
        <v>0.0167280777221143</v>
      </c>
      <c r="U778" s="29"/>
      <c r="V778" s="29"/>
      <c r="W778" s="29"/>
      <c r="X778" s="29"/>
      <c r="Y778" s="29"/>
      <c r="Z778" s="75"/>
    </row>
    <row r="779" customFormat="false" ht="12.75" hidden="false" customHeight="true" outlineLevel="0" collapsed="false">
      <c r="A779" s="2"/>
      <c r="B779" s="2"/>
      <c r="C779" s="75"/>
      <c r="D779" s="75"/>
      <c r="E779" s="75"/>
      <c r="F779" s="75"/>
      <c r="G779" s="75"/>
      <c r="H779" s="75"/>
      <c r="I779" s="2"/>
      <c r="J779" s="83"/>
      <c r="K779" s="83"/>
      <c r="L779" s="83"/>
      <c r="M779" s="83"/>
      <c r="N779" s="83"/>
      <c r="O779" s="2"/>
      <c r="P779" s="75" t="n">
        <v>776</v>
      </c>
      <c r="Q779" s="146" t="n">
        <v>17416.979705896</v>
      </c>
      <c r="R779" s="146" t="n">
        <v>0.263854028368886</v>
      </c>
      <c r="S779" s="146" t="n">
        <v>0.0721139766064728</v>
      </c>
      <c r="T779" s="146" t="n">
        <v>0.0153753393407195</v>
      </c>
      <c r="U779" s="29"/>
      <c r="V779" s="29"/>
      <c r="W779" s="29"/>
      <c r="X779" s="29"/>
      <c r="Y779" s="29"/>
      <c r="Z779" s="75"/>
    </row>
    <row r="780" customFormat="false" ht="12.75" hidden="false" customHeight="true" outlineLevel="0" collapsed="false">
      <c r="A780" s="2"/>
      <c r="B780" s="2"/>
      <c r="C780" s="75"/>
      <c r="D780" s="75"/>
      <c r="E780" s="75"/>
      <c r="F780" s="75"/>
      <c r="G780" s="75"/>
      <c r="H780" s="75"/>
      <c r="I780" s="2"/>
      <c r="J780" s="83"/>
      <c r="K780" s="83"/>
      <c r="L780" s="83"/>
      <c r="M780" s="83"/>
      <c r="N780" s="83"/>
      <c r="O780" s="2"/>
      <c r="P780" s="75" t="n">
        <v>777</v>
      </c>
      <c r="Q780" s="146" t="n">
        <v>17439.199119783</v>
      </c>
      <c r="R780" s="146" t="n">
        <v>0.263078332137253</v>
      </c>
      <c r="S780" s="146" t="n">
        <v>0.0741527507486563</v>
      </c>
      <c r="T780" s="146" t="n">
        <v>0.0145366347207101</v>
      </c>
      <c r="U780" s="29"/>
      <c r="V780" s="29"/>
      <c r="W780" s="29"/>
      <c r="X780" s="29"/>
      <c r="Y780" s="29"/>
      <c r="Z780" s="75"/>
    </row>
    <row r="781" customFormat="false" ht="12.75" hidden="false" customHeight="true" outlineLevel="0" collapsed="false">
      <c r="A781" s="2"/>
      <c r="B781" s="2"/>
      <c r="C781" s="75"/>
      <c r="D781" s="75"/>
      <c r="E781" s="75"/>
      <c r="F781" s="75"/>
      <c r="G781" s="75"/>
      <c r="H781" s="75"/>
      <c r="I781" s="2"/>
      <c r="J781" s="83"/>
      <c r="K781" s="83"/>
      <c r="L781" s="83"/>
      <c r="M781" s="83"/>
      <c r="N781" s="83"/>
      <c r="O781" s="2"/>
      <c r="P781" s="75" t="n">
        <v>778</v>
      </c>
      <c r="Q781" s="146" t="n">
        <v>17462.300645143</v>
      </c>
      <c r="R781" s="146" t="n">
        <v>0.262283979360912</v>
      </c>
      <c r="S781" s="146" t="n">
        <v>0.0818479723671639</v>
      </c>
      <c r="T781" s="146" t="n">
        <v>0.0138178044403339</v>
      </c>
      <c r="U781" s="29"/>
      <c r="V781" s="29"/>
      <c r="W781" s="29"/>
      <c r="X781" s="29"/>
      <c r="Y781" s="29"/>
      <c r="Z781" s="75"/>
    </row>
    <row r="782" customFormat="false" ht="12.75" hidden="false" customHeight="true" outlineLevel="0" collapsed="false">
      <c r="A782" s="2"/>
      <c r="B782" s="2"/>
      <c r="C782" s="75"/>
      <c r="D782" s="75"/>
      <c r="E782" s="75"/>
      <c r="F782" s="75"/>
      <c r="G782" s="75"/>
      <c r="H782" s="75"/>
      <c r="I782" s="2"/>
      <c r="J782" s="83"/>
      <c r="K782" s="83"/>
      <c r="L782" s="83"/>
      <c r="M782" s="83"/>
      <c r="N782" s="83"/>
      <c r="O782" s="2"/>
      <c r="P782" s="75" t="n">
        <v>779</v>
      </c>
      <c r="Q782" s="146" t="n">
        <v>17484.489417293</v>
      </c>
      <c r="R782" s="146" t="n">
        <v>0.26186835243638</v>
      </c>
      <c r="S782" s="146" t="n">
        <v>0.083793128049033</v>
      </c>
      <c r="T782" s="146" t="n">
        <v>0.0137619701841645</v>
      </c>
      <c r="U782" s="29"/>
      <c r="V782" s="29"/>
      <c r="W782" s="29"/>
      <c r="X782" s="29"/>
      <c r="Y782" s="29"/>
      <c r="Z782" s="75"/>
    </row>
    <row r="783" customFormat="false" ht="12.75" hidden="false" customHeight="true" outlineLevel="0" collapsed="false">
      <c r="A783" s="2"/>
      <c r="B783" s="2"/>
      <c r="C783" s="75"/>
      <c r="D783" s="75"/>
      <c r="E783" s="75"/>
      <c r="F783" s="75"/>
      <c r="G783" s="75"/>
      <c r="H783" s="75"/>
      <c r="I783" s="2"/>
      <c r="J783" s="83"/>
      <c r="K783" s="83"/>
      <c r="L783" s="83"/>
      <c r="M783" s="83"/>
      <c r="N783" s="83"/>
      <c r="O783" s="2"/>
      <c r="P783" s="75" t="n">
        <v>780</v>
      </c>
      <c r="Q783" s="146" t="n">
        <v>17507.339722731</v>
      </c>
      <c r="R783" s="146" t="n">
        <v>0.262198912708187</v>
      </c>
      <c r="S783" s="146" t="n">
        <v>0.0879221094143753</v>
      </c>
      <c r="T783" s="146" t="n">
        <v>0.0147141150096082</v>
      </c>
      <c r="U783" s="29"/>
      <c r="V783" s="29"/>
      <c r="W783" s="29"/>
      <c r="X783" s="29"/>
      <c r="Y783" s="29"/>
      <c r="Z783" s="75"/>
    </row>
    <row r="784" customFormat="false" ht="12.75" hidden="false" customHeight="true" outlineLevel="0" collapsed="false">
      <c r="A784" s="2"/>
      <c r="B784" s="2"/>
      <c r="C784" s="75"/>
      <c r="D784" s="75"/>
      <c r="E784" s="75"/>
      <c r="F784" s="75"/>
      <c r="G784" s="75"/>
      <c r="H784" s="75"/>
      <c r="I784" s="2"/>
      <c r="J784" s="83"/>
      <c r="K784" s="83"/>
      <c r="L784" s="83"/>
      <c r="M784" s="83"/>
      <c r="N784" s="83"/>
      <c r="O784" s="2"/>
      <c r="P784" s="75" t="n">
        <v>781</v>
      </c>
      <c r="Q784" s="146" t="n">
        <v>17530.04245652</v>
      </c>
      <c r="R784" s="146" t="n">
        <v>0.263262611237175</v>
      </c>
      <c r="S784" s="146" t="n">
        <v>0.0884144160862625</v>
      </c>
      <c r="T784" s="146" t="n">
        <v>0.0152294579253095</v>
      </c>
      <c r="U784" s="29"/>
      <c r="V784" s="29"/>
      <c r="W784" s="29"/>
      <c r="X784" s="29"/>
      <c r="Y784" s="29"/>
      <c r="Z784" s="75"/>
    </row>
    <row r="785" customFormat="false" ht="12.75" hidden="false" customHeight="true" outlineLevel="0" collapsed="false">
      <c r="A785" s="2"/>
      <c r="B785" s="2"/>
      <c r="C785" s="75"/>
      <c r="D785" s="75"/>
      <c r="E785" s="75"/>
      <c r="F785" s="75"/>
      <c r="G785" s="75"/>
      <c r="H785" s="75"/>
      <c r="I785" s="2"/>
      <c r="J785" s="83"/>
      <c r="K785" s="83"/>
      <c r="L785" s="83"/>
      <c r="M785" s="83"/>
      <c r="N785" s="83"/>
      <c r="O785" s="2"/>
      <c r="P785" s="75" t="n">
        <v>782</v>
      </c>
      <c r="Q785" s="146" t="n">
        <v>17552.729422162</v>
      </c>
      <c r="R785" s="146" t="n">
        <v>0.264011200314647</v>
      </c>
      <c r="S785" s="146" t="n">
        <v>0.0856095783074764</v>
      </c>
      <c r="T785" s="146" t="n">
        <v>0.0160275662343272</v>
      </c>
      <c r="U785" s="29"/>
      <c r="V785" s="29"/>
      <c r="W785" s="29"/>
      <c r="X785" s="29"/>
      <c r="Y785" s="29"/>
      <c r="Z785" s="75"/>
    </row>
    <row r="786" customFormat="false" ht="12.75" hidden="false" customHeight="true" outlineLevel="0" collapsed="false">
      <c r="A786" s="2"/>
      <c r="B786" s="2"/>
      <c r="C786" s="75"/>
      <c r="D786" s="75"/>
      <c r="E786" s="75"/>
      <c r="F786" s="75"/>
      <c r="G786" s="75"/>
      <c r="H786" s="75"/>
      <c r="I786" s="2"/>
      <c r="J786" s="83"/>
      <c r="K786" s="83"/>
      <c r="L786" s="83"/>
      <c r="M786" s="83"/>
      <c r="N786" s="83"/>
      <c r="O786" s="2"/>
      <c r="P786" s="75" t="n">
        <v>783</v>
      </c>
      <c r="Q786" s="146" t="n">
        <v>17575.391619254</v>
      </c>
      <c r="R786" s="146" t="n">
        <v>0.265588208850467</v>
      </c>
      <c r="S786" s="146" t="n">
        <v>0.0814761382458149</v>
      </c>
      <c r="T786" s="146" t="n">
        <v>0.0171776140399698</v>
      </c>
      <c r="U786" s="29"/>
      <c r="V786" s="29"/>
      <c r="W786" s="29"/>
      <c r="X786" s="29"/>
      <c r="Y786" s="29"/>
      <c r="Z786" s="75"/>
    </row>
    <row r="787" customFormat="false" ht="12.75" hidden="false" customHeight="true" outlineLevel="0" collapsed="false">
      <c r="A787" s="2"/>
      <c r="B787" s="2"/>
      <c r="C787" s="75"/>
      <c r="D787" s="75"/>
      <c r="E787" s="75"/>
      <c r="F787" s="75"/>
      <c r="G787" s="75"/>
      <c r="H787" s="75"/>
      <c r="I787" s="2"/>
      <c r="J787" s="83"/>
      <c r="K787" s="83"/>
      <c r="L787" s="83"/>
      <c r="M787" s="83"/>
      <c r="N787" s="83"/>
      <c r="O787" s="2"/>
      <c r="P787" s="75" t="n">
        <v>784</v>
      </c>
      <c r="Q787" s="146" t="n">
        <v>17597.999197594</v>
      </c>
      <c r="R787" s="146" t="n">
        <v>0.267003921630516</v>
      </c>
      <c r="S787" s="146" t="n">
        <v>0.0785917501548214</v>
      </c>
      <c r="T787" s="146" t="n">
        <v>0.0184432435007033</v>
      </c>
      <c r="U787" s="29"/>
      <c r="V787" s="29"/>
      <c r="W787" s="29"/>
      <c r="X787" s="29"/>
      <c r="Y787" s="29"/>
      <c r="Z787" s="75"/>
    </row>
    <row r="788" customFormat="false" ht="12.75" hidden="false" customHeight="true" outlineLevel="0" collapsed="false">
      <c r="A788" s="2"/>
      <c r="B788" s="2"/>
      <c r="C788" s="75"/>
      <c r="D788" s="75"/>
      <c r="E788" s="75"/>
      <c r="F788" s="75"/>
      <c r="G788" s="75"/>
      <c r="H788" s="75"/>
      <c r="I788" s="2"/>
      <c r="J788" s="83"/>
      <c r="K788" s="83"/>
      <c r="L788" s="83"/>
      <c r="M788" s="83"/>
      <c r="N788" s="83"/>
      <c r="O788" s="2"/>
      <c r="P788" s="75" t="n">
        <v>785</v>
      </c>
      <c r="Q788" s="146" t="n">
        <v>17620.515087223</v>
      </c>
      <c r="R788" s="146" t="n">
        <v>0.268117931828552</v>
      </c>
      <c r="S788" s="146" t="n">
        <v>0.0764612649389092</v>
      </c>
      <c r="T788" s="146" t="n">
        <v>0.0205279934928982</v>
      </c>
      <c r="U788" s="29"/>
      <c r="V788" s="29"/>
      <c r="W788" s="29"/>
      <c r="X788" s="29"/>
      <c r="Y788" s="29"/>
      <c r="Z788" s="75"/>
    </row>
    <row r="789" customFormat="false" ht="12.75" hidden="false" customHeight="true" outlineLevel="0" collapsed="false">
      <c r="A789" s="2"/>
      <c r="B789" s="2"/>
      <c r="C789" s="75"/>
      <c r="D789" s="75"/>
      <c r="E789" s="75"/>
      <c r="F789" s="75"/>
      <c r="G789" s="75"/>
      <c r="H789" s="75"/>
      <c r="I789" s="2"/>
      <c r="J789" s="83"/>
      <c r="K789" s="83"/>
      <c r="L789" s="83"/>
      <c r="M789" s="83"/>
      <c r="N789" s="83"/>
      <c r="O789" s="2"/>
      <c r="P789" s="75" t="n">
        <v>786</v>
      </c>
      <c r="Q789" s="146" t="n">
        <v>17642.63952349</v>
      </c>
      <c r="R789" s="146" t="n">
        <v>0.268774041182924</v>
      </c>
      <c r="S789" s="146" t="n">
        <v>0.0757697404553902</v>
      </c>
      <c r="T789" s="146" t="n">
        <v>0.0226658932437238</v>
      </c>
      <c r="U789" s="29"/>
      <c r="V789" s="29"/>
      <c r="W789" s="29"/>
      <c r="X789" s="29"/>
      <c r="Y789" s="29"/>
      <c r="Z789" s="75"/>
    </row>
    <row r="790" customFormat="false" ht="12.75" hidden="false" customHeight="true" outlineLevel="0" collapsed="false">
      <c r="A790" s="2"/>
      <c r="B790" s="2"/>
      <c r="C790" s="75"/>
      <c r="D790" s="75"/>
      <c r="E790" s="75"/>
      <c r="F790" s="75"/>
      <c r="G790" s="75"/>
      <c r="H790" s="75"/>
      <c r="I790" s="2"/>
      <c r="J790" s="83"/>
      <c r="K790" s="83"/>
      <c r="L790" s="83"/>
      <c r="M790" s="83"/>
      <c r="N790" s="83"/>
      <c r="O790" s="2"/>
      <c r="P790" s="75" t="n">
        <v>787</v>
      </c>
      <c r="Q790" s="146" t="n">
        <v>17665.396169534</v>
      </c>
      <c r="R790" s="146" t="n">
        <v>0.268647324122147</v>
      </c>
      <c r="S790" s="146" t="n">
        <v>0.0762792753711583</v>
      </c>
      <c r="T790" s="146" t="n">
        <v>0.0254449433043222</v>
      </c>
      <c r="U790" s="29"/>
      <c r="V790" s="29"/>
      <c r="W790" s="29"/>
      <c r="X790" s="29"/>
      <c r="Y790" s="29"/>
      <c r="Z790" s="75"/>
    </row>
    <row r="791" customFormat="false" ht="12.75" hidden="false" customHeight="true" outlineLevel="0" collapsed="false">
      <c r="A791" s="2"/>
      <c r="B791" s="2"/>
      <c r="C791" s="75"/>
      <c r="D791" s="75"/>
      <c r="E791" s="75"/>
      <c r="F791" s="75"/>
      <c r="G791" s="75"/>
      <c r="H791" s="75"/>
      <c r="I791" s="2"/>
      <c r="J791" s="83"/>
      <c r="K791" s="83"/>
      <c r="L791" s="83"/>
      <c r="M791" s="83"/>
      <c r="N791" s="83"/>
      <c r="O791" s="2"/>
      <c r="P791" s="75" t="n">
        <v>788</v>
      </c>
      <c r="Q791" s="146" t="n">
        <v>17687.754979162</v>
      </c>
      <c r="R791" s="146" t="n">
        <v>0.26834303624225</v>
      </c>
      <c r="S791" s="146" t="n">
        <v>0.0766524541694687</v>
      </c>
      <c r="T791" s="146" t="n">
        <v>0.0273319120910496</v>
      </c>
      <c r="U791" s="29"/>
      <c r="V791" s="29"/>
      <c r="W791" s="29"/>
      <c r="X791" s="29"/>
      <c r="Y791" s="29"/>
      <c r="Z791" s="75"/>
    </row>
    <row r="792" customFormat="false" ht="12.75" hidden="false" customHeight="true" outlineLevel="0" collapsed="false">
      <c r="A792" s="2"/>
      <c r="B792" s="2"/>
      <c r="C792" s="75"/>
      <c r="D792" s="75"/>
      <c r="E792" s="75"/>
      <c r="F792" s="75"/>
      <c r="G792" s="75"/>
      <c r="H792" s="75"/>
      <c r="I792" s="2"/>
      <c r="J792" s="83"/>
      <c r="K792" s="83"/>
      <c r="L792" s="83"/>
      <c r="M792" s="83"/>
      <c r="N792" s="83"/>
      <c r="O792" s="2"/>
      <c r="P792" s="75" t="n">
        <v>789</v>
      </c>
      <c r="Q792" s="146" t="n">
        <v>17710.324363586</v>
      </c>
      <c r="R792" s="146" t="n">
        <v>0.267470022816506</v>
      </c>
      <c r="S792" s="146" t="n">
        <v>0.0783459922381004</v>
      </c>
      <c r="T792" s="146" t="n">
        <v>0.0285183512080697</v>
      </c>
      <c r="U792" s="29"/>
      <c r="V792" s="29"/>
      <c r="W792" s="29"/>
      <c r="X792" s="29"/>
      <c r="Y792" s="29"/>
      <c r="Z792" s="75"/>
    </row>
    <row r="793" customFormat="false" ht="12.75" hidden="false" customHeight="true" outlineLevel="0" collapsed="false">
      <c r="A793" s="2"/>
      <c r="B793" s="2"/>
      <c r="C793" s="75"/>
      <c r="D793" s="75"/>
      <c r="E793" s="75"/>
      <c r="F793" s="75"/>
      <c r="G793" s="75"/>
      <c r="H793" s="75"/>
      <c r="I793" s="2"/>
      <c r="J793" s="83"/>
      <c r="K793" s="83"/>
      <c r="L793" s="83"/>
      <c r="M793" s="83"/>
      <c r="N793" s="83"/>
      <c r="O793" s="2"/>
      <c r="P793" s="75" t="n">
        <v>790</v>
      </c>
      <c r="Q793" s="146" t="n">
        <v>17732.882636675</v>
      </c>
      <c r="R793" s="146" t="n">
        <v>0.266922067785846</v>
      </c>
      <c r="S793" s="146" t="n">
        <v>0.0798835384242735</v>
      </c>
      <c r="T793" s="146" t="n">
        <v>0.0293154072205873</v>
      </c>
      <c r="U793" s="29"/>
      <c r="V793" s="29"/>
      <c r="W793" s="29"/>
      <c r="X793" s="29"/>
      <c r="Y793" s="29"/>
      <c r="Z793" s="75"/>
    </row>
    <row r="794" customFormat="false" ht="12.75" hidden="false" customHeight="true" outlineLevel="0" collapsed="false">
      <c r="A794" s="2"/>
      <c r="B794" s="2"/>
      <c r="C794" s="75"/>
      <c r="D794" s="75"/>
      <c r="E794" s="75"/>
      <c r="F794" s="75"/>
      <c r="G794" s="75"/>
      <c r="H794" s="75"/>
      <c r="I794" s="2"/>
      <c r="J794" s="83"/>
      <c r="K794" s="83"/>
      <c r="L794" s="83"/>
      <c r="M794" s="83"/>
      <c r="N794" s="83"/>
      <c r="O794" s="2"/>
      <c r="P794" s="75" t="n">
        <v>791</v>
      </c>
      <c r="Q794" s="146" t="n">
        <v>17755.522156288</v>
      </c>
      <c r="R794" s="146" t="n">
        <v>0.266126688037767</v>
      </c>
      <c r="S794" s="146" t="n">
        <v>0.0843991428301676</v>
      </c>
      <c r="T794" s="146" t="n">
        <v>0.0289720335748324</v>
      </c>
      <c r="U794" s="29"/>
      <c r="V794" s="29"/>
      <c r="W794" s="29"/>
      <c r="X794" s="29"/>
      <c r="Y794" s="29"/>
      <c r="Z794" s="75"/>
    </row>
    <row r="795" customFormat="false" ht="12.75" hidden="false" customHeight="true" outlineLevel="0" collapsed="false">
      <c r="A795" s="2"/>
      <c r="B795" s="2"/>
      <c r="C795" s="75"/>
      <c r="D795" s="75"/>
      <c r="E795" s="75"/>
      <c r="F795" s="75"/>
      <c r="G795" s="75"/>
      <c r="H795" s="75"/>
      <c r="I795" s="2"/>
      <c r="J795" s="83"/>
      <c r="K795" s="83"/>
      <c r="L795" s="83"/>
      <c r="M795" s="83"/>
      <c r="N795" s="83"/>
      <c r="O795" s="2"/>
      <c r="P795" s="75" t="n">
        <v>792</v>
      </c>
      <c r="Q795" s="146" t="n">
        <v>17777.741012007</v>
      </c>
      <c r="R795" s="146" t="n">
        <v>0.266188557358396</v>
      </c>
      <c r="S795" s="146" t="n">
        <v>0.0846613268763152</v>
      </c>
      <c r="T795" s="146" t="n">
        <v>0.029815962808578</v>
      </c>
      <c r="U795" s="29"/>
      <c r="V795" s="29"/>
      <c r="W795" s="29"/>
      <c r="X795" s="29"/>
      <c r="Y795" s="29"/>
      <c r="Z795" s="75"/>
    </row>
    <row r="796" customFormat="false" ht="12.75" hidden="false" customHeight="true" outlineLevel="0" collapsed="false">
      <c r="A796" s="2"/>
      <c r="B796" s="2"/>
      <c r="C796" s="75"/>
      <c r="D796" s="75"/>
      <c r="E796" s="75"/>
      <c r="F796" s="75"/>
      <c r="G796" s="75"/>
      <c r="H796" s="75"/>
      <c r="I796" s="2"/>
      <c r="J796" s="83"/>
      <c r="K796" s="83"/>
      <c r="L796" s="83"/>
      <c r="M796" s="83"/>
      <c r="N796" s="83"/>
      <c r="O796" s="2"/>
      <c r="P796" s="75" t="n">
        <v>793</v>
      </c>
      <c r="Q796" s="146" t="n">
        <v>17800.649092944</v>
      </c>
      <c r="R796" s="146" t="n">
        <v>0.266423723868443</v>
      </c>
      <c r="S796" s="146" t="n">
        <v>0.0901549019478082</v>
      </c>
      <c r="T796" s="146" t="n">
        <v>0.0281137092428469</v>
      </c>
      <c r="U796" s="29"/>
      <c r="V796" s="29"/>
      <c r="W796" s="29"/>
      <c r="X796" s="29"/>
      <c r="Y796" s="29"/>
      <c r="Z796" s="75"/>
    </row>
    <row r="797" customFormat="false" ht="12.75" hidden="false" customHeight="true" outlineLevel="0" collapsed="false">
      <c r="A797" s="2"/>
      <c r="B797" s="2"/>
      <c r="C797" s="75"/>
      <c r="D797" s="75"/>
      <c r="E797" s="75"/>
      <c r="F797" s="75"/>
      <c r="G797" s="75"/>
      <c r="H797" s="75"/>
      <c r="I797" s="2"/>
      <c r="J797" s="83"/>
      <c r="K797" s="83"/>
      <c r="L797" s="83"/>
      <c r="M797" s="83"/>
      <c r="N797" s="83"/>
      <c r="O797" s="2"/>
      <c r="P797" s="75" t="n">
        <v>794</v>
      </c>
      <c r="Q797" s="146" t="n">
        <v>17822.826948457</v>
      </c>
      <c r="R797" s="146" t="n">
        <v>0.266760352107823</v>
      </c>
      <c r="S797" s="146" t="n">
        <v>0.0886883164557712</v>
      </c>
      <c r="T797" s="146" t="n">
        <v>0.0288228538000489</v>
      </c>
      <c r="U797" s="29"/>
      <c r="V797" s="29"/>
      <c r="W797" s="29"/>
      <c r="X797" s="29"/>
      <c r="Y797" s="29"/>
      <c r="Z797" s="75"/>
    </row>
    <row r="798" customFormat="false" ht="12.75" hidden="false" customHeight="true" outlineLevel="0" collapsed="false">
      <c r="A798" s="2"/>
      <c r="B798" s="2"/>
      <c r="C798" s="75"/>
      <c r="D798" s="75"/>
      <c r="E798" s="75"/>
      <c r="F798" s="75"/>
      <c r="G798" s="75"/>
      <c r="H798" s="75"/>
      <c r="I798" s="2"/>
      <c r="J798" s="83"/>
      <c r="K798" s="83"/>
      <c r="L798" s="83"/>
      <c r="M798" s="83"/>
      <c r="N798" s="83"/>
      <c r="O798" s="2"/>
      <c r="P798" s="75" t="n">
        <v>795</v>
      </c>
      <c r="Q798" s="146" t="n">
        <v>17845.501594809</v>
      </c>
      <c r="R798" s="146" t="n">
        <v>0.267679871066344</v>
      </c>
      <c r="S798" s="146" t="n">
        <v>0.0898760060746952</v>
      </c>
      <c r="T798" s="146" t="n">
        <v>0.0276778987576162</v>
      </c>
      <c r="U798" s="29"/>
      <c r="V798" s="29"/>
      <c r="W798" s="29"/>
      <c r="X798" s="29"/>
      <c r="Y798" s="29"/>
      <c r="Z798" s="75"/>
    </row>
    <row r="799" customFormat="false" ht="12.75" hidden="false" customHeight="true" outlineLevel="0" collapsed="false">
      <c r="A799" s="2"/>
      <c r="B799" s="2"/>
      <c r="C799" s="75"/>
      <c r="D799" s="75"/>
      <c r="E799" s="75"/>
      <c r="F799" s="75"/>
      <c r="G799" s="75"/>
      <c r="H799" s="75"/>
      <c r="I799" s="2"/>
      <c r="J799" s="83"/>
      <c r="K799" s="83"/>
      <c r="L799" s="83"/>
      <c r="M799" s="83"/>
      <c r="N799" s="83"/>
      <c r="O799" s="2"/>
      <c r="P799" s="75" t="n">
        <v>796</v>
      </c>
      <c r="Q799" s="146" t="n">
        <v>17867.693833166</v>
      </c>
      <c r="R799" s="146" t="n">
        <v>0.268167710821714</v>
      </c>
      <c r="S799" s="146" t="n">
        <v>0.0884645415955999</v>
      </c>
      <c r="T799" s="146" t="n">
        <v>0.027141652740231</v>
      </c>
      <c r="U799" s="29"/>
      <c r="V799" s="29"/>
      <c r="W799" s="29"/>
      <c r="X799" s="29"/>
      <c r="Y799" s="29"/>
      <c r="Z799" s="75"/>
    </row>
    <row r="800" customFormat="false" ht="12.75" hidden="false" customHeight="true" outlineLevel="0" collapsed="false">
      <c r="A800" s="2"/>
      <c r="B800" s="2"/>
      <c r="C800" s="75"/>
      <c r="D800" s="75"/>
      <c r="E800" s="75"/>
      <c r="F800" s="75"/>
      <c r="G800" s="75"/>
      <c r="H800" s="75"/>
      <c r="I800" s="2"/>
      <c r="J800" s="83"/>
      <c r="K800" s="83"/>
      <c r="L800" s="83"/>
      <c r="M800" s="83"/>
      <c r="N800" s="83"/>
      <c r="O800" s="2"/>
      <c r="P800" s="75" t="n">
        <v>797</v>
      </c>
      <c r="Q800" s="146" t="n">
        <v>17890.491916292</v>
      </c>
      <c r="R800" s="146" t="n">
        <v>0.268999003934301</v>
      </c>
      <c r="S800" s="146" t="n">
        <v>0.0872963389050578</v>
      </c>
      <c r="T800" s="146" t="n">
        <v>0.0256493959784933</v>
      </c>
      <c r="U800" s="29"/>
      <c r="V800" s="29"/>
      <c r="W800" s="29"/>
      <c r="X800" s="29"/>
      <c r="Y800" s="29"/>
      <c r="Z800" s="75"/>
    </row>
    <row r="801" customFormat="false" ht="12.75" hidden="false" customHeight="true" outlineLevel="0" collapsed="false">
      <c r="A801" s="2"/>
      <c r="B801" s="2"/>
      <c r="C801" s="75"/>
      <c r="D801" s="75"/>
      <c r="E801" s="75"/>
      <c r="F801" s="75"/>
      <c r="G801" s="75"/>
      <c r="H801" s="75"/>
      <c r="I801" s="2"/>
      <c r="J801" s="83"/>
      <c r="K801" s="83"/>
      <c r="L801" s="83"/>
      <c r="M801" s="83"/>
      <c r="N801" s="83"/>
      <c r="O801" s="2"/>
      <c r="P801" s="75" t="n">
        <v>798</v>
      </c>
      <c r="Q801" s="146" t="n">
        <v>17912.698241292</v>
      </c>
      <c r="R801" s="146" t="n">
        <v>0.269238614735772</v>
      </c>
      <c r="S801" s="146" t="n">
        <v>0.085211873639424</v>
      </c>
      <c r="T801" s="146" t="n">
        <v>0.0249027770333669</v>
      </c>
      <c r="U801" s="29"/>
      <c r="V801" s="29"/>
      <c r="W801" s="29"/>
      <c r="X801" s="29"/>
      <c r="Y801" s="29"/>
      <c r="Z801" s="75"/>
    </row>
    <row r="802" customFormat="false" ht="12.75" hidden="false" customHeight="true" outlineLevel="0" collapsed="false">
      <c r="A802" s="2"/>
      <c r="B802" s="2"/>
      <c r="C802" s="75"/>
      <c r="D802" s="75"/>
      <c r="E802" s="75"/>
      <c r="F802" s="75"/>
      <c r="G802" s="75"/>
      <c r="H802" s="75"/>
      <c r="I802" s="2"/>
      <c r="J802" s="83"/>
      <c r="K802" s="83"/>
      <c r="L802" s="83"/>
      <c r="M802" s="83"/>
      <c r="N802" s="83"/>
      <c r="O802" s="2"/>
      <c r="P802" s="75" t="n">
        <v>799</v>
      </c>
      <c r="Q802" s="146" t="n">
        <v>17935.414338018</v>
      </c>
      <c r="R802" s="146" t="n">
        <v>0.269675081308708</v>
      </c>
      <c r="S802" s="146" t="n">
        <v>0.0805671105753857</v>
      </c>
      <c r="T802" s="146" t="n">
        <v>0.0236560243724611</v>
      </c>
      <c r="U802" s="29"/>
      <c r="V802" s="29"/>
      <c r="W802" s="29"/>
      <c r="X802" s="29"/>
      <c r="Y802" s="29"/>
      <c r="Z802" s="75"/>
    </row>
    <row r="803" customFormat="false" ht="12.75" hidden="false" customHeight="true" outlineLevel="0" collapsed="false">
      <c r="A803" s="2"/>
      <c r="B803" s="2"/>
      <c r="C803" s="75"/>
      <c r="D803" s="75"/>
      <c r="E803" s="75"/>
      <c r="F803" s="75"/>
      <c r="G803" s="75"/>
      <c r="H803" s="75"/>
      <c r="I803" s="2"/>
      <c r="J803" s="83"/>
      <c r="K803" s="83"/>
      <c r="L803" s="83"/>
      <c r="M803" s="83"/>
      <c r="N803" s="83"/>
      <c r="O803" s="2"/>
      <c r="P803" s="75" t="n">
        <v>800</v>
      </c>
      <c r="Q803" s="146" t="n">
        <v>17957.501312236</v>
      </c>
      <c r="R803" s="146" t="n">
        <v>0.269839203473945</v>
      </c>
      <c r="S803" s="146" t="n">
        <v>0.0793706139120922</v>
      </c>
      <c r="T803" s="146" t="n">
        <v>0.0230383941170358</v>
      </c>
      <c r="U803" s="29"/>
      <c r="V803" s="29"/>
      <c r="W803" s="29"/>
      <c r="X803" s="29"/>
      <c r="Y803" s="29"/>
      <c r="Z803" s="75"/>
    </row>
    <row r="804" customFormat="false" ht="12.75" hidden="false" customHeight="true" outlineLevel="0" collapsed="false">
      <c r="A804" s="2"/>
      <c r="B804" s="2"/>
      <c r="C804" s="75"/>
      <c r="D804" s="75"/>
      <c r="E804" s="75"/>
      <c r="F804" s="75"/>
      <c r="G804" s="75"/>
      <c r="H804" s="75"/>
      <c r="I804" s="2"/>
      <c r="J804" s="83"/>
      <c r="K804" s="83"/>
      <c r="L804" s="83"/>
      <c r="M804" s="83"/>
      <c r="N804" s="83"/>
      <c r="O804" s="2"/>
      <c r="P804" s="75" t="n">
        <v>801</v>
      </c>
      <c r="Q804" s="146" t="n">
        <v>17980.107566183</v>
      </c>
      <c r="R804" s="146" t="n">
        <v>0.270576833594656</v>
      </c>
      <c r="S804" s="146" t="n">
        <v>0.074618597037931</v>
      </c>
      <c r="T804" s="146" t="n">
        <v>0.0232784082624858</v>
      </c>
      <c r="U804" s="29"/>
      <c r="V804" s="29"/>
      <c r="W804" s="29"/>
      <c r="X804" s="29"/>
      <c r="Y804" s="29"/>
      <c r="Z804" s="75"/>
    </row>
    <row r="805" customFormat="false" ht="12.75" hidden="false" customHeight="true" outlineLevel="0" collapsed="false">
      <c r="A805" s="2"/>
      <c r="B805" s="2"/>
      <c r="C805" s="75"/>
      <c r="D805" s="75"/>
      <c r="E805" s="75"/>
      <c r="F805" s="75"/>
      <c r="G805" s="75"/>
      <c r="H805" s="75"/>
      <c r="I805" s="2"/>
      <c r="J805" s="83"/>
      <c r="K805" s="83"/>
      <c r="L805" s="83"/>
      <c r="M805" s="83"/>
      <c r="N805" s="83"/>
      <c r="O805" s="2"/>
      <c r="P805" s="75" t="n">
        <v>802</v>
      </c>
      <c r="Q805" s="146" t="n">
        <v>18002.316305592</v>
      </c>
      <c r="R805" s="146" t="n">
        <v>0.270919033452041</v>
      </c>
      <c r="S805" s="146" t="n">
        <v>0.072389726812831</v>
      </c>
      <c r="T805" s="146" t="n">
        <v>0.0227365420033273</v>
      </c>
      <c r="U805" s="29"/>
      <c r="V805" s="29"/>
      <c r="W805" s="29"/>
      <c r="X805" s="29"/>
      <c r="Y805" s="29"/>
      <c r="Z805" s="75"/>
    </row>
    <row r="806" customFormat="false" ht="12.75" hidden="false" customHeight="true" outlineLevel="0" collapsed="false">
      <c r="A806" s="2"/>
      <c r="B806" s="2"/>
      <c r="C806" s="75"/>
      <c r="D806" s="75"/>
      <c r="E806" s="75"/>
      <c r="F806" s="75"/>
      <c r="G806" s="75"/>
      <c r="H806" s="75"/>
      <c r="I806" s="2"/>
      <c r="J806" s="83"/>
      <c r="K806" s="83"/>
      <c r="L806" s="83"/>
      <c r="M806" s="83"/>
      <c r="N806" s="83"/>
      <c r="O806" s="2"/>
      <c r="P806" s="75" t="n">
        <v>803</v>
      </c>
      <c r="Q806" s="146" t="n">
        <v>18025.350325733</v>
      </c>
      <c r="R806" s="146" t="n">
        <v>0.271303347698959</v>
      </c>
      <c r="S806" s="146" t="n">
        <v>0.065006490452793</v>
      </c>
      <c r="T806" s="146" t="n">
        <v>0.0254211407493782</v>
      </c>
      <c r="U806" s="29"/>
      <c r="V806" s="29"/>
      <c r="W806" s="29"/>
      <c r="X806" s="29"/>
      <c r="Y806" s="29"/>
      <c r="Z806" s="75"/>
    </row>
    <row r="807" customFormat="false" ht="12.75" hidden="false" customHeight="true" outlineLevel="0" collapsed="false">
      <c r="A807" s="2"/>
      <c r="B807" s="2"/>
      <c r="C807" s="75"/>
      <c r="D807" s="75"/>
      <c r="E807" s="75"/>
      <c r="F807" s="75"/>
      <c r="G807" s="75"/>
      <c r="H807" s="75"/>
      <c r="I807" s="2"/>
      <c r="J807" s="83"/>
      <c r="K807" s="83"/>
      <c r="L807" s="83"/>
      <c r="M807" s="83"/>
      <c r="N807" s="83"/>
      <c r="O807" s="2"/>
      <c r="P807" s="75" t="n">
        <v>804</v>
      </c>
      <c r="Q807" s="146" t="n">
        <v>18048.038185692</v>
      </c>
      <c r="R807" s="146" t="n">
        <v>0.271920732570733</v>
      </c>
      <c r="S807" s="146" t="n">
        <v>0.0612593898063441</v>
      </c>
      <c r="T807" s="146" t="n">
        <v>0.0256718224184289</v>
      </c>
      <c r="U807" s="29"/>
      <c r="V807" s="29"/>
      <c r="W807" s="29"/>
      <c r="X807" s="29"/>
      <c r="Y807" s="29"/>
      <c r="Z807" s="75"/>
    </row>
    <row r="808" customFormat="false" ht="12.75" hidden="false" customHeight="true" outlineLevel="0" collapsed="false">
      <c r="A808" s="2"/>
      <c r="B808" s="2"/>
      <c r="C808" s="75"/>
      <c r="D808" s="75"/>
      <c r="E808" s="75"/>
      <c r="F808" s="75"/>
      <c r="G808" s="75"/>
      <c r="H808" s="75"/>
      <c r="I808" s="2"/>
      <c r="J808" s="83"/>
      <c r="K808" s="83"/>
      <c r="L808" s="83"/>
      <c r="M808" s="83"/>
      <c r="N808" s="83"/>
      <c r="O808" s="2"/>
      <c r="P808" s="75" t="n">
        <v>805</v>
      </c>
      <c r="Q808" s="146" t="n">
        <v>18070.709802826</v>
      </c>
      <c r="R808" s="146" t="n">
        <v>0.271970860334865</v>
      </c>
      <c r="S808" s="146" t="n">
        <v>0.0570155210922724</v>
      </c>
      <c r="T808" s="146" t="n">
        <v>0.0272585933378486</v>
      </c>
      <c r="U808" s="29"/>
      <c r="V808" s="29"/>
      <c r="W808" s="29"/>
      <c r="X808" s="29"/>
      <c r="Y808" s="29"/>
      <c r="Z808" s="75"/>
    </row>
    <row r="809" customFormat="false" ht="12.75" hidden="false" customHeight="true" outlineLevel="0" collapsed="false">
      <c r="A809" s="2"/>
      <c r="B809" s="2"/>
      <c r="C809" s="75"/>
      <c r="D809" s="75"/>
      <c r="E809" s="75"/>
      <c r="F809" s="75"/>
      <c r="G809" s="75"/>
      <c r="H809" s="75"/>
      <c r="I809" s="2"/>
      <c r="J809" s="83"/>
      <c r="K809" s="83"/>
      <c r="L809" s="83"/>
      <c r="M809" s="83"/>
      <c r="N809" s="83"/>
      <c r="O809" s="2"/>
      <c r="P809" s="75" t="n">
        <v>806</v>
      </c>
      <c r="Q809" s="146" t="n">
        <v>18093.64084405</v>
      </c>
      <c r="R809" s="146" t="n">
        <v>0.271736944382071</v>
      </c>
      <c r="S809" s="146" t="n">
        <v>0.054046134114621</v>
      </c>
      <c r="T809" s="146" t="n">
        <v>0.0281964994939121</v>
      </c>
      <c r="U809" s="29"/>
      <c r="V809" s="29"/>
      <c r="W809" s="29"/>
      <c r="X809" s="29"/>
      <c r="Y809" s="29"/>
      <c r="Z809" s="75"/>
    </row>
    <row r="810" customFormat="false" ht="12.75" hidden="false" customHeight="true" outlineLevel="0" collapsed="false">
      <c r="A810" s="2"/>
      <c r="B810" s="2"/>
      <c r="C810" s="75"/>
      <c r="D810" s="75"/>
      <c r="E810" s="75"/>
      <c r="F810" s="75"/>
      <c r="G810" s="75"/>
      <c r="H810" s="75"/>
      <c r="I810" s="2"/>
      <c r="J810" s="83"/>
      <c r="K810" s="83"/>
      <c r="L810" s="83"/>
      <c r="M810" s="83"/>
      <c r="N810" s="83"/>
      <c r="O810" s="2"/>
      <c r="P810" s="75" t="n">
        <v>807</v>
      </c>
      <c r="Q810" s="146" t="n">
        <v>18116.548878786</v>
      </c>
      <c r="R810" s="146" t="n">
        <v>0.270919557217787</v>
      </c>
      <c r="S810" s="146" t="n">
        <v>0.0515109810368192</v>
      </c>
      <c r="T810" s="146" t="n">
        <v>0.0288271828667078</v>
      </c>
      <c r="U810" s="29"/>
      <c r="V810" s="29"/>
      <c r="W810" s="29"/>
      <c r="X810" s="29"/>
      <c r="Y810" s="29"/>
      <c r="Z810" s="75"/>
    </row>
    <row r="811" customFormat="false" ht="12.75" hidden="false" customHeight="true" outlineLevel="0" collapsed="false">
      <c r="A811" s="2"/>
      <c r="B811" s="2"/>
      <c r="C811" s="75"/>
      <c r="D811" s="75"/>
      <c r="E811" s="75"/>
      <c r="F811" s="75"/>
      <c r="G811" s="75"/>
      <c r="H811" s="75"/>
      <c r="I811" s="2"/>
      <c r="J811" s="83"/>
      <c r="K811" s="83"/>
      <c r="L811" s="83"/>
      <c r="M811" s="83"/>
      <c r="N811" s="83"/>
      <c r="O811" s="2"/>
      <c r="P811" s="75" t="n">
        <v>808</v>
      </c>
      <c r="Q811" s="146" t="n">
        <v>18139.534456291</v>
      </c>
      <c r="R811" s="146" t="n">
        <v>0.270285327117328</v>
      </c>
      <c r="S811" s="146" t="n">
        <v>0.0496475672653569</v>
      </c>
      <c r="T811" s="146" t="n">
        <v>0.0291375280099896</v>
      </c>
      <c r="U811" s="29"/>
      <c r="V811" s="29"/>
      <c r="W811" s="29"/>
      <c r="X811" s="29"/>
      <c r="Y811" s="29"/>
      <c r="Z811" s="75"/>
    </row>
    <row r="812" customFormat="false" ht="12.75" hidden="false" customHeight="true" outlineLevel="0" collapsed="false">
      <c r="A812" s="2"/>
      <c r="B812" s="2"/>
      <c r="C812" s="75"/>
      <c r="D812" s="75"/>
      <c r="E812" s="75"/>
      <c r="F812" s="75"/>
      <c r="G812" s="75"/>
      <c r="H812" s="75"/>
      <c r="I812" s="2"/>
      <c r="J812" s="83"/>
      <c r="K812" s="83"/>
      <c r="L812" s="83"/>
      <c r="M812" s="83"/>
      <c r="N812" s="83"/>
      <c r="O812" s="2"/>
      <c r="P812" s="75" t="n">
        <v>809</v>
      </c>
      <c r="Q812" s="146" t="n">
        <v>18162.324049512</v>
      </c>
      <c r="R812" s="146" t="n">
        <v>0.269635329045081</v>
      </c>
      <c r="S812" s="146" t="n">
        <v>0.0487092123884706</v>
      </c>
      <c r="T812" s="146" t="n">
        <v>0.0291602078704467</v>
      </c>
      <c r="U812" s="29"/>
      <c r="V812" s="29"/>
      <c r="W812" s="29"/>
      <c r="X812" s="29"/>
      <c r="Y812" s="29"/>
      <c r="Z812" s="75"/>
    </row>
    <row r="813" customFormat="false" ht="12.75" hidden="false" customHeight="true" outlineLevel="0" collapsed="false">
      <c r="A813" s="2"/>
      <c r="B813" s="2"/>
      <c r="C813" s="75"/>
      <c r="D813" s="75"/>
      <c r="E813" s="75"/>
      <c r="F813" s="75"/>
      <c r="G813" s="75"/>
      <c r="H813" s="75"/>
      <c r="I813" s="2"/>
      <c r="J813" s="83"/>
      <c r="K813" s="83"/>
      <c r="L813" s="83"/>
      <c r="M813" s="83"/>
      <c r="N813" s="83"/>
      <c r="O813" s="2"/>
      <c r="P813" s="75" t="n">
        <v>810</v>
      </c>
      <c r="Q813" s="146" t="n">
        <v>18185.149782768</v>
      </c>
      <c r="R813" s="146" t="n">
        <v>0.269496051747586</v>
      </c>
      <c r="S813" s="146" t="n">
        <v>0.0488880973124405</v>
      </c>
      <c r="T813" s="146" t="n">
        <v>0.0288775377321666</v>
      </c>
      <c r="U813" s="29"/>
      <c r="V813" s="29"/>
      <c r="W813" s="29"/>
      <c r="X813" s="29"/>
      <c r="Y813" s="29"/>
      <c r="Z813" s="75"/>
    </row>
    <row r="814" customFormat="false" ht="12.75" hidden="false" customHeight="true" outlineLevel="0" collapsed="false">
      <c r="A814" s="2"/>
      <c r="B814" s="2"/>
      <c r="C814" s="75"/>
      <c r="D814" s="75"/>
      <c r="E814" s="75"/>
      <c r="F814" s="75"/>
      <c r="G814" s="75"/>
      <c r="H814" s="75"/>
      <c r="I814" s="2"/>
      <c r="J814" s="83"/>
      <c r="K814" s="83"/>
      <c r="L814" s="83"/>
      <c r="M814" s="83"/>
      <c r="N814" s="83"/>
      <c r="O814" s="2"/>
      <c r="P814" s="75" t="n">
        <v>811</v>
      </c>
      <c r="Q814" s="146" t="n">
        <v>18207.574470801</v>
      </c>
      <c r="R814" s="146" t="n">
        <v>0.269575152728768</v>
      </c>
      <c r="S814" s="146" t="n">
        <v>0.0496793292508566</v>
      </c>
      <c r="T814" s="146" t="n">
        <v>0.0282437314578568</v>
      </c>
      <c r="U814" s="29"/>
      <c r="V814" s="29"/>
      <c r="W814" s="29"/>
      <c r="X814" s="29"/>
      <c r="Y814" s="29"/>
      <c r="Z814" s="75"/>
    </row>
    <row r="815" customFormat="false" ht="12.75" hidden="false" customHeight="true" outlineLevel="0" collapsed="false">
      <c r="A815" s="2"/>
      <c r="B815" s="2"/>
      <c r="C815" s="75"/>
      <c r="D815" s="75"/>
      <c r="E815" s="75"/>
      <c r="F815" s="75"/>
      <c r="G815" s="75"/>
      <c r="H815" s="75"/>
      <c r="I815" s="2"/>
      <c r="J815" s="83"/>
      <c r="K815" s="83"/>
      <c r="L815" s="83"/>
      <c r="M815" s="83"/>
      <c r="N815" s="83"/>
      <c r="O815" s="2"/>
      <c r="P815" s="75" t="n">
        <v>812</v>
      </c>
      <c r="Q815" s="146" t="n">
        <v>18230.466952729</v>
      </c>
      <c r="R815" s="146" t="n">
        <v>0.270109268501796</v>
      </c>
      <c r="S815" s="146" t="n">
        <v>0.0522901703005216</v>
      </c>
      <c r="T815" s="146" t="n">
        <v>0.0265335459125764</v>
      </c>
      <c r="U815" s="29"/>
      <c r="V815" s="29"/>
      <c r="W815" s="29"/>
      <c r="X815" s="29"/>
      <c r="Y815" s="29"/>
      <c r="Z815" s="75"/>
    </row>
    <row r="816" customFormat="false" ht="12.75" hidden="false" customHeight="true" outlineLevel="0" collapsed="false">
      <c r="A816" s="2"/>
      <c r="B816" s="2"/>
      <c r="C816" s="75"/>
      <c r="D816" s="75"/>
      <c r="E816" s="75"/>
      <c r="F816" s="75"/>
      <c r="G816" s="75"/>
      <c r="H816" s="75"/>
      <c r="I816" s="2"/>
      <c r="J816" s="83"/>
      <c r="K816" s="83"/>
      <c r="L816" s="83"/>
      <c r="M816" s="83"/>
      <c r="N816" s="83"/>
      <c r="O816" s="2"/>
      <c r="P816" s="75" t="n">
        <v>813</v>
      </c>
      <c r="Q816" s="146" t="n">
        <v>18253.100762085</v>
      </c>
      <c r="R816" s="146" t="n">
        <v>0.270590222239852</v>
      </c>
      <c r="S816" s="146" t="n">
        <v>0.0538824284259059</v>
      </c>
      <c r="T816" s="146" t="n">
        <v>0.0257057412641852</v>
      </c>
      <c r="U816" s="29"/>
      <c r="V816" s="29"/>
      <c r="W816" s="29"/>
      <c r="X816" s="29"/>
      <c r="Y816" s="29"/>
      <c r="Z816" s="75"/>
    </row>
    <row r="817" customFormat="false" ht="12.75" hidden="false" customHeight="true" outlineLevel="0" collapsed="false">
      <c r="A817" s="2"/>
      <c r="B817" s="2"/>
      <c r="C817" s="75"/>
      <c r="D817" s="75"/>
      <c r="E817" s="75"/>
      <c r="F817" s="75"/>
      <c r="G817" s="75"/>
      <c r="H817" s="75"/>
      <c r="I817" s="2"/>
      <c r="J817" s="83"/>
      <c r="K817" s="83"/>
      <c r="L817" s="83"/>
      <c r="M817" s="83"/>
      <c r="N817" s="83"/>
      <c r="O817" s="2"/>
      <c r="P817" s="75" t="n">
        <v>814</v>
      </c>
      <c r="Q817" s="146" t="n">
        <v>18275.549873421</v>
      </c>
      <c r="R817" s="146" t="n">
        <v>0.27150935551856</v>
      </c>
      <c r="S817" s="146" t="n">
        <v>0.0545392692794788</v>
      </c>
      <c r="T817" s="146" t="n">
        <v>0.0244685185051107</v>
      </c>
      <c r="U817" s="29"/>
      <c r="V817" s="29"/>
      <c r="W817" s="29"/>
      <c r="X817" s="29"/>
      <c r="Y817" s="29"/>
      <c r="Z817" s="75"/>
    </row>
    <row r="818" customFormat="false" ht="12.75" hidden="false" customHeight="true" outlineLevel="0" collapsed="false">
      <c r="A818" s="2"/>
      <c r="B818" s="2"/>
      <c r="C818" s="75"/>
      <c r="D818" s="75"/>
      <c r="E818" s="75"/>
      <c r="F818" s="75"/>
      <c r="G818" s="75"/>
      <c r="H818" s="75"/>
      <c r="I818" s="2"/>
      <c r="J818" s="83"/>
      <c r="K818" s="83"/>
      <c r="L818" s="83"/>
      <c r="M818" s="83"/>
      <c r="N818" s="83"/>
      <c r="O818" s="2"/>
      <c r="P818" s="75" t="n">
        <v>815</v>
      </c>
      <c r="Q818" s="146" t="n">
        <v>18298.311747393</v>
      </c>
      <c r="R818" s="146" t="n">
        <v>0.272224077823066</v>
      </c>
      <c r="S818" s="146" t="n">
        <v>0.0538500823071913</v>
      </c>
      <c r="T818" s="146" t="n">
        <v>0.0239119748280772</v>
      </c>
      <c r="U818" s="29"/>
      <c r="V818" s="29"/>
      <c r="W818" s="29"/>
      <c r="X818" s="29"/>
      <c r="Y818" s="29"/>
      <c r="Z818" s="75"/>
    </row>
    <row r="819" customFormat="false" ht="12.75" hidden="false" customHeight="true" outlineLevel="0" collapsed="false">
      <c r="A819" s="2"/>
      <c r="B819" s="2"/>
      <c r="C819" s="75"/>
      <c r="D819" s="75"/>
      <c r="E819" s="75"/>
      <c r="F819" s="75"/>
      <c r="G819" s="75"/>
      <c r="H819" s="75"/>
      <c r="I819" s="2"/>
      <c r="J819" s="83"/>
      <c r="K819" s="83"/>
      <c r="L819" s="83"/>
      <c r="M819" s="83"/>
      <c r="N819" s="83"/>
      <c r="O819" s="2"/>
      <c r="P819" s="75" t="n">
        <v>816</v>
      </c>
      <c r="Q819" s="146" t="n">
        <v>18320.643900588</v>
      </c>
      <c r="R819" s="146" t="n">
        <v>0.273018891296804</v>
      </c>
      <c r="S819" s="146" t="n">
        <v>0.0525060896794335</v>
      </c>
      <c r="T819" s="146" t="n">
        <v>0.0225294040722401</v>
      </c>
      <c r="U819" s="29"/>
      <c r="V819" s="29"/>
      <c r="W819" s="29"/>
      <c r="X819" s="29"/>
      <c r="Y819" s="29"/>
      <c r="Z819" s="75"/>
    </row>
    <row r="820" customFormat="false" ht="12.75" hidden="false" customHeight="true" outlineLevel="0" collapsed="false">
      <c r="A820" s="2"/>
      <c r="B820" s="2"/>
      <c r="C820" s="75"/>
      <c r="D820" s="75"/>
      <c r="E820" s="75"/>
      <c r="F820" s="75"/>
      <c r="G820" s="75"/>
      <c r="H820" s="75"/>
      <c r="I820" s="2"/>
      <c r="J820" s="83"/>
      <c r="K820" s="83"/>
      <c r="L820" s="83"/>
      <c r="M820" s="83"/>
      <c r="N820" s="83"/>
      <c r="O820" s="2"/>
      <c r="P820" s="75" t="n">
        <v>817</v>
      </c>
      <c r="Q820" s="146" t="n">
        <v>18343.098183294</v>
      </c>
      <c r="R820" s="146" t="n">
        <v>0.273492372735254</v>
      </c>
      <c r="S820" s="146" t="n">
        <v>0.0509051431356306</v>
      </c>
      <c r="T820" s="146" t="n">
        <v>0.0218861687814114</v>
      </c>
      <c r="U820" s="29"/>
      <c r="V820" s="29"/>
      <c r="W820" s="29"/>
      <c r="X820" s="29"/>
      <c r="Y820" s="29"/>
      <c r="Z820" s="75"/>
    </row>
    <row r="821" customFormat="false" ht="12.75" hidden="false" customHeight="true" outlineLevel="0" collapsed="false">
      <c r="A821" s="2"/>
      <c r="B821" s="2"/>
      <c r="C821" s="75"/>
      <c r="D821" s="75"/>
      <c r="E821" s="75"/>
      <c r="F821" s="75"/>
      <c r="G821" s="75"/>
      <c r="H821" s="75"/>
      <c r="I821" s="2"/>
      <c r="J821" s="83"/>
      <c r="K821" s="83"/>
      <c r="L821" s="83"/>
      <c r="M821" s="83"/>
      <c r="N821" s="83"/>
      <c r="O821" s="2"/>
      <c r="P821" s="75" t="n">
        <v>818</v>
      </c>
      <c r="Q821" s="146" t="n">
        <v>18365.702326058</v>
      </c>
      <c r="R821" s="146" t="n">
        <v>0.273624922685744</v>
      </c>
      <c r="S821" s="146" t="n">
        <v>0.049632433587611</v>
      </c>
      <c r="T821" s="146" t="n">
        <v>0.021259807881881</v>
      </c>
      <c r="U821" s="29"/>
      <c r="V821" s="29"/>
      <c r="W821" s="29"/>
      <c r="X821" s="29"/>
      <c r="Y821" s="29"/>
      <c r="Z821" s="75"/>
    </row>
    <row r="822" customFormat="false" ht="12.75" hidden="false" customHeight="true" outlineLevel="0" collapsed="false">
      <c r="A822" s="2"/>
      <c r="B822" s="2"/>
      <c r="C822" s="75"/>
      <c r="D822" s="75"/>
      <c r="E822" s="75"/>
      <c r="F822" s="75"/>
      <c r="G822" s="75"/>
      <c r="H822" s="75"/>
      <c r="I822" s="2"/>
      <c r="J822" s="83"/>
      <c r="K822" s="83"/>
      <c r="L822" s="83"/>
      <c r="M822" s="83"/>
      <c r="N822" s="83"/>
      <c r="O822" s="2"/>
      <c r="P822" s="75" t="n">
        <v>819</v>
      </c>
      <c r="Q822" s="146" t="n">
        <v>18387.776934186</v>
      </c>
      <c r="R822" s="146" t="n">
        <v>0.273388968863739</v>
      </c>
      <c r="S822" s="146" t="n">
        <v>0.0498240348887825</v>
      </c>
      <c r="T822" s="146" t="n">
        <v>0.0214881899934734</v>
      </c>
      <c r="U822" s="29"/>
      <c r="V822" s="29"/>
      <c r="W822" s="29"/>
      <c r="X822" s="29"/>
      <c r="Y822" s="29"/>
      <c r="Z822" s="75"/>
    </row>
    <row r="823" customFormat="false" ht="12.75" hidden="false" customHeight="true" outlineLevel="0" collapsed="false">
      <c r="A823" s="2"/>
      <c r="B823" s="2"/>
      <c r="C823" s="75"/>
      <c r="D823" s="75"/>
      <c r="E823" s="75"/>
      <c r="F823" s="75"/>
      <c r="G823" s="75"/>
      <c r="H823" s="75"/>
      <c r="I823" s="2"/>
      <c r="J823" s="83"/>
      <c r="K823" s="83"/>
      <c r="L823" s="83"/>
      <c r="M823" s="83"/>
      <c r="N823" s="83"/>
      <c r="O823" s="2"/>
      <c r="P823" s="75" t="n">
        <v>820</v>
      </c>
      <c r="Q823" s="146" t="n">
        <v>18410.407102076</v>
      </c>
      <c r="R823" s="146" t="n">
        <v>0.272684751108236</v>
      </c>
      <c r="S823" s="146" t="n">
        <v>0.0508681634180629</v>
      </c>
      <c r="T823" s="146" t="n">
        <v>0.0214871441701392</v>
      </c>
      <c r="U823" s="29"/>
      <c r="V823" s="29"/>
      <c r="W823" s="29"/>
      <c r="X823" s="29"/>
      <c r="Y823" s="29"/>
      <c r="Z823" s="75"/>
    </row>
    <row r="824" customFormat="false" ht="12.75" hidden="false" customHeight="true" outlineLevel="0" collapsed="false">
      <c r="A824" s="2"/>
      <c r="B824" s="2"/>
      <c r="C824" s="75"/>
      <c r="D824" s="75"/>
      <c r="E824" s="75"/>
      <c r="F824" s="75"/>
      <c r="G824" s="75"/>
      <c r="H824" s="75"/>
      <c r="I824" s="2"/>
      <c r="J824" s="83"/>
      <c r="K824" s="83"/>
      <c r="L824" s="83"/>
      <c r="M824" s="83"/>
      <c r="N824" s="83"/>
      <c r="O824" s="2"/>
      <c r="P824" s="75" t="n">
        <v>821</v>
      </c>
      <c r="Q824" s="146" t="n">
        <v>18432.485972315</v>
      </c>
      <c r="R824" s="146" t="n">
        <v>0.271829342676225</v>
      </c>
      <c r="S824" s="146" t="n">
        <v>0.0533506635498443</v>
      </c>
      <c r="T824" s="146" t="n">
        <v>0.0222429967453669</v>
      </c>
      <c r="U824" s="29"/>
      <c r="V824" s="29"/>
      <c r="W824" s="29"/>
      <c r="X824" s="29"/>
      <c r="Y824" s="29"/>
      <c r="Z824" s="75"/>
    </row>
    <row r="825" customFormat="false" ht="12.75" hidden="false" customHeight="true" outlineLevel="0" collapsed="false">
      <c r="A825" s="2"/>
      <c r="B825" s="2"/>
      <c r="C825" s="75"/>
      <c r="D825" s="75"/>
      <c r="E825" s="75"/>
      <c r="F825" s="75"/>
      <c r="G825" s="75"/>
      <c r="H825" s="75"/>
      <c r="I825" s="2"/>
      <c r="J825" s="83"/>
      <c r="K825" s="83"/>
      <c r="L825" s="83"/>
      <c r="M825" s="83"/>
      <c r="N825" s="83"/>
      <c r="O825" s="2"/>
      <c r="P825" s="75" t="n">
        <v>822</v>
      </c>
      <c r="Q825" s="146" t="n">
        <v>18455.136163867</v>
      </c>
      <c r="R825" s="146" t="n">
        <v>0.271075731731364</v>
      </c>
      <c r="S825" s="146" t="n">
        <v>0.0592881087836021</v>
      </c>
      <c r="T825" s="146" t="n">
        <v>0.0242835561861189</v>
      </c>
      <c r="U825" s="29"/>
      <c r="V825" s="29"/>
      <c r="W825" s="29"/>
      <c r="X825" s="29"/>
      <c r="Y825" s="29"/>
      <c r="Z825" s="75"/>
    </row>
    <row r="826" customFormat="false" ht="12.75" hidden="false" customHeight="true" outlineLevel="0" collapsed="false">
      <c r="A826" s="2"/>
      <c r="B826" s="2"/>
      <c r="C826" s="75"/>
      <c r="D826" s="75"/>
      <c r="E826" s="75"/>
      <c r="F826" s="75"/>
      <c r="G826" s="75"/>
      <c r="H826" s="75"/>
      <c r="I826" s="2"/>
      <c r="J826" s="83"/>
      <c r="K826" s="83"/>
      <c r="L826" s="83"/>
      <c r="M826" s="83"/>
      <c r="N826" s="83"/>
      <c r="O826" s="2"/>
      <c r="P826" s="75" t="n">
        <v>823</v>
      </c>
      <c r="Q826" s="146" t="n">
        <v>18477.633726367</v>
      </c>
      <c r="R826" s="146" t="n">
        <v>0.270173901934037</v>
      </c>
      <c r="S826" s="146" t="n">
        <v>0.0637856890967531</v>
      </c>
      <c r="T826" s="146" t="n">
        <v>0.0252891036976586</v>
      </c>
      <c r="U826" s="29"/>
      <c r="V826" s="29"/>
      <c r="W826" s="29"/>
      <c r="X826" s="29"/>
      <c r="Y826" s="29"/>
      <c r="Z826" s="75"/>
    </row>
    <row r="827" customFormat="false" ht="12.75" hidden="false" customHeight="true" outlineLevel="0" collapsed="false">
      <c r="A827" s="2"/>
      <c r="B827" s="2"/>
      <c r="C827" s="75"/>
      <c r="D827" s="75"/>
      <c r="E827" s="75"/>
      <c r="F827" s="75"/>
      <c r="G827" s="75"/>
      <c r="H827" s="75"/>
      <c r="I827" s="2"/>
      <c r="J827" s="83"/>
      <c r="K827" s="83"/>
      <c r="L827" s="83"/>
      <c r="M827" s="83"/>
      <c r="N827" s="83"/>
      <c r="O827" s="2"/>
      <c r="P827" s="75" t="n">
        <v>824</v>
      </c>
      <c r="Q827" s="146" t="n">
        <v>18500.289536636</v>
      </c>
      <c r="R827" s="146" t="n">
        <v>0.269033648137565</v>
      </c>
      <c r="S827" s="146" t="n">
        <v>0.0675615684513105</v>
      </c>
      <c r="T827" s="146" t="n">
        <v>0.027168208583102</v>
      </c>
      <c r="U827" s="29"/>
      <c r="V827" s="29"/>
      <c r="W827" s="29"/>
      <c r="X827" s="29"/>
      <c r="Y827" s="29"/>
      <c r="Z827" s="75"/>
    </row>
    <row r="828" customFormat="false" ht="12.75" hidden="false" customHeight="true" outlineLevel="0" collapsed="false">
      <c r="A828" s="2"/>
      <c r="B828" s="2"/>
      <c r="C828" s="75"/>
      <c r="D828" s="75"/>
      <c r="E828" s="75"/>
      <c r="F828" s="75"/>
      <c r="G828" s="75"/>
      <c r="H828" s="75"/>
      <c r="I828" s="2"/>
      <c r="J828" s="83"/>
      <c r="K828" s="83"/>
      <c r="L828" s="83"/>
      <c r="M828" s="83"/>
      <c r="N828" s="83"/>
      <c r="O828" s="2"/>
      <c r="P828" s="75" t="n">
        <v>825</v>
      </c>
      <c r="Q828" s="146" t="n">
        <v>18522.856430455</v>
      </c>
      <c r="R828" s="146" t="n">
        <v>0.267993616605903</v>
      </c>
      <c r="S828" s="146" t="n">
        <v>0.0704646893008673</v>
      </c>
      <c r="T828" s="146" t="n">
        <v>0.0287625937739523</v>
      </c>
      <c r="U828" s="29"/>
      <c r="V828" s="29"/>
      <c r="W828" s="29"/>
      <c r="X828" s="29"/>
      <c r="Y828" s="29"/>
      <c r="Z828" s="75"/>
    </row>
    <row r="829" customFormat="false" ht="12.75" hidden="false" customHeight="true" outlineLevel="0" collapsed="false">
      <c r="A829" s="2"/>
      <c r="B829" s="2"/>
      <c r="C829" s="75"/>
      <c r="D829" s="75"/>
      <c r="E829" s="75"/>
      <c r="F829" s="75"/>
      <c r="G829" s="75"/>
      <c r="H829" s="75"/>
      <c r="I829" s="2"/>
      <c r="J829" s="83"/>
      <c r="K829" s="83"/>
      <c r="L829" s="83"/>
      <c r="M829" s="83"/>
      <c r="N829" s="83"/>
      <c r="O829" s="2"/>
      <c r="P829" s="75" t="n">
        <v>826</v>
      </c>
      <c r="Q829" s="146" t="n">
        <v>18545.436068403</v>
      </c>
      <c r="R829" s="146" t="n">
        <v>0.266585548232536</v>
      </c>
      <c r="S829" s="146" t="n">
        <v>0.0716866762449154</v>
      </c>
      <c r="T829" s="146" t="n">
        <v>0.0299183647306708</v>
      </c>
      <c r="U829" s="29"/>
      <c r="V829" s="29"/>
      <c r="W829" s="29"/>
      <c r="X829" s="29"/>
      <c r="Y829" s="29"/>
      <c r="Z829" s="75"/>
    </row>
    <row r="830" customFormat="false" ht="12.75" hidden="false" customHeight="true" outlineLevel="0" collapsed="false">
      <c r="A830" s="2"/>
      <c r="B830" s="2"/>
      <c r="C830" s="75"/>
      <c r="D830" s="75"/>
      <c r="E830" s="75"/>
      <c r="F830" s="75"/>
      <c r="G830" s="75"/>
      <c r="H830" s="75"/>
      <c r="I830" s="2"/>
      <c r="J830" s="83"/>
      <c r="K830" s="83"/>
      <c r="L830" s="83"/>
      <c r="M830" s="83"/>
      <c r="N830" s="83"/>
      <c r="O830" s="2"/>
      <c r="P830" s="75" t="n">
        <v>827</v>
      </c>
      <c r="Q830" s="146" t="n">
        <v>18568.415034454</v>
      </c>
      <c r="R830" s="146" t="n">
        <v>0.265089173923276</v>
      </c>
      <c r="S830" s="146" t="n">
        <v>0.0718581908615969</v>
      </c>
      <c r="T830" s="146" t="n">
        <v>0.0309620876608422</v>
      </c>
      <c r="U830" s="29"/>
      <c r="V830" s="29"/>
      <c r="W830" s="29"/>
      <c r="X830" s="29"/>
      <c r="Y830" s="29"/>
      <c r="Z830" s="75"/>
    </row>
    <row r="831" customFormat="false" ht="12.75" hidden="false" customHeight="true" outlineLevel="0" collapsed="false">
      <c r="A831" s="2"/>
      <c r="B831" s="2"/>
      <c r="C831" s="75"/>
      <c r="D831" s="75"/>
      <c r="E831" s="75"/>
      <c r="F831" s="75"/>
      <c r="G831" s="75"/>
      <c r="H831" s="75"/>
      <c r="I831" s="2"/>
      <c r="J831" s="83"/>
      <c r="K831" s="83"/>
      <c r="L831" s="83"/>
      <c r="M831" s="83"/>
      <c r="N831" s="83"/>
      <c r="O831" s="2"/>
      <c r="P831" s="75" t="n">
        <v>828</v>
      </c>
      <c r="Q831" s="146" t="n">
        <v>18590.886133991</v>
      </c>
      <c r="R831" s="146" t="n">
        <v>0.263612905721975</v>
      </c>
      <c r="S831" s="146" t="n">
        <v>0.0713280308261042</v>
      </c>
      <c r="T831" s="146" t="n">
        <v>0.031409818604503</v>
      </c>
      <c r="U831" s="29"/>
      <c r="V831" s="29"/>
      <c r="W831" s="29"/>
      <c r="X831" s="29"/>
      <c r="Y831" s="29"/>
      <c r="Z831" s="75"/>
    </row>
    <row r="832" customFormat="false" ht="12.75" hidden="false" customHeight="true" outlineLevel="0" collapsed="false">
      <c r="A832" s="2"/>
      <c r="B832" s="2"/>
      <c r="C832" s="75"/>
      <c r="D832" s="75"/>
      <c r="E832" s="75"/>
      <c r="F832" s="75"/>
      <c r="G832" s="75"/>
      <c r="H832" s="75"/>
      <c r="I832" s="2"/>
      <c r="J832" s="83"/>
      <c r="K832" s="83"/>
      <c r="L832" s="83"/>
      <c r="M832" s="83"/>
      <c r="N832" s="83"/>
      <c r="O832" s="2"/>
      <c r="P832" s="75" t="n">
        <v>829</v>
      </c>
      <c r="Q832" s="146" t="n">
        <v>18613.38636965</v>
      </c>
      <c r="R832" s="146" t="n">
        <v>0.262138254911443</v>
      </c>
      <c r="S832" s="146" t="n">
        <v>0.0707322921449692</v>
      </c>
      <c r="T832" s="146" t="n">
        <v>0.0315583920868486</v>
      </c>
      <c r="U832" s="29"/>
      <c r="V832" s="29"/>
      <c r="W832" s="29"/>
      <c r="X832" s="29"/>
      <c r="Y832" s="29"/>
      <c r="Z832" s="75"/>
    </row>
    <row r="833" customFormat="false" ht="12.75" hidden="false" customHeight="true" outlineLevel="0" collapsed="false">
      <c r="A833" s="2"/>
      <c r="B833" s="2"/>
      <c r="C833" s="75"/>
      <c r="D833" s="75"/>
      <c r="E833" s="75"/>
      <c r="F833" s="75"/>
      <c r="G833" s="75"/>
      <c r="H833" s="75"/>
      <c r="I833" s="2"/>
      <c r="J833" s="83"/>
      <c r="K833" s="83"/>
      <c r="L833" s="83"/>
      <c r="M833" s="83"/>
      <c r="N833" s="83"/>
      <c r="O833" s="2"/>
      <c r="P833" s="75" t="n">
        <v>830</v>
      </c>
      <c r="Q833" s="146" t="n">
        <v>18636.000459558</v>
      </c>
      <c r="R833" s="146" t="n">
        <v>0.260906475959807</v>
      </c>
      <c r="S833" s="146" t="n">
        <v>0.0700868436025523</v>
      </c>
      <c r="T833" s="146" t="n">
        <v>0.0310646296805859</v>
      </c>
      <c r="U833" s="29"/>
      <c r="V833" s="29"/>
      <c r="W833" s="29"/>
      <c r="X833" s="29"/>
      <c r="Y833" s="29"/>
      <c r="Z833" s="75"/>
    </row>
    <row r="834" customFormat="false" ht="12.75" hidden="false" customHeight="true" outlineLevel="0" collapsed="false">
      <c r="A834" s="2"/>
      <c r="B834" s="2"/>
      <c r="C834" s="75"/>
      <c r="D834" s="75"/>
      <c r="E834" s="75"/>
      <c r="F834" s="75"/>
      <c r="G834" s="75"/>
      <c r="H834" s="75"/>
      <c r="I834" s="2"/>
      <c r="J834" s="83"/>
      <c r="K834" s="83"/>
      <c r="L834" s="83"/>
      <c r="M834" s="83"/>
      <c r="N834" s="83"/>
      <c r="O834" s="2"/>
      <c r="P834" s="75" t="n">
        <v>831</v>
      </c>
      <c r="Q834" s="146" t="n">
        <v>18659.050213673</v>
      </c>
      <c r="R834" s="146" t="n">
        <v>0.260074043355794</v>
      </c>
      <c r="S834" s="146" t="n">
        <v>0.0703812936375862</v>
      </c>
      <c r="T834" s="146" t="n">
        <v>0.0302935260558244</v>
      </c>
      <c r="U834" s="29"/>
      <c r="V834" s="29"/>
      <c r="W834" s="29"/>
      <c r="X834" s="29"/>
      <c r="Y834" s="29"/>
      <c r="Z834" s="75"/>
    </row>
    <row r="835" customFormat="false" ht="12.75" hidden="false" customHeight="true" outlineLevel="0" collapsed="false">
      <c r="A835" s="2"/>
      <c r="B835" s="2"/>
      <c r="C835" s="75"/>
      <c r="D835" s="75"/>
      <c r="E835" s="75"/>
      <c r="F835" s="75"/>
      <c r="G835" s="75"/>
      <c r="H835" s="75"/>
      <c r="I835" s="2"/>
      <c r="J835" s="83"/>
      <c r="K835" s="83"/>
      <c r="L835" s="83"/>
      <c r="M835" s="83"/>
      <c r="N835" s="83"/>
      <c r="O835" s="2"/>
      <c r="P835" s="75" t="n">
        <v>832</v>
      </c>
      <c r="Q835" s="146" t="n">
        <v>18681.596696155</v>
      </c>
      <c r="R835" s="146" t="n">
        <v>0.259631353007848</v>
      </c>
      <c r="S835" s="146" t="n">
        <v>0.0716283732864679</v>
      </c>
      <c r="T835" s="146" t="n">
        <v>0.0295662883978957</v>
      </c>
      <c r="U835" s="29"/>
      <c r="V835" s="29"/>
      <c r="W835" s="29"/>
      <c r="X835" s="29"/>
      <c r="Y835" s="29"/>
      <c r="Z835" s="75"/>
    </row>
    <row r="836" customFormat="false" ht="12.75" hidden="false" customHeight="true" outlineLevel="0" collapsed="false">
      <c r="A836" s="2"/>
      <c r="B836" s="2"/>
      <c r="C836" s="75"/>
      <c r="D836" s="75"/>
      <c r="E836" s="75"/>
      <c r="F836" s="75"/>
      <c r="G836" s="75"/>
      <c r="H836" s="75"/>
      <c r="I836" s="2"/>
      <c r="J836" s="83"/>
      <c r="K836" s="83"/>
      <c r="L836" s="83"/>
      <c r="M836" s="83"/>
      <c r="N836" s="83"/>
      <c r="O836" s="2"/>
      <c r="P836" s="75" t="n">
        <v>833</v>
      </c>
      <c r="Q836" s="146" t="n">
        <v>18704.129223673</v>
      </c>
      <c r="R836" s="146" t="n">
        <v>0.259575601646135</v>
      </c>
      <c r="S836" s="146" t="n">
        <v>0.0729813487538574</v>
      </c>
      <c r="T836" s="146" t="n">
        <v>0.0287894965859815</v>
      </c>
      <c r="U836" s="29"/>
      <c r="V836" s="29"/>
      <c r="W836" s="29"/>
      <c r="X836" s="29"/>
      <c r="Y836" s="29"/>
      <c r="Z836" s="75"/>
    </row>
    <row r="837" customFormat="false" ht="12.75" hidden="false" customHeight="true" outlineLevel="0" collapsed="false">
      <c r="A837" s="2"/>
      <c r="B837" s="2"/>
      <c r="C837" s="75"/>
      <c r="D837" s="75"/>
      <c r="E837" s="75"/>
      <c r="F837" s="75"/>
      <c r="G837" s="75"/>
      <c r="H837" s="75"/>
      <c r="I837" s="2"/>
      <c r="J837" s="83"/>
      <c r="K837" s="83"/>
      <c r="L837" s="83"/>
      <c r="M837" s="83"/>
      <c r="N837" s="83"/>
      <c r="O837" s="2"/>
      <c r="P837" s="75" t="n">
        <v>834</v>
      </c>
      <c r="Q837" s="146" t="n">
        <v>18726.333884348</v>
      </c>
      <c r="R837" s="146" t="n">
        <v>0.25997853068852</v>
      </c>
      <c r="S837" s="146" t="n">
        <v>0.0736917620718449</v>
      </c>
      <c r="T837" s="146" t="n">
        <v>0.0280663856701825</v>
      </c>
      <c r="U837" s="29"/>
      <c r="V837" s="29"/>
      <c r="W837" s="29"/>
      <c r="X837" s="29"/>
      <c r="Y837" s="29"/>
      <c r="Z837" s="75"/>
    </row>
    <row r="838" customFormat="false" ht="12.75" hidden="false" customHeight="true" outlineLevel="0" collapsed="false">
      <c r="A838" s="2"/>
      <c r="B838" s="2"/>
      <c r="C838" s="75"/>
      <c r="D838" s="75"/>
      <c r="E838" s="75"/>
      <c r="F838" s="75"/>
      <c r="G838" s="75"/>
      <c r="H838" s="75"/>
      <c r="I838" s="2"/>
      <c r="J838" s="83"/>
      <c r="K838" s="83"/>
      <c r="L838" s="83"/>
      <c r="M838" s="83"/>
      <c r="N838" s="83"/>
      <c r="O838" s="2"/>
      <c r="P838" s="75" t="n">
        <v>835</v>
      </c>
      <c r="Q838" s="146" t="n">
        <v>18748.623004332</v>
      </c>
      <c r="R838" s="146" t="n">
        <v>0.260829699020502</v>
      </c>
      <c r="S838" s="146" t="n">
        <v>0.0739973481829539</v>
      </c>
      <c r="T838" s="146" t="n">
        <v>0.0268821090705368</v>
      </c>
      <c r="U838" s="29"/>
      <c r="V838" s="29"/>
      <c r="W838" s="29"/>
      <c r="X838" s="29"/>
      <c r="Y838" s="29"/>
      <c r="Z838" s="75"/>
    </row>
    <row r="839" customFormat="false" ht="12.75" hidden="false" customHeight="true" outlineLevel="0" collapsed="false">
      <c r="A839" s="2"/>
      <c r="B839" s="2"/>
      <c r="C839" s="75"/>
      <c r="D839" s="75"/>
      <c r="E839" s="75"/>
      <c r="F839" s="75"/>
      <c r="G839" s="75"/>
      <c r="H839" s="75"/>
      <c r="I839" s="2"/>
      <c r="J839" s="83"/>
      <c r="K839" s="83"/>
      <c r="L839" s="83"/>
      <c r="M839" s="83"/>
      <c r="N839" s="83"/>
      <c r="O839" s="2"/>
      <c r="P839" s="75" t="n">
        <v>836</v>
      </c>
      <c r="Q839" s="146" t="n">
        <v>18770.698384621</v>
      </c>
      <c r="R839" s="146" t="n">
        <v>0.262008522446642</v>
      </c>
      <c r="S839" s="146" t="n">
        <v>0.0732730714434368</v>
      </c>
      <c r="T839" s="146" t="n">
        <v>0.0256573885519841</v>
      </c>
      <c r="U839" s="29"/>
      <c r="V839" s="29"/>
      <c r="W839" s="29"/>
      <c r="X839" s="29"/>
      <c r="Y839" s="29"/>
      <c r="Z839" s="75"/>
    </row>
    <row r="840" customFormat="false" ht="12.75" hidden="false" customHeight="true" outlineLevel="0" collapsed="false">
      <c r="A840" s="2"/>
      <c r="B840" s="2"/>
      <c r="C840" s="75"/>
      <c r="D840" s="75"/>
      <c r="E840" s="75"/>
      <c r="F840" s="75"/>
      <c r="G840" s="75"/>
      <c r="H840" s="75"/>
      <c r="I840" s="2"/>
      <c r="J840" s="83"/>
      <c r="K840" s="83"/>
      <c r="L840" s="83"/>
      <c r="M840" s="83"/>
      <c r="N840" s="83"/>
      <c r="O840" s="2"/>
      <c r="P840" s="75" t="n">
        <v>837</v>
      </c>
      <c r="Q840" s="146" t="n">
        <v>18793.062340821</v>
      </c>
      <c r="R840" s="146" t="n">
        <v>0.263513702652916</v>
      </c>
      <c r="S840" s="146" t="n">
        <v>0.0720769423521585</v>
      </c>
      <c r="T840" s="146" t="n">
        <v>0.0241219845295322</v>
      </c>
      <c r="U840" s="29"/>
      <c r="V840" s="29"/>
      <c r="W840" s="29"/>
      <c r="X840" s="29"/>
      <c r="Y840" s="29"/>
      <c r="Z840" s="75"/>
    </row>
    <row r="841" customFormat="false" ht="12.75" hidden="false" customHeight="true" outlineLevel="0" collapsed="false">
      <c r="A841" s="2"/>
      <c r="B841" s="2"/>
      <c r="C841" s="75"/>
      <c r="D841" s="75"/>
      <c r="E841" s="75"/>
      <c r="F841" s="75"/>
      <c r="G841" s="75"/>
      <c r="H841" s="75"/>
      <c r="I841" s="2"/>
      <c r="J841" s="83"/>
      <c r="K841" s="83"/>
      <c r="L841" s="83"/>
      <c r="M841" s="83"/>
      <c r="N841" s="83"/>
      <c r="O841" s="2"/>
      <c r="P841" s="75" t="n">
        <v>838</v>
      </c>
      <c r="Q841" s="146" t="n">
        <v>18815.147997008</v>
      </c>
      <c r="R841" s="146" t="n">
        <v>0.264951341213021</v>
      </c>
      <c r="S841" s="146" t="n">
        <v>0.0706507026050327</v>
      </c>
      <c r="T841" s="146" t="n">
        <v>0.0227329325197223</v>
      </c>
      <c r="U841" s="29"/>
      <c r="V841" s="29"/>
      <c r="W841" s="29"/>
      <c r="X841" s="29"/>
      <c r="Y841" s="29"/>
      <c r="Z841" s="75"/>
    </row>
    <row r="842" customFormat="false" ht="12.75" hidden="false" customHeight="true" outlineLevel="0" collapsed="false">
      <c r="A842" s="2"/>
      <c r="B842" s="2"/>
      <c r="C842" s="75"/>
      <c r="D842" s="75"/>
      <c r="E842" s="75"/>
      <c r="F842" s="75"/>
      <c r="G842" s="75"/>
      <c r="H842" s="75"/>
      <c r="I842" s="2"/>
      <c r="J842" s="83"/>
      <c r="K842" s="83"/>
      <c r="L842" s="83"/>
      <c r="M842" s="83"/>
      <c r="N842" s="83"/>
      <c r="O842" s="2"/>
      <c r="P842" s="75" t="n">
        <v>839</v>
      </c>
      <c r="Q842" s="146" t="n">
        <v>18837.507320618</v>
      </c>
      <c r="R842" s="146" t="n">
        <v>0.266728190087679</v>
      </c>
      <c r="S842" s="146" t="n">
        <v>0.0698144271912357</v>
      </c>
      <c r="T842" s="146" t="n">
        <v>0.0219656975795793</v>
      </c>
      <c r="U842" s="29"/>
      <c r="V842" s="29"/>
      <c r="W842" s="29"/>
      <c r="X842" s="29"/>
      <c r="Y842" s="29"/>
      <c r="Z842" s="75"/>
    </row>
    <row r="843" customFormat="false" ht="12.75" hidden="false" customHeight="true" outlineLevel="0" collapsed="false">
      <c r="A843" s="2"/>
      <c r="B843" s="2"/>
      <c r="C843" s="75"/>
      <c r="D843" s="75"/>
      <c r="E843" s="75"/>
      <c r="F843" s="75"/>
      <c r="G843" s="75"/>
      <c r="H843" s="75"/>
      <c r="I843" s="2"/>
      <c r="J843" s="83"/>
      <c r="K843" s="83"/>
      <c r="L843" s="83"/>
      <c r="M843" s="83"/>
      <c r="N843" s="83"/>
      <c r="O843" s="2"/>
      <c r="P843" s="75" t="n">
        <v>840</v>
      </c>
      <c r="Q843" s="146" t="n">
        <v>18860.019443589</v>
      </c>
      <c r="R843" s="146" t="n">
        <v>0.268109585499209</v>
      </c>
      <c r="S843" s="146" t="n">
        <v>0.0695535914211254</v>
      </c>
      <c r="T843" s="146" t="n">
        <v>0.0215514371299043</v>
      </c>
      <c r="U843" s="29"/>
      <c r="V843" s="29"/>
      <c r="W843" s="29"/>
      <c r="X843" s="29"/>
      <c r="Y843" s="29"/>
      <c r="Z843" s="75"/>
    </row>
    <row r="844" customFormat="false" ht="12.75" hidden="false" customHeight="true" outlineLevel="0" collapsed="false">
      <c r="A844" s="2"/>
      <c r="B844" s="2"/>
      <c r="C844" s="75"/>
      <c r="D844" s="75"/>
      <c r="E844" s="75"/>
      <c r="F844" s="75"/>
      <c r="G844" s="75"/>
      <c r="H844" s="75"/>
      <c r="I844" s="2"/>
      <c r="J844" s="83"/>
      <c r="K844" s="83"/>
      <c r="L844" s="83"/>
      <c r="M844" s="83"/>
      <c r="N844" s="83"/>
      <c r="O844" s="2"/>
      <c r="P844" s="75" t="n">
        <v>841</v>
      </c>
      <c r="Q844" s="146" t="n">
        <v>18882.745382354</v>
      </c>
      <c r="R844" s="146" t="n">
        <v>0.269618773562438</v>
      </c>
      <c r="S844" s="146" t="n">
        <v>0.0702089312737232</v>
      </c>
      <c r="T844" s="146" t="n">
        <v>0.0220306300505048</v>
      </c>
      <c r="U844" s="29"/>
      <c r="V844" s="29"/>
      <c r="W844" s="29"/>
      <c r="X844" s="29"/>
      <c r="Y844" s="29"/>
      <c r="Z844" s="75"/>
    </row>
    <row r="845" customFormat="false" ht="12.75" hidden="false" customHeight="true" outlineLevel="0" collapsed="false">
      <c r="A845" s="2"/>
      <c r="B845" s="2"/>
      <c r="C845" s="75"/>
      <c r="D845" s="75"/>
      <c r="E845" s="75"/>
      <c r="F845" s="75"/>
      <c r="G845" s="75"/>
      <c r="H845" s="75"/>
      <c r="I845" s="2"/>
      <c r="J845" s="83"/>
      <c r="K845" s="83"/>
      <c r="L845" s="83"/>
      <c r="M845" s="83"/>
      <c r="N845" s="83"/>
      <c r="O845" s="2"/>
      <c r="P845" s="75" t="n">
        <v>842</v>
      </c>
      <c r="Q845" s="146" t="n">
        <v>18905.535247161</v>
      </c>
      <c r="R845" s="146" t="n">
        <v>0.270425265083601</v>
      </c>
      <c r="S845" s="146" t="n">
        <v>0.0712472533087673</v>
      </c>
      <c r="T845" s="146" t="n">
        <v>0.0225170974830514</v>
      </c>
      <c r="U845" s="29"/>
      <c r="V845" s="29"/>
      <c r="W845" s="29"/>
      <c r="X845" s="29"/>
      <c r="Y845" s="29"/>
      <c r="Z845" s="75"/>
    </row>
    <row r="846" customFormat="false" ht="12.75" hidden="false" customHeight="true" outlineLevel="0" collapsed="false">
      <c r="A846" s="2"/>
      <c r="B846" s="2"/>
      <c r="C846" s="75"/>
      <c r="D846" s="75"/>
      <c r="E846" s="75"/>
      <c r="F846" s="75"/>
      <c r="G846" s="75"/>
      <c r="H846" s="75"/>
      <c r="I846" s="2"/>
      <c r="J846" s="83"/>
      <c r="K846" s="83"/>
      <c r="L846" s="83"/>
      <c r="M846" s="83"/>
      <c r="N846" s="83"/>
      <c r="O846" s="2"/>
      <c r="P846" s="75" t="n">
        <v>843</v>
      </c>
      <c r="Q846" s="146" t="n">
        <v>18928.108776863</v>
      </c>
      <c r="R846" s="146" t="n">
        <v>0.27086957269327</v>
      </c>
      <c r="S846" s="146" t="n">
        <v>0.0726804820268239</v>
      </c>
      <c r="T846" s="146" t="n">
        <v>0.0234869696147357</v>
      </c>
      <c r="U846" s="29"/>
      <c r="V846" s="29"/>
      <c r="W846" s="29"/>
      <c r="X846" s="29"/>
      <c r="Y846" s="29"/>
      <c r="Z846" s="75"/>
    </row>
    <row r="847" customFormat="false" ht="12.75" hidden="false" customHeight="true" outlineLevel="0" collapsed="false">
      <c r="A847" s="2"/>
      <c r="B847" s="2"/>
      <c r="C847" s="75"/>
      <c r="D847" s="75"/>
      <c r="E847" s="75"/>
      <c r="F847" s="75"/>
      <c r="G847" s="75"/>
      <c r="H847" s="75"/>
      <c r="I847" s="2"/>
      <c r="J847" s="83"/>
      <c r="K847" s="83"/>
      <c r="L847" s="83"/>
      <c r="M847" s="83"/>
      <c r="N847" s="83"/>
      <c r="O847" s="2"/>
      <c r="P847" s="75" t="n">
        <v>844</v>
      </c>
      <c r="Q847" s="146" t="n">
        <v>18950.916855676</v>
      </c>
      <c r="R847" s="146" t="n">
        <v>0.270719044975243</v>
      </c>
      <c r="S847" s="146" t="n">
        <v>0.0745641641120232</v>
      </c>
      <c r="T847" s="146" t="n">
        <v>0.0244764604218945</v>
      </c>
      <c r="U847" s="29"/>
      <c r="V847" s="29"/>
      <c r="W847" s="29"/>
      <c r="X847" s="29"/>
      <c r="Y847" s="29"/>
      <c r="Z847" s="75"/>
    </row>
    <row r="848" customFormat="false" ht="12.75" hidden="false" customHeight="true" outlineLevel="0" collapsed="false">
      <c r="A848" s="2"/>
      <c r="B848" s="2"/>
      <c r="C848" s="75"/>
      <c r="D848" s="75"/>
      <c r="E848" s="75"/>
      <c r="F848" s="75"/>
      <c r="G848" s="75"/>
      <c r="H848" s="75"/>
      <c r="I848" s="2"/>
      <c r="J848" s="83"/>
      <c r="K848" s="83"/>
      <c r="L848" s="83"/>
      <c r="M848" s="83"/>
      <c r="N848" s="83"/>
      <c r="O848" s="2"/>
      <c r="P848" s="75" t="n">
        <v>845</v>
      </c>
      <c r="Q848" s="146" t="n">
        <v>18973.693860165</v>
      </c>
      <c r="R848" s="146" t="n">
        <v>0.270134883798962</v>
      </c>
      <c r="S848" s="146" t="n">
        <v>0.0767104253312987</v>
      </c>
      <c r="T848" s="146" t="n">
        <v>0.0253717335559475</v>
      </c>
      <c r="U848" s="29"/>
      <c r="V848" s="29"/>
      <c r="W848" s="29"/>
      <c r="X848" s="29"/>
      <c r="Y848" s="29"/>
      <c r="Z848" s="75"/>
    </row>
    <row r="849" customFormat="false" ht="12.75" hidden="false" customHeight="true" outlineLevel="0" collapsed="false">
      <c r="A849" s="2"/>
      <c r="B849" s="2"/>
      <c r="C849" s="75"/>
      <c r="D849" s="75"/>
      <c r="E849" s="75"/>
      <c r="F849" s="75"/>
      <c r="G849" s="75"/>
      <c r="H849" s="75"/>
      <c r="I849" s="2"/>
      <c r="J849" s="83"/>
      <c r="K849" s="83"/>
      <c r="L849" s="83"/>
      <c r="M849" s="83"/>
      <c r="N849" s="83"/>
      <c r="O849" s="2"/>
      <c r="P849" s="75" t="n">
        <v>846</v>
      </c>
      <c r="Q849" s="146" t="n">
        <v>18996.400702218</v>
      </c>
      <c r="R849" s="146" t="n">
        <v>0.269164370028307</v>
      </c>
      <c r="S849" s="146" t="n">
        <v>0.0792058225549893</v>
      </c>
      <c r="T849" s="146" t="n">
        <v>0.0264059190161339</v>
      </c>
      <c r="U849" s="29"/>
      <c r="V849" s="29"/>
      <c r="W849" s="29"/>
      <c r="X849" s="29"/>
      <c r="Y849" s="29"/>
      <c r="Z849" s="75"/>
    </row>
    <row r="850" customFormat="false" ht="12.75" hidden="false" customHeight="true" outlineLevel="0" collapsed="false">
      <c r="A850" s="2"/>
      <c r="B850" s="2"/>
      <c r="C850" s="75"/>
      <c r="D850" s="75"/>
      <c r="E850" s="75"/>
      <c r="F850" s="75"/>
      <c r="G850" s="75"/>
      <c r="H850" s="75"/>
      <c r="I850" s="2"/>
      <c r="J850" s="83"/>
      <c r="K850" s="83"/>
      <c r="L850" s="83"/>
      <c r="M850" s="83"/>
      <c r="N850" s="83"/>
      <c r="O850" s="2"/>
      <c r="P850" s="75" t="n">
        <v>847</v>
      </c>
      <c r="Q850" s="146" t="n">
        <v>19019.069376915</v>
      </c>
      <c r="R850" s="146" t="n">
        <v>0.268144216655904</v>
      </c>
      <c r="S850" s="146" t="n">
        <v>0.0819781765057569</v>
      </c>
      <c r="T850" s="146" t="n">
        <v>0.0274147218291764</v>
      </c>
      <c r="U850" s="29"/>
      <c r="V850" s="29"/>
      <c r="W850" s="29"/>
      <c r="X850" s="29"/>
      <c r="Y850" s="29"/>
      <c r="Z850" s="75"/>
    </row>
    <row r="851" customFormat="false" ht="12.75" hidden="false" customHeight="true" outlineLevel="0" collapsed="false">
      <c r="A851" s="2"/>
      <c r="B851" s="2"/>
      <c r="C851" s="75"/>
      <c r="D851" s="75"/>
      <c r="E851" s="75"/>
      <c r="F851" s="75"/>
      <c r="G851" s="75"/>
      <c r="H851" s="75"/>
      <c r="I851" s="2"/>
      <c r="J851" s="83"/>
      <c r="K851" s="83"/>
      <c r="L851" s="83"/>
      <c r="M851" s="83"/>
      <c r="N851" s="83"/>
      <c r="O851" s="2"/>
      <c r="P851" s="75" t="n">
        <v>848</v>
      </c>
      <c r="Q851" s="146" t="n">
        <v>19041.830197178</v>
      </c>
      <c r="R851" s="146" t="n">
        <v>0.267173159649086</v>
      </c>
      <c r="S851" s="146" t="n">
        <v>0.0848514490104908</v>
      </c>
      <c r="T851" s="146" t="n">
        <v>0.0282937162067619</v>
      </c>
      <c r="U851" s="29"/>
      <c r="V851" s="29"/>
      <c r="W851" s="29"/>
      <c r="X851" s="29"/>
      <c r="Y851" s="29"/>
      <c r="Z851" s="75"/>
    </row>
    <row r="852" customFormat="false" ht="12.75" hidden="false" customHeight="true" outlineLevel="0" collapsed="false">
      <c r="A852" s="2"/>
      <c r="B852" s="2"/>
      <c r="C852" s="75"/>
      <c r="D852" s="75"/>
      <c r="E852" s="75"/>
      <c r="F852" s="75"/>
      <c r="G852" s="75"/>
      <c r="H852" s="75"/>
      <c r="I852" s="2"/>
      <c r="J852" s="83"/>
      <c r="K852" s="83"/>
      <c r="L852" s="83"/>
      <c r="M852" s="83"/>
      <c r="N852" s="83"/>
      <c r="O852" s="2"/>
      <c r="P852" s="75" t="n">
        <v>849</v>
      </c>
      <c r="Q852" s="146" t="n">
        <v>19064.493060567</v>
      </c>
      <c r="R852" s="146" t="n">
        <v>0.266346533502453</v>
      </c>
      <c r="S852" s="146" t="n">
        <v>0.0878228996233563</v>
      </c>
      <c r="T852" s="146" t="n">
        <v>0.0290799362957131</v>
      </c>
      <c r="U852" s="29"/>
      <c r="V852" s="29"/>
      <c r="W852" s="29"/>
      <c r="X852" s="29"/>
      <c r="Y852" s="29"/>
      <c r="Z852" s="75"/>
    </row>
    <row r="853" customFormat="false" ht="12.75" hidden="false" customHeight="true" outlineLevel="0" collapsed="false">
      <c r="A853" s="2"/>
      <c r="B853" s="2"/>
      <c r="C853" s="75"/>
      <c r="D853" s="75"/>
      <c r="E853" s="75"/>
      <c r="F853" s="75"/>
      <c r="G853" s="75"/>
      <c r="H853" s="75"/>
      <c r="I853" s="2"/>
      <c r="J853" s="83"/>
      <c r="K853" s="83"/>
      <c r="L853" s="83"/>
      <c r="M853" s="83"/>
      <c r="N853" s="83"/>
      <c r="O853" s="2"/>
      <c r="P853" s="75" t="n">
        <v>850</v>
      </c>
      <c r="Q853" s="146" t="n">
        <v>19087.242347648</v>
      </c>
      <c r="R853" s="146" t="n">
        <v>0.265782481967798</v>
      </c>
      <c r="S853" s="146" t="n">
        <v>0.0905200754292686</v>
      </c>
      <c r="T853" s="146" t="n">
        <v>0.0295063351020502</v>
      </c>
      <c r="U853" s="29"/>
      <c r="V853" s="29"/>
      <c r="W853" s="29"/>
      <c r="X853" s="29"/>
      <c r="Y853" s="29"/>
      <c r="Z853" s="75"/>
    </row>
    <row r="854" customFormat="false" ht="12.75" hidden="false" customHeight="true" outlineLevel="0" collapsed="false">
      <c r="A854" s="2"/>
      <c r="B854" s="2"/>
      <c r="C854" s="75"/>
      <c r="D854" s="75"/>
      <c r="E854" s="75"/>
      <c r="F854" s="75"/>
      <c r="G854" s="75"/>
      <c r="H854" s="75"/>
      <c r="I854" s="2"/>
      <c r="J854" s="83"/>
      <c r="K854" s="83"/>
      <c r="L854" s="83"/>
      <c r="M854" s="83"/>
      <c r="N854" s="83"/>
      <c r="O854" s="2"/>
      <c r="P854" s="75" t="n">
        <v>851</v>
      </c>
      <c r="Q854" s="146" t="n">
        <v>19110.234405057</v>
      </c>
      <c r="R854" s="146" t="n">
        <v>0.265410881370287</v>
      </c>
      <c r="S854" s="146" t="n">
        <v>0.0923694400193368</v>
      </c>
      <c r="T854" s="146" t="n">
        <v>0.0296437918174425</v>
      </c>
      <c r="U854" s="29"/>
      <c r="V854" s="29"/>
      <c r="W854" s="29"/>
      <c r="X854" s="29"/>
      <c r="Y854" s="29"/>
      <c r="Z854" s="75"/>
    </row>
    <row r="855" customFormat="false" ht="12.75" hidden="false" customHeight="true" outlineLevel="0" collapsed="false">
      <c r="A855" s="2"/>
      <c r="B855" s="2"/>
      <c r="C855" s="75"/>
      <c r="D855" s="75"/>
      <c r="E855" s="75"/>
      <c r="F855" s="75"/>
      <c r="G855" s="75"/>
      <c r="H855" s="75"/>
      <c r="I855" s="2"/>
      <c r="J855" s="83"/>
      <c r="K855" s="83"/>
      <c r="L855" s="83"/>
      <c r="M855" s="83"/>
      <c r="N855" s="83"/>
      <c r="O855" s="2"/>
      <c r="P855" s="75" t="n">
        <v>852</v>
      </c>
      <c r="Q855" s="146" t="n">
        <v>19133.027934579</v>
      </c>
      <c r="R855" s="146" t="n">
        <v>0.265509925134681</v>
      </c>
      <c r="S855" s="146" t="n">
        <v>0.0933151677498919</v>
      </c>
      <c r="T855" s="146" t="n">
        <v>0.0295647560747088</v>
      </c>
      <c r="U855" s="29"/>
      <c r="V855" s="29"/>
      <c r="W855" s="29"/>
      <c r="X855" s="29"/>
      <c r="Y855" s="29"/>
      <c r="Z855" s="75"/>
    </row>
    <row r="856" customFormat="false" ht="12.75" hidden="false" customHeight="true" outlineLevel="0" collapsed="false">
      <c r="A856" s="2"/>
      <c r="B856" s="2"/>
      <c r="C856" s="75"/>
      <c r="D856" s="75"/>
      <c r="E856" s="75"/>
      <c r="F856" s="75"/>
      <c r="G856" s="75"/>
      <c r="H856" s="75"/>
      <c r="I856" s="2"/>
      <c r="J856" s="83"/>
      <c r="K856" s="83"/>
      <c r="L856" s="83"/>
      <c r="M856" s="83"/>
      <c r="N856" s="83"/>
      <c r="O856" s="2"/>
      <c r="P856" s="75" t="n">
        <v>853</v>
      </c>
      <c r="Q856" s="146" t="n">
        <v>19155.551641583</v>
      </c>
      <c r="R856" s="146" t="n">
        <v>0.266060682352544</v>
      </c>
      <c r="S856" s="146" t="n">
        <v>0.0927675045201797</v>
      </c>
      <c r="T856" s="146" t="n">
        <v>0.0289730670624776</v>
      </c>
      <c r="U856" s="29"/>
      <c r="V856" s="29"/>
      <c r="W856" s="29"/>
      <c r="X856" s="29"/>
      <c r="Y856" s="29"/>
      <c r="Z856" s="75"/>
    </row>
    <row r="857" customFormat="false" ht="12.75" hidden="false" customHeight="true" outlineLevel="0" collapsed="false">
      <c r="A857" s="2"/>
      <c r="B857" s="2"/>
      <c r="C857" s="75"/>
      <c r="D857" s="75"/>
      <c r="E857" s="75"/>
      <c r="F857" s="75"/>
      <c r="G857" s="75"/>
      <c r="H857" s="75"/>
      <c r="I857" s="2"/>
      <c r="J857" s="83"/>
      <c r="K857" s="83"/>
      <c r="L857" s="83"/>
      <c r="M857" s="83"/>
      <c r="N857" s="83"/>
      <c r="O857" s="2"/>
      <c r="P857" s="75" t="n">
        <v>854</v>
      </c>
      <c r="Q857" s="146" t="n">
        <v>19178.598797358</v>
      </c>
      <c r="R857" s="146" t="n">
        <v>0.26702349279501</v>
      </c>
      <c r="S857" s="146" t="n">
        <v>0.0903877097253799</v>
      </c>
      <c r="T857" s="146" t="n">
        <v>0.0279913635708507</v>
      </c>
      <c r="U857" s="29"/>
      <c r="V857" s="29"/>
      <c r="W857" s="29"/>
      <c r="X857" s="29"/>
      <c r="Y857" s="29"/>
      <c r="Z857" s="75"/>
    </row>
    <row r="858" customFormat="false" ht="12.75" hidden="false" customHeight="true" outlineLevel="0" collapsed="false">
      <c r="A858" s="2"/>
      <c r="B858" s="2"/>
      <c r="C858" s="75"/>
      <c r="D858" s="75"/>
      <c r="E858" s="75"/>
      <c r="F858" s="75"/>
      <c r="G858" s="75"/>
      <c r="H858" s="75"/>
      <c r="I858" s="2"/>
      <c r="J858" s="83"/>
      <c r="K858" s="83"/>
      <c r="L858" s="83"/>
      <c r="M858" s="83"/>
      <c r="N858" s="83"/>
      <c r="O858" s="2"/>
      <c r="P858" s="75" t="n">
        <v>855</v>
      </c>
      <c r="Q858" s="146" t="n">
        <v>19201.567402122</v>
      </c>
      <c r="R858" s="146" t="n">
        <v>0.268216909650171</v>
      </c>
      <c r="S858" s="146" t="n">
        <v>0.086107397104922</v>
      </c>
      <c r="T858" s="146" t="n">
        <v>0.0269322594285575</v>
      </c>
      <c r="U858" s="29"/>
      <c r="V858" s="29"/>
      <c r="W858" s="29"/>
      <c r="X858" s="29"/>
      <c r="Y858" s="29"/>
      <c r="Z858" s="75"/>
    </row>
    <row r="859" customFormat="false" ht="12.75" hidden="false" customHeight="true" outlineLevel="0" collapsed="false">
      <c r="A859" s="2"/>
      <c r="B859" s="2"/>
      <c r="C859" s="75"/>
      <c r="D859" s="75"/>
      <c r="E859" s="75"/>
      <c r="F859" s="75"/>
      <c r="G859" s="75"/>
      <c r="H859" s="75"/>
      <c r="I859" s="2"/>
      <c r="J859" s="83"/>
      <c r="K859" s="83"/>
      <c r="L859" s="83"/>
      <c r="M859" s="83"/>
      <c r="N859" s="83"/>
      <c r="O859" s="2"/>
      <c r="P859" s="75" t="n">
        <v>856</v>
      </c>
      <c r="Q859" s="146" t="n">
        <v>19224.191208351</v>
      </c>
      <c r="R859" s="146" t="n">
        <v>0.269629633352456</v>
      </c>
      <c r="S859" s="146" t="n">
        <v>0.0805178954546573</v>
      </c>
      <c r="T859" s="146" t="n">
        <v>0.0260204538942364</v>
      </c>
      <c r="U859" s="29"/>
      <c r="V859" s="29"/>
      <c r="W859" s="29"/>
      <c r="X859" s="29"/>
      <c r="Y859" s="29"/>
      <c r="Z859" s="75"/>
    </row>
    <row r="860" customFormat="false" ht="12.75" hidden="false" customHeight="true" outlineLevel="0" collapsed="false">
      <c r="A860" s="2"/>
      <c r="B860" s="2"/>
      <c r="C860" s="75"/>
      <c r="D860" s="75"/>
      <c r="E860" s="75"/>
      <c r="F860" s="75"/>
      <c r="G860" s="75"/>
      <c r="H860" s="75"/>
      <c r="I860" s="2"/>
      <c r="J860" s="83"/>
      <c r="K860" s="83"/>
      <c r="L860" s="83"/>
      <c r="M860" s="83"/>
      <c r="N860" s="83"/>
      <c r="O860" s="2"/>
      <c r="P860" s="75" t="n">
        <v>857</v>
      </c>
      <c r="Q860" s="146" t="n">
        <v>19246.715234274</v>
      </c>
      <c r="R860" s="146" t="n">
        <v>0.271015777685871</v>
      </c>
      <c r="S860" s="146" t="n">
        <v>0.0750338838559103</v>
      </c>
      <c r="T860" s="146" t="n">
        <v>0.0251489798749912</v>
      </c>
      <c r="U860" s="29"/>
      <c r="V860" s="29"/>
      <c r="W860" s="29"/>
      <c r="X860" s="29"/>
      <c r="Y860" s="29"/>
      <c r="Z860" s="75"/>
    </row>
    <row r="861" customFormat="false" ht="12.75" hidden="false" customHeight="true" outlineLevel="0" collapsed="false">
      <c r="A861" s="2"/>
      <c r="B861" s="2"/>
      <c r="C861" s="75"/>
      <c r="D861" s="75"/>
      <c r="E861" s="75"/>
      <c r="F861" s="75"/>
      <c r="G861" s="75"/>
      <c r="H861" s="75"/>
      <c r="I861" s="2"/>
      <c r="J861" s="83"/>
      <c r="K861" s="83"/>
      <c r="L861" s="83"/>
      <c r="M861" s="83"/>
      <c r="N861" s="83"/>
      <c r="O861" s="2"/>
      <c r="P861" s="75" t="n">
        <v>858</v>
      </c>
      <c r="Q861" s="146" t="n">
        <v>19269.303188219</v>
      </c>
      <c r="R861" s="146" t="n">
        <v>0.272041652992521</v>
      </c>
      <c r="S861" s="146" t="n">
        <v>0.0705381244734554</v>
      </c>
      <c r="T861" s="146" t="n">
        <v>0.0247645540737346</v>
      </c>
      <c r="U861" s="29"/>
      <c r="V861" s="29"/>
      <c r="W861" s="29"/>
      <c r="X861" s="29"/>
      <c r="Y861" s="29"/>
      <c r="Z861" s="75"/>
    </row>
    <row r="862" customFormat="false" ht="12.75" hidden="false" customHeight="true" outlineLevel="0" collapsed="false">
      <c r="A862" s="2"/>
      <c r="B862" s="2"/>
      <c r="C862" s="75"/>
      <c r="D862" s="75"/>
      <c r="E862" s="75"/>
      <c r="F862" s="75"/>
      <c r="G862" s="75"/>
      <c r="H862" s="75"/>
      <c r="I862" s="2"/>
      <c r="J862" s="83"/>
      <c r="K862" s="83"/>
      <c r="L862" s="83"/>
      <c r="M862" s="83"/>
      <c r="N862" s="83"/>
      <c r="O862" s="2"/>
      <c r="P862" s="75" t="n">
        <v>859</v>
      </c>
      <c r="Q862" s="146" t="n">
        <v>19291.905290686</v>
      </c>
      <c r="R862" s="146" t="n">
        <v>0.273043379614774</v>
      </c>
      <c r="S862" s="146" t="n">
        <v>0.066801826586191</v>
      </c>
      <c r="T862" s="146" t="n">
        <v>0.0244592515399967</v>
      </c>
      <c r="U862" s="29"/>
      <c r="V862" s="29"/>
      <c r="W862" s="29"/>
      <c r="X862" s="29"/>
      <c r="Y862" s="29"/>
      <c r="Z862" s="75"/>
    </row>
    <row r="863" customFormat="false" ht="12.75" hidden="false" customHeight="true" outlineLevel="0" collapsed="false">
      <c r="A863" s="2"/>
      <c r="B863" s="2"/>
      <c r="C863" s="75"/>
      <c r="D863" s="75"/>
      <c r="E863" s="75"/>
      <c r="F863" s="75"/>
      <c r="G863" s="75"/>
      <c r="H863" s="75"/>
      <c r="I863" s="2"/>
      <c r="J863" s="83"/>
      <c r="K863" s="83"/>
      <c r="L863" s="83"/>
      <c r="M863" s="83"/>
      <c r="N863" s="83"/>
      <c r="O863" s="2"/>
      <c r="P863" s="75" t="n">
        <v>860</v>
      </c>
      <c r="Q863" s="146" t="n">
        <v>19314.201981349</v>
      </c>
      <c r="R863" s="146" t="n">
        <v>0.27384845967551</v>
      </c>
      <c r="S863" s="146" t="n">
        <v>0.0647837498890315</v>
      </c>
      <c r="T863" s="146" t="n">
        <v>0.0247487386984596</v>
      </c>
      <c r="U863" s="29"/>
      <c r="V863" s="29"/>
      <c r="W863" s="29"/>
      <c r="X863" s="29"/>
      <c r="Y863" s="29"/>
      <c r="Z863" s="75"/>
    </row>
    <row r="864" customFormat="false" ht="12.75" hidden="false" customHeight="true" outlineLevel="0" collapsed="false">
      <c r="A864" s="2"/>
      <c r="B864" s="2"/>
      <c r="C864" s="75"/>
      <c r="D864" s="75"/>
      <c r="E864" s="75"/>
      <c r="F864" s="75"/>
      <c r="G864" s="75"/>
      <c r="H864" s="75"/>
      <c r="I864" s="2"/>
      <c r="J864" s="83"/>
      <c r="K864" s="83"/>
      <c r="L864" s="83"/>
      <c r="M864" s="83"/>
      <c r="N864" s="83"/>
      <c r="O864" s="2"/>
      <c r="P864" s="75" t="n">
        <v>861</v>
      </c>
      <c r="Q864" s="146" t="n">
        <v>19336.977636843</v>
      </c>
      <c r="R864" s="146" t="n">
        <v>0.274659204820222</v>
      </c>
      <c r="S864" s="146" t="n">
        <v>0.0644279923417693</v>
      </c>
      <c r="T864" s="146" t="n">
        <v>0.0254121685839869</v>
      </c>
      <c r="U864" s="29"/>
      <c r="V864" s="29"/>
      <c r="W864" s="29"/>
      <c r="X864" s="29"/>
      <c r="Y864" s="29"/>
      <c r="Z864" s="75"/>
    </row>
    <row r="865" customFormat="false" ht="12.75" hidden="false" customHeight="true" outlineLevel="0" collapsed="false">
      <c r="A865" s="2"/>
      <c r="B865" s="2"/>
      <c r="C865" s="75"/>
      <c r="D865" s="75"/>
      <c r="E865" s="75"/>
      <c r="F865" s="75"/>
      <c r="G865" s="75"/>
      <c r="H865" s="75"/>
      <c r="I865" s="2"/>
      <c r="J865" s="83"/>
      <c r="K865" s="83"/>
      <c r="L865" s="83"/>
      <c r="M865" s="83"/>
      <c r="N865" s="83"/>
      <c r="O865" s="2"/>
      <c r="P865" s="75" t="n">
        <v>862</v>
      </c>
      <c r="Q865" s="146" t="n">
        <v>19359.340601737</v>
      </c>
      <c r="R865" s="146" t="n">
        <v>0.275160985869482</v>
      </c>
      <c r="S865" s="146" t="n">
        <v>0.0667582531684061</v>
      </c>
      <c r="T865" s="146" t="n">
        <v>0.0253921406383921</v>
      </c>
      <c r="U865" s="29"/>
      <c r="V865" s="29"/>
      <c r="W865" s="29"/>
      <c r="X865" s="29"/>
      <c r="Y865" s="29"/>
      <c r="Z865" s="75"/>
    </row>
    <row r="866" customFormat="false" ht="12.75" hidden="false" customHeight="true" outlineLevel="0" collapsed="false">
      <c r="A866" s="2"/>
      <c r="B866" s="2"/>
      <c r="C866" s="75"/>
      <c r="D866" s="75"/>
      <c r="E866" s="75"/>
      <c r="F866" s="75"/>
      <c r="G866" s="75"/>
      <c r="H866" s="75"/>
      <c r="I866" s="2"/>
      <c r="J866" s="83"/>
      <c r="K866" s="83"/>
      <c r="L866" s="83"/>
      <c r="M866" s="83"/>
      <c r="N866" s="83"/>
      <c r="O866" s="2"/>
      <c r="P866" s="75" t="n">
        <v>863</v>
      </c>
      <c r="Q866" s="146" t="n">
        <v>19382.303753373</v>
      </c>
      <c r="R866" s="146" t="n">
        <v>0.275381557620264</v>
      </c>
      <c r="S866" s="146" t="n">
        <v>0.0704445388458087</v>
      </c>
      <c r="T866" s="146" t="n">
        <v>0.025448293710651</v>
      </c>
      <c r="U866" s="29"/>
      <c r="V866" s="29"/>
      <c r="W866" s="29"/>
      <c r="X866" s="29"/>
      <c r="Y866" s="29"/>
      <c r="Z866" s="75"/>
    </row>
    <row r="867" customFormat="false" ht="12.75" hidden="false" customHeight="true" outlineLevel="0" collapsed="false">
      <c r="A867" s="2"/>
      <c r="B867" s="2"/>
      <c r="C867" s="75"/>
      <c r="D867" s="75"/>
      <c r="E867" s="75"/>
      <c r="F867" s="75"/>
      <c r="G867" s="75"/>
      <c r="H867" s="75"/>
      <c r="I867" s="2"/>
      <c r="J867" s="83"/>
      <c r="K867" s="83"/>
      <c r="L867" s="83"/>
      <c r="M867" s="83"/>
      <c r="N867" s="83"/>
      <c r="O867" s="2"/>
      <c r="P867" s="75" t="n">
        <v>864</v>
      </c>
      <c r="Q867" s="146" t="n">
        <v>19404.976643293</v>
      </c>
      <c r="R867" s="146" t="n">
        <v>0.27516968695795</v>
      </c>
      <c r="S867" s="146" t="n">
        <v>0.0737671512228998</v>
      </c>
      <c r="T867" s="146" t="n">
        <v>0.0258015157315489</v>
      </c>
      <c r="U867" s="29"/>
      <c r="V867" s="29"/>
      <c r="W867" s="29"/>
      <c r="X867" s="29"/>
      <c r="Y867" s="29"/>
      <c r="Z867" s="75"/>
    </row>
    <row r="868" customFormat="false" ht="12.75" hidden="false" customHeight="true" outlineLevel="0" collapsed="false">
      <c r="A868" s="2"/>
      <c r="B868" s="2"/>
      <c r="C868" s="75"/>
      <c r="D868" s="75"/>
      <c r="E868" s="75"/>
      <c r="F868" s="75"/>
      <c r="G868" s="75"/>
      <c r="H868" s="75"/>
      <c r="I868" s="2"/>
      <c r="J868" s="83"/>
      <c r="K868" s="83"/>
      <c r="L868" s="83"/>
      <c r="M868" s="83"/>
      <c r="N868" s="83"/>
      <c r="O868" s="2"/>
      <c r="P868" s="75" t="n">
        <v>865</v>
      </c>
      <c r="Q868" s="146" t="n">
        <v>19427.615532251</v>
      </c>
      <c r="R868" s="146" t="n">
        <v>0.274679517321655</v>
      </c>
      <c r="S868" s="146" t="n">
        <v>0.0760289954818364</v>
      </c>
      <c r="T868" s="146" t="n">
        <v>0.0265807164280461</v>
      </c>
      <c r="U868" s="29"/>
      <c r="V868" s="29"/>
      <c r="W868" s="29"/>
      <c r="X868" s="29"/>
      <c r="Y868" s="29"/>
      <c r="Z868" s="75"/>
    </row>
    <row r="869" customFormat="false" ht="12.75" hidden="false" customHeight="true" outlineLevel="0" collapsed="false">
      <c r="A869" s="2"/>
      <c r="B869" s="2"/>
      <c r="C869" s="75"/>
      <c r="D869" s="75"/>
      <c r="E869" s="75"/>
      <c r="F869" s="75"/>
      <c r="G869" s="75"/>
      <c r="H869" s="75"/>
      <c r="I869" s="2"/>
      <c r="J869" s="83"/>
      <c r="K869" s="83"/>
      <c r="L869" s="83"/>
      <c r="M869" s="83"/>
      <c r="N869" s="83"/>
      <c r="O869" s="2"/>
      <c r="P869" s="75" t="n">
        <v>866</v>
      </c>
      <c r="Q869" s="146" t="n">
        <v>19450.401086985</v>
      </c>
      <c r="R869" s="146" t="n">
        <v>0.273845891637642</v>
      </c>
      <c r="S869" s="146" t="n">
        <v>0.077299755308923</v>
      </c>
      <c r="T869" s="146" t="n">
        <v>0.0273325742853319</v>
      </c>
      <c r="U869" s="29"/>
      <c r="V869" s="29"/>
      <c r="W869" s="29"/>
      <c r="X869" s="29"/>
      <c r="Y869" s="29"/>
      <c r="Z869" s="75"/>
    </row>
    <row r="870" customFormat="false" ht="12.75" hidden="false" customHeight="true" outlineLevel="0" collapsed="false">
      <c r="A870" s="2"/>
      <c r="B870" s="2"/>
      <c r="C870" s="75"/>
      <c r="D870" s="75"/>
      <c r="E870" s="75"/>
      <c r="F870" s="75"/>
      <c r="G870" s="75"/>
      <c r="H870" s="75"/>
      <c r="I870" s="2"/>
      <c r="J870" s="83"/>
      <c r="K870" s="83"/>
      <c r="L870" s="83"/>
      <c r="M870" s="83"/>
      <c r="N870" s="83"/>
      <c r="O870" s="2"/>
      <c r="P870" s="75" t="n">
        <v>867</v>
      </c>
      <c r="Q870" s="146" t="n">
        <v>19473.058209735</v>
      </c>
      <c r="R870" s="146" t="n">
        <v>0.272952606560625</v>
      </c>
      <c r="S870" s="146" t="n">
        <v>0.077850199926472</v>
      </c>
      <c r="T870" s="146" t="n">
        <v>0.0283466280343701</v>
      </c>
      <c r="U870" s="29"/>
      <c r="V870" s="29"/>
      <c r="W870" s="29"/>
      <c r="X870" s="29"/>
      <c r="Y870" s="29"/>
      <c r="Z870" s="75"/>
    </row>
    <row r="871" customFormat="false" ht="12.75" hidden="false" customHeight="true" outlineLevel="0" collapsed="false">
      <c r="A871" s="2"/>
      <c r="B871" s="2"/>
      <c r="C871" s="75"/>
      <c r="D871" s="75"/>
      <c r="E871" s="75"/>
      <c r="F871" s="75"/>
      <c r="G871" s="75"/>
      <c r="H871" s="75"/>
      <c r="I871" s="2"/>
      <c r="J871" s="83"/>
      <c r="K871" s="83"/>
      <c r="L871" s="83"/>
      <c r="M871" s="83"/>
      <c r="N871" s="83"/>
      <c r="O871" s="2"/>
      <c r="P871" s="75" t="n">
        <v>868</v>
      </c>
      <c r="Q871" s="146" t="n">
        <v>19495.623052085</v>
      </c>
      <c r="R871" s="146" t="n">
        <v>0.27210491995871</v>
      </c>
      <c r="S871" s="146" t="n">
        <v>0.0783990730163437</v>
      </c>
      <c r="T871" s="146" t="n">
        <v>0.0293866004196926</v>
      </c>
      <c r="U871" s="29"/>
      <c r="V871" s="29"/>
      <c r="W871" s="29"/>
      <c r="X871" s="29"/>
      <c r="Y871" s="29"/>
      <c r="Z871" s="75"/>
    </row>
    <row r="872" customFormat="false" ht="12.75" hidden="false" customHeight="true" outlineLevel="0" collapsed="false">
      <c r="A872" s="2"/>
      <c r="B872" s="2"/>
      <c r="C872" s="75"/>
      <c r="D872" s="75"/>
      <c r="E872" s="75"/>
      <c r="F872" s="75"/>
      <c r="G872" s="75"/>
      <c r="H872" s="75"/>
      <c r="I872" s="2"/>
      <c r="J872" s="83"/>
      <c r="K872" s="83"/>
      <c r="L872" s="83"/>
      <c r="M872" s="83"/>
      <c r="N872" s="83"/>
      <c r="O872" s="2"/>
      <c r="P872" s="75" t="n">
        <v>869</v>
      </c>
      <c r="Q872" s="146" t="n">
        <v>19518.22946734</v>
      </c>
      <c r="R872" s="146" t="n">
        <v>0.271428942394425</v>
      </c>
      <c r="S872" s="146" t="n">
        <v>0.0790063920940855</v>
      </c>
      <c r="T872" s="146" t="n">
        <v>0.0300397133108996</v>
      </c>
      <c r="U872" s="29"/>
      <c r="V872" s="29"/>
      <c r="W872" s="29"/>
      <c r="X872" s="29"/>
      <c r="Y872" s="29"/>
      <c r="Z872" s="75"/>
    </row>
    <row r="873" customFormat="false" ht="12.75" hidden="false" customHeight="true" outlineLevel="0" collapsed="false">
      <c r="A873" s="2"/>
      <c r="B873" s="2"/>
      <c r="C873" s="75"/>
      <c r="D873" s="75"/>
      <c r="E873" s="75"/>
      <c r="F873" s="75"/>
      <c r="G873" s="75"/>
      <c r="H873" s="75"/>
      <c r="I873" s="2"/>
      <c r="J873" s="83"/>
      <c r="K873" s="83"/>
      <c r="L873" s="83"/>
      <c r="M873" s="83"/>
      <c r="N873" s="83"/>
      <c r="O873" s="2"/>
      <c r="P873" s="75" t="n">
        <v>870</v>
      </c>
      <c r="Q873" s="146" t="n">
        <v>19540.59425991</v>
      </c>
      <c r="R873" s="146" t="n">
        <v>0.270951439116044</v>
      </c>
      <c r="S873" s="146" t="n">
        <v>0.0798045346872623</v>
      </c>
      <c r="T873" s="146" t="n">
        <v>0.0307378946738909</v>
      </c>
      <c r="U873" s="29"/>
      <c r="V873" s="29"/>
      <c r="W873" s="29"/>
      <c r="X873" s="29"/>
      <c r="Y873" s="29"/>
      <c r="Z873" s="75"/>
    </row>
    <row r="874" customFormat="false" ht="12.75" hidden="false" customHeight="true" outlineLevel="0" collapsed="false">
      <c r="A874" s="2"/>
      <c r="B874" s="2"/>
      <c r="C874" s="75"/>
      <c r="D874" s="75"/>
      <c r="E874" s="75"/>
      <c r="F874" s="75"/>
      <c r="G874" s="75"/>
      <c r="H874" s="75"/>
      <c r="I874" s="2"/>
      <c r="J874" s="83"/>
      <c r="K874" s="83"/>
      <c r="L874" s="83"/>
      <c r="M874" s="83"/>
      <c r="N874" s="83"/>
      <c r="O874" s="2"/>
      <c r="P874" s="75" t="n">
        <v>871</v>
      </c>
      <c r="Q874" s="146" t="n">
        <v>19563.095789278</v>
      </c>
      <c r="R874" s="146" t="n">
        <v>0.270510571474831</v>
      </c>
      <c r="S874" s="146" t="n">
        <v>0.0815656328973202</v>
      </c>
      <c r="T874" s="146" t="n">
        <v>0.030543705653449</v>
      </c>
      <c r="U874" s="29"/>
      <c r="V874" s="29"/>
      <c r="W874" s="29"/>
      <c r="X874" s="29"/>
      <c r="Y874" s="29"/>
      <c r="Z874" s="75"/>
    </row>
    <row r="875" customFormat="false" ht="12.75" hidden="false" customHeight="true" outlineLevel="0" collapsed="false">
      <c r="A875" s="2"/>
      <c r="B875" s="2"/>
      <c r="C875" s="75"/>
      <c r="D875" s="75"/>
      <c r="E875" s="75"/>
      <c r="F875" s="75"/>
      <c r="G875" s="75"/>
      <c r="H875" s="75"/>
      <c r="I875" s="2"/>
      <c r="J875" s="83"/>
      <c r="K875" s="83"/>
      <c r="L875" s="83"/>
      <c r="M875" s="83"/>
      <c r="N875" s="83"/>
      <c r="O875" s="2"/>
      <c r="P875" s="75" t="n">
        <v>872</v>
      </c>
      <c r="Q875" s="146" t="n">
        <v>19586.09656338</v>
      </c>
      <c r="R875" s="146" t="n">
        <v>0.270024061734854</v>
      </c>
      <c r="S875" s="146" t="n">
        <v>0.08365188056845</v>
      </c>
      <c r="T875" s="146" t="n">
        <v>0.02966460206642</v>
      </c>
      <c r="U875" s="29"/>
      <c r="V875" s="29"/>
      <c r="W875" s="29"/>
      <c r="X875" s="29"/>
      <c r="Y875" s="29"/>
      <c r="Z875" s="75"/>
    </row>
    <row r="876" customFormat="false" ht="12.75" hidden="false" customHeight="true" outlineLevel="0" collapsed="false">
      <c r="A876" s="2"/>
      <c r="B876" s="2"/>
      <c r="C876" s="75"/>
      <c r="D876" s="75"/>
      <c r="E876" s="75"/>
      <c r="F876" s="75"/>
      <c r="G876" s="75"/>
      <c r="H876" s="75"/>
      <c r="I876" s="2"/>
      <c r="J876" s="83"/>
      <c r="K876" s="83"/>
      <c r="L876" s="83"/>
      <c r="M876" s="83"/>
      <c r="N876" s="83"/>
      <c r="O876" s="2"/>
      <c r="P876" s="75" t="n">
        <v>873</v>
      </c>
      <c r="Q876" s="146" t="n">
        <v>19608.653498735</v>
      </c>
      <c r="R876" s="146" t="n">
        <v>0.269682853599988</v>
      </c>
      <c r="S876" s="146" t="n">
        <v>0.0866929263164258</v>
      </c>
      <c r="T876" s="146" t="n">
        <v>0.0280099514761669</v>
      </c>
      <c r="U876" s="29"/>
      <c r="V876" s="29"/>
      <c r="W876" s="29"/>
      <c r="X876" s="29"/>
      <c r="Y876" s="29"/>
      <c r="Z876" s="75"/>
    </row>
    <row r="877" customFormat="false" ht="12.75" hidden="false" customHeight="true" outlineLevel="0" collapsed="false">
      <c r="A877" s="2"/>
      <c r="B877" s="2"/>
      <c r="C877" s="75"/>
      <c r="D877" s="75"/>
      <c r="E877" s="75"/>
      <c r="F877" s="75"/>
      <c r="G877" s="75"/>
      <c r="H877" s="75"/>
      <c r="I877" s="2"/>
      <c r="J877" s="83"/>
      <c r="K877" s="83"/>
      <c r="L877" s="83"/>
      <c r="M877" s="83"/>
      <c r="N877" s="83"/>
      <c r="O877" s="2"/>
      <c r="P877" s="75" t="n">
        <v>874</v>
      </c>
      <c r="Q877" s="146" t="n">
        <v>19630.952267961</v>
      </c>
      <c r="R877" s="146" t="n">
        <v>0.269539935692978</v>
      </c>
      <c r="S877" s="146" t="n">
        <v>0.0903545536831222</v>
      </c>
      <c r="T877" s="146" t="n">
        <v>0.0260929686525648</v>
      </c>
      <c r="U877" s="29"/>
      <c r="V877" s="29"/>
      <c r="W877" s="29"/>
      <c r="X877" s="29"/>
      <c r="Y877" s="29"/>
      <c r="Z877" s="75"/>
    </row>
    <row r="878" customFormat="false" ht="12.75" hidden="false" customHeight="true" outlineLevel="0" collapsed="false">
      <c r="A878" s="2"/>
      <c r="B878" s="2"/>
      <c r="C878" s="75"/>
      <c r="D878" s="75"/>
      <c r="E878" s="75"/>
      <c r="F878" s="75"/>
      <c r="G878" s="75"/>
      <c r="H878" s="75"/>
      <c r="I878" s="2"/>
      <c r="J878" s="83"/>
      <c r="K878" s="83"/>
      <c r="L878" s="83"/>
      <c r="M878" s="83"/>
      <c r="N878" s="83"/>
      <c r="O878" s="2"/>
      <c r="P878" s="75" t="n">
        <v>875</v>
      </c>
      <c r="Q878" s="146" t="n">
        <v>19653.607865517</v>
      </c>
      <c r="R878" s="146" t="n">
        <v>0.269772860002482</v>
      </c>
      <c r="S878" s="146" t="n">
        <v>0.0927955555712946</v>
      </c>
      <c r="T878" s="146" t="n">
        <v>0.0242362570986228</v>
      </c>
      <c r="U878" s="29"/>
      <c r="V878" s="29"/>
      <c r="W878" s="29"/>
      <c r="X878" s="29"/>
      <c r="Y878" s="29"/>
      <c r="Z878" s="75"/>
    </row>
    <row r="879" customFormat="false" ht="12.75" hidden="false" customHeight="true" outlineLevel="0" collapsed="false">
      <c r="A879" s="2"/>
      <c r="B879" s="2"/>
      <c r="C879" s="75"/>
      <c r="D879" s="75"/>
      <c r="E879" s="75"/>
      <c r="F879" s="75"/>
      <c r="G879" s="75"/>
      <c r="H879" s="75"/>
      <c r="I879" s="2"/>
      <c r="J879" s="83"/>
      <c r="K879" s="83"/>
      <c r="L879" s="83"/>
      <c r="M879" s="83"/>
      <c r="N879" s="83"/>
      <c r="O879" s="2"/>
      <c r="P879" s="75" t="n">
        <v>876</v>
      </c>
      <c r="Q879" s="146" t="n">
        <v>19676.167200942</v>
      </c>
      <c r="R879" s="146" t="n">
        <v>0.270316835635023</v>
      </c>
      <c r="S879" s="146" t="n">
        <v>0.0934419576485849</v>
      </c>
      <c r="T879" s="146" t="n">
        <v>0.0226962045363531</v>
      </c>
      <c r="U879" s="29"/>
      <c r="V879" s="29"/>
      <c r="W879" s="29"/>
      <c r="X879" s="29"/>
      <c r="Y879" s="29"/>
      <c r="Z879" s="75"/>
    </row>
    <row r="880" customFormat="false" ht="12.75" hidden="false" customHeight="true" outlineLevel="0" collapsed="false">
      <c r="A880" s="2"/>
      <c r="B880" s="2"/>
      <c r="C880" s="75"/>
      <c r="D880" s="75"/>
      <c r="E880" s="75"/>
      <c r="F880" s="75"/>
      <c r="G880" s="75"/>
      <c r="H880" s="75"/>
      <c r="I880" s="2"/>
      <c r="J880" s="83"/>
      <c r="K880" s="83"/>
      <c r="L880" s="83"/>
      <c r="M880" s="83"/>
      <c r="N880" s="83"/>
      <c r="O880" s="2"/>
      <c r="P880" s="75" t="n">
        <v>877</v>
      </c>
      <c r="Q880" s="146" t="n">
        <v>19698.740144468</v>
      </c>
      <c r="R880" s="146" t="n">
        <v>0.271252209723386</v>
      </c>
      <c r="S880" s="146" t="n">
        <v>0.0910518161578191</v>
      </c>
      <c r="T880" s="146" t="n">
        <v>0.02187706046806</v>
      </c>
      <c r="U880" s="29"/>
      <c r="V880" s="29"/>
      <c r="W880" s="29"/>
      <c r="X880" s="29"/>
      <c r="Y880" s="29"/>
      <c r="Z880" s="75"/>
    </row>
    <row r="881" customFormat="false" ht="12.75" hidden="false" customHeight="true" outlineLevel="0" collapsed="false">
      <c r="A881" s="2"/>
      <c r="B881" s="2"/>
      <c r="C881" s="75"/>
      <c r="D881" s="75"/>
      <c r="E881" s="75"/>
      <c r="F881" s="75"/>
      <c r="G881" s="75"/>
      <c r="H881" s="75"/>
      <c r="I881" s="2"/>
      <c r="J881" s="83"/>
      <c r="K881" s="83"/>
      <c r="L881" s="83"/>
      <c r="M881" s="83"/>
      <c r="N881" s="83"/>
      <c r="O881" s="2"/>
      <c r="P881" s="75" t="n">
        <v>878</v>
      </c>
      <c r="Q881" s="146" t="n">
        <v>19721.66432692</v>
      </c>
      <c r="R881" s="146" t="n">
        <v>0.272093931273819</v>
      </c>
      <c r="S881" s="146" t="n">
        <v>0.0854344358958427</v>
      </c>
      <c r="T881" s="146" t="n">
        <v>0.0220243401914249</v>
      </c>
      <c r="U881" s="29"/>
      <c r="V881" s="29"/>
      <c r="W881" s="29"/>
      <c r="X881" s="29"/>
      <c r="Y881" s="29"/>
      <c r="Z881" s="75"/>
    </row>
    <row r="882" customFormat="false" ht="12.75" hidden="false" customHeight="true" outlineLevel="0" collapsed="false">
      <c r="A882" s="2"/>
      <c r="B882" s="2"/>
      <c r="C882" s="75"/>
      <c r="D882" s="75"/>
      <c r="E882" s="75"/>
      <c r="F882" s="75"/>
      <c r="G882" s="75"/>
      <c r="H882" s="75"/>
      <c r="I882" s="2"/>
      <c r="J882" s="83"/>
      <c r="K882" s="83"/>
      <c r="L882" s="83"/>
      <c r="M882" s="83"/>
      <c r="N882" s="83"/>
      <c r="O882" s="2"/>
      <c r="P882" s="75" t="n">
        <v>879</v>
      </c>
      <c r="Q882" s="146" t="n">
        <v>19744.607929394</v>
      </c>
      <c r="R882" s="146" t="n">
        <v>0.272536297170761</v>
      </c>
      <c r="S882" s="146" t="n">
        <v>0.0792733110523129</v>
      </c>
      <c r="T882" s="146" t="n">
        <v>0.0223985720379238</v>
      </c>
      <c r="U882" s="29"/>
      <c r="V882" s="29"/>
      <c r="W882" s="29"/>
      <c r="X882" s="29"/>
      <c r="Y882" s="29"/>
      <c r="Z882" s="75"/>
    </row>
    <row r="883" customFormat="false" ht="12.75" hidden="false" customHeight="true" outlineLevel="0" collapsed="false">
      <c r="A883" s="2"/>
      <c r="B883" s="2"/>
      <c r="C883" s="75"/>
      <c r="D883" s="75"/>
      <c r="E883" s="75"/>
      <c r="F883" s="75"/>
      <c r="G883" s="75"/>
      <c r="H883" s="75"/>
      <c r="I883" s="2"/>
      <c r="J883" s="83"/>
      <c r="K883" s="83"/>
      <c r="L883" s="83"/>
      <c r="M883" s="83"/>
      <c r="N883" s="83"/>
      <c r="O883" s="2"/>
      <c r="P883" s="75" t="n">
        <v>880</v>
      </c>
      <c r="Q883" s="146" t="n">
        <v>19766.722257955</v>
      </c>
      <c r="R883" s="146" t="n">
        <v>0.272767309642282</v>
      </c>
      <c r="S883" s="146" t="n">
        <v>0.076341627090236</v>
      </c>
      <c r="T883" s="146" t="n">
        <v>0.0226219902577962</v>
      </c>
      <c r="U883" s="29"/>
      <c r="V883" s="29"/>
      <c r="W883" s="29"/>
      <c r="X883" s="29"/>
      <c r="Y883" s="29"/>
      <c r="Z883" s="75"/>
    </row>
    <row r="884" customFormat="false" ht="12.75" hidden="false" customHeight="true" outlineLevel="0" collapsed="false">
      <c r="A884" s="2"/>
      <c r="B884" s="2"/>
      <c r="C884" s="75"/>
      <c r="D884" s="75"/>
      <c r="E884" s="75"/>
      <c r="F884" s="75"/>
      <c r="G884" s="75"/>
      <c r="H884" s="75"/>
      <c r="I884" s="2"/>
      <c r="J884" s="83"/>
      <c r="K884" s="83"/>
      <c r="L884" s="83"/>
      <c r="M884" s="83"/>
      <c r="N884" s="83"/>
      <c r="O884" s="2"/>
      <c r="P884" s="75" t="n">
        <v>881</v>
      </c>
      <c r="Q884" s="146" t="n">
        <v>19789.113264978</v>
      </c>
      <c r="R884" s="146" t="n">
        <v>0.272545700218155</v>
      </c>
      <c r="S884" s="146" t="n">
        <v>0.0742536584422591</v>
      </c>
      <c r="T884" s="146" t="n">
        <v>0.0245428918877373</v>
      </c>
      <c r="U884" s="29"/>
      <c r="V884" s="29"/>
      <c r="W884" s="29"/>
      <c r="X884" s="29"/>
      <c r="Y884" s="29"/>
      <c r="Z884" s="75"/>
    </row>
    <row r="885" customFormat="false" ht="12.75" hidden="false" customHeight="true" outlineLevel="0" collapsed="false">
      <c r="A885" s="2"/>
      <c r="B885" s="2"/>
      <c r="C885" s="75"/>
      <c r="D885" s="75"/>
      <c r="E885" s="75"/>
      <c r="F885" s="75"/>
      <c r="G885" s="75"/>
      <c r="H885" s="75"/>
      <c r="I885" s="2"/>
      <c r="J885" s="83"/>
      <c r="K885" s="83"/>
      <c r="L885" s="83"/>
      <c r="M885" s="83"/>
      <c r="N885" s="83"/>
      <c r="O885" s="2"/>
      <c r="P885" s="75" t="n">
        <v>882</v>
      </c>
      <c r="Q885" s="146" t="n">
        <v>19811.443470898</v>
      </c>
      <c r="R885" s="146" t="n">
        <v>0.272295163460686</v>
      </c>
      <c r="S885" s="146" t="n">
        <v>0.072792268039269</v>
      </c>
      <c r="T885" s="146" t="n">
        <v>0.0264577292171784</v>
      </c>
      <c r="U885" s="29"/>
      <c r="V885" s="29"/>
      <c r="W885" s="29"/>
      <c r="X885" s="29"/>
      <c r="Y885" s="29"/>
      <c r="Z885" s="75"/>
    </row>
    <row r="886" customFormat="false" ht="12.75" hidden="false" customHeight="true" outlineLevel="0" collapsed="false">
      <c r="A886" s="2"/>
      <c r="B886" s="2"/>
      <c r="C886" s="75"/>
      <c r="D886" s="75"/>
      <c r="E886" s="75"/>
      <c r="F886" s="75"/>
      <c r="G886" s="75"/>
      <c r="H886" s="75"/>
      <c r="I886" s="2"/>
      <c r="J886" s="83"/>
      <c r="K886" s="83"/>
      <c r="L886" s="83"/>
      <c r="M886" s="83"/>
      <c r="N886" s="83"/>
      <c r="O886" s="2"/>
      <c r="P886" s="75" t="n">
        <v>883</v>
      </c>
      <c r="Q886" s="146" t="n">
        <v>19834.159242181</v>
      </c>
      <c r="R886" s="146" t="n">
        <v>0.271611705396221</v>
      </c>
      <c r="S886" s="146" t="n">
        <v>0.0722581145082391</v>
      </c>
      <c r="T886" s="146" t="n">
        <v>0.0274033118441649</v>
      </c>
      <c r="U886" s="29"/>
      <c r="V886" s="29"/>
      <c r="W886" s="29"/>
      <c r="X886" s="29"/>
      <c r="Y886" s="29"/>
      <c r="Z886" s="75"/>
    </row>
    <row r="887" customFormat="false" ht="12.75" hidden="false" customHeight="true" outlineLevel="0" collapsed="false">
      <c r="A887" s="2"/>
      <c r="B887" s="2"/>
      <c r="C887" s="75"/>
      <c r="D887" s="75"/>
      <c r="E887" s="75"/>
      <c r="F887" s="75"/>
      <c r="G887" s="75"/>
      <c r="H887" s="75"/>
      <c r="I887" s="2"/>
      <c r="J887" s="83"/>
      <c r="K887" s="83"/>
      <c r="L887" s="83"/>
      <c r="M887" s="83"/>
      <c r="N887" s="83"/>
      <c r="O887" s="2"/>
      <c r="P887" s="75" t="n">
        <v>884</v>
      </c>
      <c r="Q887" s="146" t="n">
        <v>19856.570681613</v>
      </c>
      <c r="R887" s="146" t="n">
        <v>0.270528167302706</v>
      </c>
      <c r="S887" s="146" t="n">
        <v>0.0728481700987926</v>
      </c>
      <c r="T887" s="146" t="n">
        <v>0.0279337814700879</v>
      </c>
      <c r="U887" s="29"/>
      <c r="V887" s="29"/>
      <c r="W887" s="29"/>
      <c r="X887" s="29"/>
      <c r="Y887" s="29"/>
      <c r="Z887" s="75"/>
    </row>
    <row r="888" customFormat="false" ht="12.75" hidden="false" customHeight="true" outlineLevel="0" collapsed="false">
      <c r="A888" s="2"/>
      <c r="B888" s="2"/>
      <c r="C888" s="75"/>
      <c r="D888" s="75"/>
      <c r="E888" s="75"/>
      <c r="F888" s="75"/>
      <c r="G888" s="75"/>
      <c r="H888" s="75"/>
      <c r="I888" s="2"/>
      <c r="J888" s="83"/>
      <c r="K888" s="83"/>
      <c r="L888" s="83"/>
      <c r="M888" s="83"/>
      <c r="N888" s="83"/>
      <c r="O888" s="2"/>
      <c r="P888" s="75" t="n">
        <v>885</v>
      </c>
      <c r="Q888" s="146" t="n">
        <v>19879.370877535</v>
      </c>
      <c r="R888" s="146" t="n">
        <v>0.269482088566498</v>
      </c>
      <c r="S888" s="146" t="n">
        <v>0.0744470688398825</v>
      </c>
      <c r="T888" s="146" t="n">
        <v>0.0289003998650096</v>
      </c>
      <c r="U888" s="29"/>
      <c r="V888" s="29"/>
      <c r="W888" s="29"/>
      <c r="X888" s="29"/>
      <c r="Y888" s="29"/>
      <c r="Z888" s="75"/>
    </row>
    <row r="889" customFormat="false" ht="12.75" hidden="false" customHeight="true" outlineLevel="0" collapsed="false">
      <c r="A889" s="2"/>
      <c r="B889" s="2"/>
      <c r="C889" s="75"/>
      <c r="D889" s="75"/>
      <c r="E889" s="75"/>
      <c r="F889" s="75"/>
      <c r="G889" s="75"/>
      <c r="H889" s="75"/>
      <c r="I889" s="2"/>
      <c r="J889" s="83"/>
      <c r="K889" s="83"/>
      <c r="L889" s="83"/>
      <c r="M889" s="83"/>
      <c r="N889" s="83"/>
      <c r="O889" s="2"/>
      <c r="P889" s="75" t="n">
        <v>886</v>
      </c>
      <c r="Q889" s="146" t="n">
        <v>19902.196346544</v>
      </c>
      <c r="R889" s="146" t="n">
        <v>0.26814004462491</v>
      </c>
      <c r="S889" s="146" t="n">
        <v>0.0756343780028148</v>
      </c>
      <c r="T889" s="146" t="n">
        <v>0.0299659916072547</v>
      </c>
      <c r="U889" s="29"/>
      <c r="V889" s="29"/>
      <c r="W889" s="29"/>
      <c r="X889" s="29"/>
      <c r="Y889" s="29"/>
      <c r="Z889" s="75"/>
    </row>
    <row r="890" customFormat="false" ht="12.75" hidden="false" customHeight="true" outlineLevel="0" collapsed="false">
      <c r="A890" s="2"/>
      <c r="B890" s="2"/>
      <c r="C890" s="75"/>
      <c r="D890" s="75"/>
      <c r="E890" s="75"/>
      <c r="F890" s="75"/>
      <c r="G890" s="75"/>
      <c r="H890" s="75"/>
      <c r="I890" s="2"/>
      <c r="J890" s="83"/>
      <c r="K890" s="83"/>
      <c r="L890" s="83"/>
      <c r="M890" s="83"/>
      <c r="N890" s="83"/>
      <c r="O890" s="2"/>
      <c r="P890" s="75" t="n">
        <v>887</v>
      </c>
      <c r="Q890" s="146" t="n">
        <v>19924.924748124</v>
      </c>
      <c r="R890" s="146" t="n">
        <v>0.266819440855084</v>
      </c>
      <c r="S890" s="146" t="n">
        <v>0.0758055052515166</v>
      </c>
      <c r="T890" s="146" t="n">
        <v>0.0311837248211016</v>
      </c>
      <c r="U890" s="29"/>
      <c r="V890" s="29"/>
      <c r="W890" s="29"/>
      <c r="X890" s="29"/>
      <c r="Y890" s="29"/>
      <c r="Z890" s="75"/>
    </row>
    <row r="891" customFormat="false" ht="12.75" hidden="false" customHeight="true" outlineLevel="0" collapsed="false">
      <c r="A891" s="2"/>
      <c r="B891" s="2"/>
      <c r="C891" s="75"/>
      <c r="D891" s="75"/>
      <c r="E891" s="75"/>
      <c r="F891" s="75"/>
      <c r="G891" s="75"/>
      <c r="H891" s="75"/>
      <c r="I891" s="2"/>
      <c r="J891" s="83"/>
      <c r="K891" s="83"/>
      <c r="L891" s="83"/>
      <c r="M891" s="83"/>
      <c r="N891" s="83"/>
      <c r="O891" s="2"/>
      <c r="P891" s="75" t="n">
        <v>888</v>
      </c>
      <c r="Q891" s="146" t="n">
        <v>19947.474714036</v>
      </c>
      <c r="R891" s="146" t="n">
        <v>0.265674714469328</v>
      </c>
      <c r="S891" s="146" t="n">
        <v>0.0754075859948816</v>
      </c>
      <c r="T891" s="146" t="n">
        <v>0.0325928731524496</v>
      </c>
      <c r="U891" s="29"/>
      <c r="V891" s="29"/>
      <c r="W891" s="29"/>
      <c r="X891" s="29"/>
      <c r="Y891" s="29"/>
      <c r="Z891" s="75"/>
    </row>
    <row r="892" customFormat="false" ht="12.75" hidden="false" customHeight="true" outlineLevel="0" collapsed="false">
      <c r="A892" s="2"/>
      <c r="B892" s="2"/>
      <c r="C892" s="75"/>
      <c r="D892" s="75"/>
      <c r="E892" s="75"/>
      <c r="F892" s="75"/>
      <c r="G892" s="75"/>
      <c r="H892" s="75"/>
      <c r="I892" s="2"/>
      <c r="J892" s="83"/>
      <c r="K892" s="83"/>
      <c r="L892" s="83"/>
      <c r="M892" s="83"/>
      <c r="N892" s="83"/>
      <c r="O892" s="2"/>
      <c r="P892" s="75" t="n">
        <v>889</v>
      </c>
      <c r="Q892" s="146" t="n">
        <v>19970.274169562</v>
      </c>
      <c r="R892" s="146" t="n">
        <v>0.264536915941277</v>
      </c>
      <c r="S892" s="146" t="n">
        <v>0.0751277346501199</v>
      </c>
      <c r="T892" s="146" t="n">
        <v>0.0341337235984183</v>
      </c>
      <c r="U892" s="29"/>
      <c r="V892" s="29"/>
      <c r="W892" s="29"/>
      <c r="X892" s="29"/>
      <c r="Y892" s="29"/>
      <c r="Z892" s="75"/>
    </row>
    <row r="893" customFormat="false" ht="12.75" hidden="false" customHeight="true" outlineLevel="0" collapsed="false">
      <c r="A893" s="2"/>
      <c r="B893" s="2"/>
      <c r="C893" s="75"/>
      <c r="D893" s="75"/>
      <c r="E893" s="75"/>
      <c r="F893" s="75"/>
      <c r="G893" s="75"/>
      <c r="H893" s="75"/>
      <c r="I893" s="2"/>
      <c r="J893" s="83"/>
      <c r="K893" s="83"/>
      <c r="L893" s="83"/>
      <c r="M893" s="83"/>
      <c r="N893" s="83"/>
      <c r="O893" s="2"/>
      <c r="P893" s="75" t="n">
        <v>890</v>
      </c>
      <c r="Q893" s="146" t="n">
        <v>19992.832741449</v>
      </c>
      <c r="R893" s="146" t="n">
        <v>0.263886104049413</v>
      </c>
      <c r="S893" s="146" t="n">
        <v>0.0749401678353865</v>
      </c>
      <c r="T893" s="146" t="n">
        <v>0.0357934522038894</v>
      </c>
      <c r="U893" s="29"/>
      <c r="V893" s="29"/>
      <c r="W893" s="29"/>
      <c r="X893" s="29"/>
      <c r="Y893" s="29"/>
      <c r="Z893" s="75"/>
    </row>
    <row r="894" customFormat="false" ht="12.75" hidden="false" customHeight="true" outlineLevel="0" collapsed="false">
      <c r="A894" s="2"/>
      <c r="B894" s="2"/>
      <c r="C894" s="75"/>
      <c r="D894" s="75"/>
      <c r="E894" s="75"/>
      <c r="F894" s="75"/>
      <c r="G894" s="75"/>
      <c r="H894" s="75"/>
      <c r="I894" s="2"/>
      <c r="J894" s="83"/>
      <c r="K894" s="83"/>
      <c r="L894" s="83"/>
      <c r="M894" s="83"/>
      <c r="N894" s="83"/>
      <c r="O894" s="2"/>
      <c r="P894" s="75" t="n">
        <v>891</v>
      </c>
      <c r="Q894" s="146" t="n">
        <v>20015.354222777</v>
      </c>
      <c r="R894" s="146" t="n">
        <v>0.263513992813808</v>
      </c>
      <c r="S894" s="146" t="n">
        <v>0.0751384004266103</v>
      </c>
      <c r="T894" s="146" t="n">
        <v>0.0373145404647516</v>
      </c>
      <c r="U894" s="29"/>
      <c r="V894" s="29"/>
      <c r="W894" s="29"/>
      <c r="X894" s="29"/>
      <c r="Y894" s="29"/>
      <c r="Z894" s="75"/>
    </row>
    <row r="895" customFormat="false" ht="12.75" hidden="false" customHeight="true" outlineLevel="0" collapsed="false">
      <c r="A895" s="2"/>
      <c r="B895" s="2"/>
      <c r="C895" s="75"/>
      <c r="D895" s="75"/>
      <c r="E895" s="75"/>
      <c r="F895" s="75"/>
      <c r="G895" s="75"/>
      <c r="H895" s="75"/>
      <c r="I895" s="2"/>
      <c r="J895" s="83"/>
      <c r="K895" s="83"/>
      <c r="L895" s="83"/>
      <c r="M895" s="83"/>
      <c r="N895" s="83"/>
      <c r="O895" s="2"/>
      <c r="P895" s="75" t="n">
        <v>892</v>
      </c>
      <c r="Q895" s="146" t="n">
        <v>20037.991065908</v>
      </c>
      <c r="R895" s="146" t="n">
        <v>0.263497777984983</v>
      </c>
      <c r="S895" s="146" t="n">
        <v>0.0753279884908879</v>
      </c>
      <c r="T895" s="146" t="n">
        <v>0.0386653262160735</v>
      </c>
      <c r="U895" s="29"/>
      <c r="V895" s="29"/>
      <c r="W895" s="29"/>
      <c r="X895" s="29"/>
      <c r="Y895" s="29"/>
      <c r="Z895" s="75"/>
    </row>
    <row r="896" customFormat="false" ht="12.75" hidden="false" customHeight="true" outlineLevel="0" collapsed="false">
      <c r="A896" s="2"/>
      <c r="B896" s="2"/>
      <c r="C896" s="75"/>
      <c r="D896" s="75"/>
      <c r="E896" s="75"/>
      <c r="F896" s="75"/>
      <c r="G896" s="75"/>
      <c r="H896" s="75"/>
      <c r="I896" s="2"/>
      <c r="J896" s="83"/>
      <c r="K896" s="83"/>
      <c r="L896" s="83"/>
      <c r="M896" s="83"/>
      <c r="N896" s="83"/>
      <c r="O896" s="2"/>
      <c r="P896" s="75" t="n">
        <v>893</v>
      </c>
      <c r="Q896" s="146" t="n">
        <v>20060.544849246</v>
      </c>
      <c r="R896" s="146" t="n">
        <v>0.263823827641015</v>
      </c>
      <c r="S896" s="146" t="n">
        <v>0.0756025983780361</v>
      </c>
      <c r="T896" s="146" t="n">
        <v>0.0397683684991511</v>
      </c>
      <c r="U896" s="29"/>
      <c r="V896" s="29"/>
      <c r="W896" s="29"/>
      <c r="X896" s="29"/>
      <c r="Y896" s="29"/>
      <c r="Z896" s="75"/>
    </row>
    <row r="897" customFormat="false" ht="12.75" hidden="false" customHeight="true" outlineLevel="0" collapsed="false">
      <c r="A897" s="2"/>
      <c r="B897" s="2"/>
      <c r="C897" s="75"/>
      <c r="D897" s="75"/>
      <c r="E897" s="75"/>
      <c r="F897" s="75"/>
      <c r="G897" s="75"/>
      <c r="H897" s="75"/>
      <c r="I897" s="2"/>
      <c r="J897" s="83"/>
      <c r="K897" s="83"/>
      <c r="L897" s="83"/>
      <c r="M897" s="83"/>
      <c r="N897" s="83"/>
      <c r="O897" s="2"/>
      <c r="P897" s="75" t="n">
        <v>894</v>
      </c>
      <c r="Q897" s="146" t="n">
        <v>20083.122116508</v>
      </c>
      <c r="R897" s="146" t="n">
        <v>0.264233473718537</v>
      </c>
      <c r="S897" s="146" t="n">
        <v>0.0757899102263531</v>
      </c>
      <c r="T897" s="146" t="n">
        <v>0.0399285130181441</v>
      </c>
      <c r="U897" s="29"/>
      <c r="V897" s="29"/>
      <c r="W897" s="29"/>
      <c r="X897" s="29"/>
      <c r="Y897" s="29"/>
      <c r="Z897" s="75"/>
    </row>
    <row r="898" customFormat="false" ht="12.75" hidden="false" customHeight="true" outlineLevel="0" collapsed="false">
      <c r="A898" s="2"/>
      <c r="B898" s="2"/>
      <c r="C898" s="75"/>
      <c r="D898" s="75"/>
      <c r="E898" s="75"/>
      <c r="F898" s="75"/>
      <c r="G898" s="75"/>
      <c r="H898" s="75"/>
      <c r="I898" s="2"/>
      <c r="J898" s="83"/>
      <c r="K898" s="83"/>
      <c r="L898" s="83"/>
      <c r="M898" s="83"/>
      <c r="N898" s="83"/>
      <c r="O898" s="2"/>
      <c r="P898" s="75" t="n">
        <v>895</v>
      </c>
      <c r="Q898" s="146" t="n">
        <v>20105.911755923</v>
      </c>
      <c r="R898" s="146" t="n">
        <v>0.264533471463891</v>
      </c>
      <c r="S898" s="146" t="n">
        <v>0.0750589827905758</v>
      </c>
      <c r="T898" s="146" t="n">
        <v>0.0393099476895817</v>
      </c>
      <c r="U898" s="29"/>
      <c r="V898" s="29"/>
      <c r="W898" s="29"/>
      <c r="X898" s="29"/>
      <c r="Y898" s="29"/>
      <c r="Z898" s="75"/>
    </row>
    <row r="899" customFormat="false" ht="12.75" hidden="false" customHeight="true" outlineLevel="0" collapsed="false">
      <c r="A899" s="2"/>
      <c r="B899" s="2"/>
      <c r="C899" s="75"/>
      <c r="D899" s="75"/>
      <c r="E899" s="75"/>
      <c r="F899" s="75"/>
      <c r="G899" s="75"/>
      <c r="H899" s="75"/>
      <c r="I899" s="2"/>
      <c r="J899" s="83"/>
      <c r="K899" s="83"/>
      <c r="L899" s="83"/>
      <c r="M899" s="83"/>
      <c r="N899" s="83"/>
      <c r="O899" s="2"/>
      <c r="P899" s="75" t="n">
        <v>896</v>
      </c>
      <c r="Q899" s="146" t="n">
        <v>20128.235646457</v>
      </c>
      <c r="R899" s="146" t="n">
        <v>0.264886636482476</v>
      </c>
      <c r="S899" s="146" t="n">
        <v>0.0746852376877147</v>
      </c>
      <c r="T899" s="146" t="n">
        <v>0.0383262221318843</v>
      </c>
      <c r="U899" s="29"/>
      <c r="V899" s="29"/>
      <c r="W899" s="29"/>
      <c r="X899" s="29"/>
      <c r="Y899" s="29"/>
      <c r="Z899" s="75"/>
    </row>
    <row r="900" customFormat="false" ht="12.75" hidden="false" customHeight="true" outlineLevel="0" collapsed="false">
      <c r="A900" s="2"/>
      <c r="B900" s="2"/>
      <c r="C900" s="75"/>
      <c r="D900" s="75"/>
      <c r="E900" s="75"/>
      <c r="F900" s="75"/>
      <c r="G900" s="75"/>
      <c r="H900" s="75"/>
      <c r="I900" s="2"/>
      <c r="J900" s="83"/>
      <c r="K900" s="83"/>
      <c r="L900" s="83"/>
      <c r="M900" s="83"/>
      <c r="N900" s="83"/>
      <c r="O900" s="2"/>
      <c r="P900" s="75" t="n">
        <v>897</v>
      </c>
      <c r="Q900" s="146" t="n">
        <v>20151.127515229</v>
      </c>
      <c r="R900" s="146" t="n">
        <v>0.265308899817085</v>
      </c>
      <c r="S900" s="146" t="n">
        <v>0.0753104514220001</v>
      </c>
      <c r="T900" s="146" t="n">
        <v>0.0370614305571924</v>
      </c>
      <c r="U900" s="29"/>
      <c r="V900" s="29"/>
      <c r="W900" s="29"/>
      <c r="X900" s="29"/>
      <c r="Y900" s="29"/>
      <c r="Z900" s="75"/>
    </row>
    <row r="901" customFormat="false" ht="12.75" hidden="false" customHeight="true" outlineLevel="0" collapsed="false">
      <c r="A901" s="2"/>
      <c r="B901" s="2"/>
      <c r="C901" s="75"/>
      <c r="D901" s="75"/>
      <c r="E901" s="75"/>
      <c r="F901" s="75"/>
      <c r="G901" s="75"/>
      <c r="H901" s="75"/>
      <c r="I901" s="2"/>
      <c r="J901" s="83"/>
      <c r="K901" s="83"/>
      <c r="L901" s="83"/>
      <c r="M901" s="83"/>
      <c r="N901" s="83"/>
      <c r="O901" s="2"/>
      <c r="P901" s="75" t="n">
        <v>898</v>
      </c>
      <c r="Q901" s="146" t="n">
        <v>20173.825025046</v>
      </c>
      <c r="R901" s="146" t="n">
        <v>0.265545675234039</v>
      </c>
      <c r="S901" s="146" t="n">
        <v>0.07656635693543</v>
      </c>
      <c r="T901" s="146" t="n">
        <v>0.0352959934896334</v>
      </c>
      <c r="U901" s="29"/>
      <c r="V901" s="29"/>
      <c r="W901" s="29"/>
      <c r="X901" s="29"/>
      <c r="Y901" s="29"/>
      <c r="Z901" s="75"/>
    </row>
    <row r="902" customFormat="false" ht="12.75" hidden="false" customHeight="true" outlineLevel="0" collapsed="false">
      <c r="A902" s="2"/>
      <c r="B902" s="2"/>
      <c r="C902" s="75"/>
      <c r="D902" s="75"/>
      <c r="E902" s="75"/>
      <c r="F902" s="75"/>
      <c r="G902" s="75"/>
      <c r="H902" s="75"/>
      <c r="I902" s="2"/>
      <c r="J902" s="83"/>
      <c r="K902" s="83"/>
      <c r="L902" s="83"/>
      <c r="M902" s="83"/>
      <c r="N902" s="83"/>
      <c r="O902" s="2"/>
      <c r="P902" s="75" t="n">
        <v>899</v>
      </c>
      <c r="Q902" s="146" t="n">
        <v>20196.594782172</v>
      </c>
      <c r="R902" s="146" t="n">
        <v>0.265548662308015</v>
      </c>
      <c r="S902" s="146" t="n">
        <v>0.0781988240026662</v>
      </c>
      <c r="T902" s="146" t="n">
        <v>0.0336969892285167</v>
      </c>
      <c r="U902" s="29"/>
      <c r="V902" s="29"/>
      <c r="W902" s="29"/>
      <c r="X902" s="29"/>
      <c r="Y902" s="29"/>
      <c r="Z902" s="75"/>
    </row>
    <row r="903" customFormat="false" ht="12.75" hidden="false" customHeight="true" outlineLevel="0" collapsed="false">
      <c r="A903" s="2"/>
      <c r="B903" s="2"/>
      <c r="C903" s="75"/>
      <c r="D903" s="75"/>
      <c r="E903" s="75"/>
      <c r="F903" s="75"/>
      <c r="G903" s="75"/>
      <c r="H903" s="75"/>
      <c r="I903" s="2"/>
      <c r="J903" s="83"/>
      <c r="K903" s="83"/>
      <c r="L903" s="83"/>
      <c r="M903" s="83"/>
      <c r="N903" s="83"/>
      <c r="O903" s="2"/>
      <c r="P903" s="75" t="n">
        <v>900</v>
      </c>
      <c r="Q903" s="146" t="n">
        <v>20219.13828248</v>
      </c>
      <c r="R903" s="146" t="n">
        <v>0.265346779839914</v>
      </c>
      <c r="S903" s="146" t="n">
        <v>0.0799457243761993</v>
      </c>
      <c r="T903" s="146" t="n">
        <v>0.0326706137405867</v>
      </c>
      <c r="U903" s="29"/>
      <c r="V903" s="29"/>
      <c r="W903" s="29"/>
      <c r="X903" s="29"/>
      <c r="Y903" s="29"/>
      <c r="Z903" s="75"/>
    </row>
    <row r="904" customFormat="false" ht="12.75" hidden="false" customHeight="true" outlineLevel="0" collapsed="false">
      <c r="A904" s="2"/>
      <c r="B904" s="2"/>
      <c r="C904" s="75"/>
      <c r="D904" s="75"/>
      <c r="E904" s="75"/>
      <c r="F904" s="75"/>
      <c r="G904" s="75"/>
      <c r="H904" s="75"/>
      <c r="I904" s="2"/>
      <c r="J904" s="83"/>
      <c r="K904" s="83"/>
      <c r="L904" s="83"/>
      <c r="M904" s="83"/>
      <c r="N904" s="83"/>
      <c r="O904" s="2"/>
      <c r="P904" s="75" t="n">
        <v>901</v>
      </c>
      <c r="Q904" s="146" t="n">
        <v>20242.2165797</v>
      </c>
      <c r="R904" s="146" t="n">
        <v>0.264817704541219</v>
      </c>
      <c r="S904" s="146" t="n">
        <v>0.0810155849632595</v>
      </c>
      <c r="T904" s="146" t="n">
        <v>0.0324640918054774</v>
      </c>
      <c r="U904" s="29"/>
      <c r="V904" s="29"/>
      <c r="W904" s="29"/>
      <c r="X904" s="29"/>
      <c r="Y904" s="29"/>
      <c r="Z904" s="75"/>
    </row>
    <row r="905" customFormat="false" ht="12.75" hidden="false" customHeight="true" outlineLevel="0" collapsed="false">
      <c r="A905" s="2"/>
      <c r="B905" s="2"/>
      <c r="C905" s="75"/>
      <c r="D905" s="75"/>
      <c r="E905" s="75"/>
      <c r="F905" s="75"/>
      <c r="G905" s="75"/>
      <c r="H905" s="75"/>
      <c r="I905" s="2"/>
      <c r="J905" s="83"/>
      <c r="K905" s="83"/>
      <c r="L905" s="83"/>
      <c r="M905" s="83"/>
      <c r="N905" s="83"/>
      <c r="O905" s="2"/>
      <c r="P905" s="75" t="n">
        <v>902</v>
      </c>
      <c r="Q905" s="146" t="n">
        <v>20264.784126261</v>
      </c>
      <c r="R905" s="146" t="n">
        <v>0.264246109497025</v>
      </c>
      <c r="S905" s="146" t="n">
        <v>0.0815569192559541</v>
      </c>
      <c r="T905" s="146" t="n">
        <v>0.0327804173517216</v>
      </c>
      <c r="U905" s="29"/>
      <c r="V905" s="29"/>
      <c r="W905" s="29"/>
      <c r="X905" s="29"/>
      <c r="Y905" s="29"/>
      <c r="Z905" s="75"/>
    </row>
    <row r="906" customFormat="false" ht="12.75" hidden="false" customHeight="true" outlineLevel="0" collapsed="false">
      <c r="A906" s="2"/>
      <c r="B906" s="2"/>
      <c r="C906" s="75"/>
      <c r="D906" s="75"/>
      <c r="E906" s="75"/>
      <c r="F906" s="75"/>
      <c r="G906" s="75"/>
      <c r="H906" s="75"/>
      <c r="I906" s="2"/>
      <c r="J906" s="83"/>
      <c r="K906" s="83"/>
      <c r="L906" s="83"/>
      <c r="M906" s="83"/>
      <c r="N906" s="83"/>
      <c r="O906" s="2"/>
      <c r="P906" s="75" t="n">
        <v>903</v>
      </c>
      <c r="Q906" s="146" t="n">
        <v>20287.680468626</v>
      </c>
      <c r="R906" s="146" t="n">
        <v>0.263398764922416</v>
      </c>
      <c r="S906" s="146" t="n">
        <v>0.0811390486037102</v>
      </c>
      <c r="T906" s="146" t="n">
        <v>0.0333026614726637</v>
      </c>
      <c r="U906" s="29"/>
      <c r="V906" s="29"/>
      <c r="W906" s="29"/>
      <c r="X906" s="29"/>
      <c r="Y906" s="29"/>
      <c r="Z906" s="75"/>
    </row>
    <row r="907" customFormat="false" ht="12.75" hidden="false" customHeight="true" outlineLevel="0" collapsed="false">
      <c r="A907" s="2"/>
      <c r="B907" s="2"/>
      <c r="C907" s="75"/>
      <c r="D907" s="75"/>
      <c r="E907" s="75"/>
      <c r="F907" s="75"/>
      <c r="G907" s="75"/>
      <c r="H907" s="75"/>
      <c r="I907" s="2"/>
      <c r="J907" s="83"/>
      <c r="K907" s="83"/>
      <c r="L907" s="83"/>
      <c r="M907" s="83"/>
      <c r="N907" s="83"/>
      <c r="O907" s="2"/>
      <c r="P907" s="75" t="n">
        <v>904</v>
      </c>
      <c r="Q907" s="146" t="n">
        <v>20310.126159819</v>
      </c>
      <c r="R907" s="146" t="n">
        <v>0.262483492599948</v>
      </c>
      <c r="S907" s="146" t="n">
        <v>0.0807195349025335</v>
      </c>
      <c r="T907" s="146" t="n">
        <v>0.0339793332552715</v>
      </c>
      <c r="U907" s="29"/>
      <c r="V907" s="29"/>
      <c r="W907" s="29"/>
      <c r="X907" s="29"/>
      <c r="Y907" s="29"/>
      <c r="Z907" s="75"/>
    </row>
    <row r="908" customFormat="false" ht="12.75" hidden="false" customHeight="true" outlineLevel="0" collapsed="false">
      <c r="A908" s="2"/>
      <c r="B908" s="2"/>
      <c r="C908" s="75"/>
      <c r="D908" s="75"/>
      <c r="E908" s="75"/>
      <c r="F908" s="75"/>
      <c r="G908" s="75"/>
      <c r="H908" s="75"/>
      <c r="I908" s="2"/>
      <c r="J908" s="83"/>
      <c r="K908" s="83"/>
      <c r="L908" s="83"/>
      <c r="M908" s="83"/>
      <c r="N908" s="83"/>
      <c r="O908" s="2"/>
      <c r="P908" s="75" t="n">
        <v>905</v>
      </c>
      <c r="Q908" s="146" t="n">
        <v>20333.008531099</v>
      </c>
      <c r="R908" s="146" t="n">
        <v>0.261456625270653</v>
      </c>
      <c r="S908" s="146" t="n">
        <v>0.0797772958205741</v>
      </c>
      <c r="T908" s="146" t="n">
        <v>0.0346320386143289</v>
      </c>
      <c r="U908" s="29"/>
      <c r="V908" s="29"/>
      <c r="W908" s="29"/>
      <c r="X908" s="29"/>
      <c r="Y908" s="29"/>
      <c r="Z908" s="75"/>
    </row>
    <row r="909" customFormat="false" ht="12.75" hidden="false" customHeight="true" outlineLevel="0" collapsed="false">
      <c r="A909" s="2"/>
      <c r="B909" s="2"/>
      <c r="C909" s="75"/>
      <c r="D909" s="75"/>
      <c r="E909" s="75"/>
      <c r="F909" s="75"/>
      <c r="G909" s="75"/>
      <c r="H909" s="75"/>
      <c r="I909" s="2"/>
      <c r="J909" s="83"/>
      <c r="K909" s="83"/>
      <c r="L909" s="83"/>
      <c r="M909" s="83"/>
      <c r="N909" s="83"/>
      <c r="O909" s="2"/>
      <c r="P909" s="75" t="n">
        <v>906</v>
      </c>
      <c r="Q909" s="146" t="n">
        <v>20355.445478647</v>
      </c>
      <c r="R909" s="146" t="n">
        <v>0.260304341676683</v>
      </c>
      <c r="S909" s="146" t="n">
        <v>0.0791483679808357</v>
      </c>
      <c r="T909" s="146" t="n">
        <v>0.0352884010694991</v>
      </c>
      <c r="U909" s="29"/>
      <c r="V909" s="29"/>
      <c r="W909" s="29"/>
      <c r="X909" s="29"/>
      <c r="Y909" s="29"/>
      <c r="Z909" s="75"/>
    </row>
    <row r="910" customFormat="false" ht="12.75" hidden="false" customHeight="true" outlineLevel="0" collapsed="false">
      <c r="A910" s="2"/>
      <c r="B910" s="2"/>
      <c r="C910" s="75"/>
      <c r="D910" s="75"/>
      <c r="E910" s="75"/>
      <c r="F910" s="75"/>
      <c r="G910" s="75"/>
      <c r="H910" s="75"/>
      <c r="I910" s="2"/>
      <c r="J910" s="83"/>
      <c r="K910" s="83"/>
      <c r="L910" s="83"/>
      <c r="M910" s="83"/>
      <c r="N910" s="83"/>
      <c r="O910" s="2"/>
      <c r="P910" s="75" t="n">
        <v>907</v>
      </c>
      <c r="Q910" s="146" t="n">
        <v>20377.895963861</v>
      </c>
      <c r="R910" s="146" t="n">
        <v>0.259489158745889</v>
      </c>
      <c r="S910" s="146" t="n">
        <v>0.0788834931026893</v>
      </c>
      <c r="T910" s="146" t="n">
        <v>0.0353752580909809</v>
      </c>
      <c r="U910" s="29"/>
      <c r="V910" s="29"/>
      <c r="W910" s="29"/>
      <c r="X910" s="29"/>
      <c r="Y910" s="29"/>
      <c r="Z910" s="75"/>
    </row>
    <row r="911" customFormat="false" ht="12.75" hidden="false" customHeight="true" outlineLevel="0" collapsed="false">
      <c r="A911" s="2"/>
      <c r="B911" s="2"/>
      <c r="C911" s="75"/>
      <c r="D911" s="75"/>
      <c r="E911" s="75"/>
      <c r="F911" s="75"/>
      <c r="G911" s="75"/>
      <c r="H911" s="75"/>
      <c r="I911" s="2"/>
      <c r="J911" s="83"/>
      <c r="K911" s="83"/>
      <c r="L911" s="83"/>
      <c r="M911" s="83"/>
      <c r="N911" s="83"/>
      <c r="O911" s="2"/>
      <c r="P911" s="75" t="n">
        <v>908</v>
      </c>
      <c r="Q911" s="146" t="n">
        <v>20400.370170149</v>
      </c>
      <c r="R911" s="146" t="n">
        <v>0.258743806854026</v>
      </c>
      <c r="S911" s="146" t="n">
        <v>0.0790330310749051</v>
      </c>
      <c r="T911" s="146" t="n">
        <v>0.0357762225796506</v>
      </c>
      <c r="U911" s="29"/>
      <c r="V911" s="29"/>
      <c r="W911" s="29"/>
      <c r="X911" s="29"/>
      <c r="Y911" s="29"/>
      <c r="Z911" s="75"/>
    </row>
    <row r="912" customFormat="false" ht="12.75" hidden="false" customHeight="true" outlineLevel="0" collapsed="false">
      <c r="A912" s="2"/>
      <c r="B912" s="2"/>
      <c r="C912" s="75"/>
      <c r="D912" s="75"/>
      <c r="E912" s="75"/>
      <c r="F912" s="75"/>
      <c r="G912" s="75"/>
      <c r="H912" s="75"/>
      <c r="I912" s="2"/>
      <c r="J912" s="83"/>
      <c r="K912" s="83"/>
      <c r="L912" s="83"/>
      <c r="M912" s="83"/>
      <c r="N912" s="83"/>
      <c r="O912" s="2"/>
      <c r="P912" s="75" t="n">
        <v>909</v>
      </c>
      <c r="Q912" s="146" t="n">
        <v>20423.357903455</v>
      </c>
      <c r="R912" s="146" t="n">
        <v>0.258606363039734</v>
      </c>
      <c r="S912" s="146" t="n">
        <v>0.0801937033535462</v>
      </c>
      <c r="T912" s="146" t="n">
        <v>0.0349437426402881</v>
      </c>
      <c r="U912" s="29"/>
      <c r="V912" s="29"/>
      <c r="W912" s="29"/>
      <c r="X912" s="29"/>
      <c r="Y912" s="29"/>
      <c r="Z912" s="75"/>
    </row>
    <row r="913" customFormat="false" ht="12.75" hidden="false" customHeight="true" outlineLevel="0" collapsed="false">
      <c r="A913" s="2"/>
      <c r="B913" s="2"/>
      <c r="C913" s="75"/>
      <c r="D913" s="75"/>
      <c r="E913" s="75"/>
      <c r="F913" s="75"/>
      <c r="G913" s="75"/>
      <c r="H913" s="75"/>
      <c r="I913" s="2"/>
      <c r="J913" s="83"/>
      <c r="K913" s="83"/>
      <c r="L913" s="83"/>
      <c r="M913" s="83"/>
      <c r="N913" s="83"/>
      <c r="O913" s="2"/>
      <c r="P913" s="75" t="n">
        <v>910</v>
      </c>
      <c r="Q913" s="146" t="n">
        <v>20445.7015107</v>
      </c>
      <c r="R913" s="146" t="n">
        <v>0.258498752075193</v>
      </c>
      <c r="S913" s="146" t="n">
        <v>0.0807244098075888</v>
      </c>
      <c r="T913" s="146" t="n">
        <v>0.0358778023685496</v>
      </c>
      <c r="U913" s="29"/>
      <c r="V913" s="29"/>
      <c r="W913" s="29"/>
      <c r="X913" s="29"/>
      <c r="Y913" s="29"/>
      <c r="Z913" s="75"/>
    </row>
    <row r="914" customFormat="false" ht="12.75" hidden="false" customHeight="true" outlineLevel="0" collapsed="false">
      <c r="A914" s="2"/>
      <c r="B914" s="2"/>
      <c r="C914" s="75"/>
      <c r="D914" s="75"/>
      <c r="E914" s="75"/>
      <c r="F914" s="75"/>
      <c r="G914" s="75"/>
      <c r="H914" s="75"/>
      <c r="I914" s="2"/>
      <c r="J914" s="83"/>
      <c r="K914" s="83"/>
      <c r="L914" s="83"/>
      <c r="M914" s="83"/>
      <c r="N914" s="83"/>
      <c r="O914" s="2"/>
      <c r="P914" s="75" t="n">
        <v>911</v>
      </c>
      <c r="Q914" s="146" t="n">
        <v>20468.429621083</v>
      </c>
      <c r="R914" s="146" t="n">
        <v>0.25914194476866</v>
      </c>
      <c r="S914" s="146" t="n">
        <v>0.0817719128241469</v>
      </c>
      <c r="T914" s="146" t="n">
        <v>0.0358905329929188</v>
      </c>
      <c r="U914" s="29"/>
      <c r="V914" s="29"/>
      <c r="W914" s="29"/>
      <c r="X914" s="29"/>
      <c r="Y914" s="29"/>
      <c r="Z914" s="75"/>
    </row>
    <row r="915" customFormat="false" ht="12.75" hidden="false" customHeight="true" outlineLevel="0" collapsed="false">
      <c r="A915" s="2"/>
      <c r="B915" s="2"/>
      <c r="C915" s="75"/>
      <c r="D915" s="75"/>
      <c r="E915" s="75"/>
      <c r="F915" s="75"/>
      <c r="G915" s="75"/>
      <c r="H915" s="75"/>
      <c r="I915" s="2"/>
      <c r="J915" s="83"/>
      <c r="K915" s="83"/>
      <c r="L915" s="83"/>
      <c r="M915" s="83"/>
      <c r="N915" s="83"/>
      <c r="O915" s="2"/>
      <c r="P915" s="75" t="n">
        <v>912</v>
      </c>
      <c r="Q915" s="146" t="n">
        <v>20491.279960093</v>
      </c>
      <c r="R915" s="146" t="n">
        <v>0.259749712428306</v>
      </c>
      <c r="S915" s="146" t="n">
        <v>0.0820048121103361</v>
      </c>
      <c r="T915" s="146" t="n">
        <v>0.0367309157881692</v>
      </c>
      <c r="U915" s="29"/>
      <c r="V915" s="29"/>
      <c r="W915" s="29"/>
      <c r="X915" s="29"/>
      <c r="Y915" s="29"/>
      <c r="Z915" s="75"/>
    </row>
    <row r="916" customFormat="false" ht="12.75" hidden="false" customHeight="true" outlineLevel="0" collapsed="false">
      <c r="A916" s="2"/>
      <c r="B916" s="2"/>
      <c r="C916" s="75"/>
      <c r="D916" s="75"/>
      <c r="E916" s="75"/>
      <c r="F916" s="75"/>
      <c r="G916" s="75"/>
      <c r="H916" s="75"/>
      <c r="I916" s="2"/>
      <c r="J916" s="83"/>
      <c r="K916" s="83"/>
      <c r="L916" s="83"/>
      <c r="M916" s="83"/>
      <c r="N916" s="83"/>
      <c r="O916" s="2"/>
      <c r="P916" s="75" t="n">
        <v>913</v>
      </c>
      <c r="Q916" s="146" t="n">
        <v>20514.206437869</v>
      </c>
      <c r="R916" s="146" t="n">
        <v>0.260581219764624</v>
      </c>
      <c r="S916" s="146" t="n">
        <v>0.0819577350194726</v>
      </c>
      <c r="T916" s="146" t="n">
        <v>0.0369643000398</v>
      </c>
      <c r="U916" s="29"/>
      <c r="V916" s="29"/>
      <c r="W916" s="29"/>
      <c r="X916" s="29"/>
      <c r="Y916" s="29"/>
      <c r="Z916" s="75"/>
    </row>
    <row r="917" customFormat="false" ht="12.75" hidden="false" customHeight="true" outlineLevel="0" collapsed="false">
      <c r="A917" s="2"/>
      <c r="B917" s="2"/>
      <c r="C917" s="75"/>
      <c r="D917" s="75"/>
      <c r="E917" s="75"/>
      <c r="F917" s="75"/>
      <c r="G917" s="75"/>
      <c r="H917" s="75"/>
      <c r="I917" s="2"/>
      <c r="J917" s="83"/>
      <c r="K917" s="83"/>
      <c r="L917" s="83"/>
      <c r="M917" s="83"/>
      <c r="N917" s="83"/>
      <c r="O917" s="2"/>
      <c r="P917" s="75" t="n">
        <v>914</v>
      </c>
      <c r="Q917" s="146" t="n">
        <v>20536.633864467</v>
      </c>
      <c r="R917" s="146" t="n">
        <v>0.261338660254344</v>
      </c>
      <c r="S917" s="146" t="n">
        <v>0.0823202389330544</v>
      </c>
      <c r="T917" s="146" t="n">
        <v>0.0369754751125652</v>
      </c>
      <c r="U917" s="29"/>
      <c r="V917" s="29"/>
      <c r="W917" s="29"/>
      <c r="X917" s="29"/>
      <c r="Y917" s="29"/>
      <c r="Z917" s="75"/>
    </row>
    <row r="918" customFormat="false" ht="12.75" hidden="false" customHeight="true" outlineLevel="0" collapsed="false">
      <c r="A918" s="2"/>
      <c r="B918" s="2"/>
      <c r="C918" s="75"/>
      <c r="D918" s="75"/>
      <c r="E918" s="75"/>
      <c r="F918" s="75"/>
      <c r="G918" s="75"/>
      <c r="H918" s="75"/>
      <c r="I918" s="2"/>
      <c r="J918" s="83"/>
      <c r="K918" s="83"/>
      <c r="L918" s="83"/>
      <c r="M918" s="83"/>
      <c r="N918" s="83"/>
      <c r="O918" s="2"/>
      <c r="P918" s="75" t="n">
        <v>915</v>
      </c>
      <c r="Q918" s="146" t="n">
        <v>20558.633362149</v>
      </c>
      <c r="R918" s="146" t="n">
        <v>0.261933945002677</v>
      </c>
      <c r="S918" s="146" t="n">
        <v>0.0831031357491338</v>
      </c>
      <c r="T918" s="146" t="n">
        <v>0.0366851267516685</v>
      </c>
      <c r="U918" s="29"/>
      <c r="V918" s="29"/>
      <c r="W918" s="29"/>
      <c r="X918" s="29"/>
      <c r="Y918" s="29"/>
      <c r="Z918" s="75"/>
    </row>
    <row r="919" customFormat="false" ht="12.75" hidden="false" customHeight="true" outlineLevel="0" collapsed="false">
      <c r="A919" s="2"/>
      <c r="B919" s="2"/>
      <c r="C919" s="75"/>
      <c r="D919" s="75"/>
      <c r="E919" s="75"/>
      <c r="F919" s="75"/>
      <c r="G919" s="75"/>
      <c r="H919" s="75"/>
      <c r="I919" s="2"/>
      <c r="J919" s="83"/>
      <c r="K919" s="83"/>
      <c r="L919" s="83"/>
      <c r="M919" s="83"/>
      <c r="N919" s="83"/>
      <c r="O919" s="2"/>
      <c r="P919" s="75" t="n">
        <v>916</v>
      </c>
      <c r="Q919" s="146" t="n">
        <v>20580.589467418</v>
      </c>
      <c r="R919" s="146" t="n">
        <v>0.262237646627674</v>
      </c>
      <c r="S919" s="146" t="n">
        <v>0.0853043650958159</v>
      </c>
      <c r="T919" s="146" t="n">
        <v>0.0355870344216239</v>
      </c>
      <c r="U919" s="29"/>
      <c r="V919" s="29"/>
      <c r="W919" s="29"/>
      <c r="X919" s="29"/>
      <c r="Y919" s="29"/>
      <c r="Z919" s="75"/>
    </row>
    <row r="920" customFormat="false" ht="12.75" hidden="false" customHeight="true" outlineLevel="0" collapsed="false">
      <c r="A920" s="2"/>
      <c r="B920" s="2"/>
      <c r="C920" s="75"/>
      <c r="D920" s="75"/>
      <c r="E920" s="75"/>
      <c r="F920" s="75"/>
      <c r="G920" s="75"/>
      <c r="H920" s="75"/>
      <c r="I920" s="2"/>
      <c r="J920" s="83"/>
      <c r="K920" s="83"/>
      <c r="L920" s="83"/>
      <c r="M920" s="83"/>
      <c r="N920" s="83"/>
      <c r="O920" s="2"/>
      <c r="P920" s="75" t="n">
        <v>917</v>
      </c>
      <c r="Q920" s="146" t="n">
        <v>20602.716693027</v>
      </c>
      <c r="R920" s="146" t="n">
        <v>0.262122292850096</v>
      </c>
      <c r="S920" s="146" t="n">
        <v>0.0890718909306522</v>
      </c>
      <c r="T920" s="146" t="n">
        <v>0.0340939918958209</v>
      </c>
      <c r="U920" s="29"/>
      <c r="V920" s="29"/>
      <c r="W920" s="29"/>
      <c r="X920" s="29"/>
      <c r="Y920" s="29"/>
      <c r="Z920" s="75"/>
    </row>
    <row r="921" customFormat="false" ht="12.75" hidden="false" customHeight="true" outlineLevel="0" collapsed="false">
      <c r="A921" s="2"/>
      <c r="B921" s="2"/>
      <c r="C921" s="75"/>
      <c r="D921" s="75"/>
      <c r="E921" s="75"/>
      <c r="F921" s="75"/>
      <c r="G921" s="75"/>
      <c r="H921" s="75"/>
      <c r="I921" s="2"/>
      <c r="J921" s="83"/>
      <c r="K921" s="83"/>
      <c r="L921" s="83"/>
      <c r="M921" s="83"/>
      <c r="N921" s="83"/>
      <c r="O921" s="2"/>
      <c r="P921" s="75" t="n">
        <v>918</v>
      </c>
      <c r="Q921" s="146" t="n">
        <v>20625.835225499</v>
      </c>
      <c r="R921" s="146" t="n">
        <v>0.261602671947835</v>
      </c>
      <c r="S921" s="146" t="n">
        <v>0.0967937490888522</v>
      </c>
      <c r="T921" s="146" t="n">
        <v>0.0349464457644706</v>
      </c>
      <c r="U921" s="29"/>
      <c r="V921" s="29"/>
      <c r="W921" s="29"/>
      <c r="X921" s="29"/>
      <c r="Y921" s="29"/>
      <c r="Z921" s="75"/>
    </row>
    <row r="922" customFormat="false" ht="12.75" hidden="false" customHeight="true" outlineLevel="0" collapsed="false">
      <c r="A922" s="2"/>
      <c r="B922" s="2"/>
      <c r="C922" s="75"/>
      <c r="D922" s="75"/>
      <c r="E922" s="75"/>
      <c r="F922" s="75"/>
      <c r="G922" s="75"/>
      <c r="H922" s="75"/>
      <c r="I922" s="2"/>
      <c r="J922" s="83"/>
      <c r="K922" s="83"/>
      <c r="L922" s="83"/>
      <c r="M922" s="83"/>
      <c r="N922" s="83"/>
      <c r="O922" s="2"/>
      <c r="P922" s="75" t="n">
        <v>919</v>
      </c>
      <c r="Q922" s="146" t="n">
        <v>20647.702416886</v>
      </c>
      <c r="R922" s="146" t="n">
        <v>0.261454411964511</v>
      </c>
      <c r="S922" s="146" t="n">
        <v>0.100211826319015</v>
      </c>
      <c r="T922" s="146" t="n">
        <v>0.032901878654694</v>
      </c>
      <c r="U922" s="29"/>
      <c r="V922" s="29"/>
      <c r="W922" s="29"/>
      <c r="X922" s="29"/>
      <c r="Y922" s="29"/>
      <c r="Z922" s="75"/>
    </row>
    <row r="923" customFormat="false" ht="12.75" hidden="false" customHeight="true" outlineLevel="0" collapsed="false">
      <c r="A923" s="2"/>
      <c r="B923" s="2"/>
      <c r="C923" s="75"/>
      <c r="D923" s="75"/>
      <c r="E923" s="75"/>
      <c r="F923" s="75"/>
      <c r="G923" s="75"/>
      <c r="H923" s="75"/>
      <c r="I923" s="2"/>
      <c r="J923" s="83"/>
      <c r="K923" s="83"/>
      <c r="L923" s="83"/>
      <c r="M923" s="83"/>
      <c r="N923" s="83"/>
      <c r="O923" s="2"/>
      <c r="P923" s="75" t="n">
        <v>920</v>
      </c>
      <c r="Q923" s="146" t="n">
        <v>20670.487098084</v>
      </c>
      <c r="R923" s="146" t="n">
        <v>0.260115662608134</v>
      </c>
      <c r="S923" s="146" t="n">
        <v>0.103910190079933</v>
      </c>
      <c r="T923" s="146" t="n">
        <v>0.0342691661914274</v>
      </c>
      <c r="U923" s="29"/>
      <c r="V923" s="29"/>
      <c r="W923" s="29"/>
      <c r="X923" s="29"/>
      <c r="Y923" s="29"/>
      <c r="Z923" s="75"/>
    </row>
    <row r="924" customFormat="false" ht="12.75" hidden="false" customHeight="true" outlineLevel="0" collapsed="false">
      <c r="A924" s="2"/>
      <c r="B924" s="2"/>
      <c r="C924" s="75"/>
      <c r="D924" s="75"/>
      <c r="E924" s="75"/>
      <c r="F924" s="75"/>
      <c r="G924" s="75"/>
      <c r="H924" s="75"/>
      <c r="I924" s="2"/>
      <c r="J924" s="83"/>
      <c r="K924" s="83"/>
      <c r="L924" s="83"/>
      <c r="M924" s="83"/>
      <c r="N924" s="83"/>
      <c r="O924" s="2"/>
      <c r="P924" s="75" t="n">
        <v>921</v>
      </c>
      <c r="Q924" s="146" t="n">
        <v>20692.750314335</v>
      </c>
      <c r="R924" s="146" t="n">
        <v>0.259465833174964</v>
      </c>
      <c r="S924" s="146" t="n">
        <v>0.105693961289867</v>
      </c>
      <c r="T924" s="146" t="n">
        <v>0.0328880901744317</v>
      </c>
      <c r="U924" s="29"/>
      <c r="V924" s="29"/>
      <c r="W924" s="29"/>
      <c r="X924" s="29"/>
      <c r="Y924" s="29"/>
      <c r="Z924" s="75"/>
    </row>
    <row r="925" customFormat="false" ht="12.75" hidden="false" customHeight="true" outlineLevel="0" collapsed="false">
      <c r="A925" s="2"/>
      <c r="B925" s="2"/>
      <c r="C925" s="75"/>
      <c r="D925" s="75"/>
      <c r="E925" s="75"/>
      <c r="F925" s="75"/>
      <c r="G925" s="75"/>
      <c r="H925" s="75"/>
      <c r="I925" s="2"/>
      <c r="J925" s="83"/>
      <c r="K925" s="83"/>
      <c r="L925" s="83"/>
      <c r="M925" s="83"/>
      <c r="N925" s="83"/>
      <c r="O925" s="2"/>
      <c r="P925" s="75" t="n">
        <v>922</v>
      </c>
      <c r="Q925" s="146" t="n">
        <v>20715.354884899</v>
      </c>
      <c r="R925" s="146" t="n">
        <v>0.258770306709007</v>
      </c>
      <c r="S925" s="146" t="n">
        <v>0.103718001325982</v>
      </c>
      <c r="T925" s="146" t="n">
        <v>0.0336739930311097</v>
      </c>
      <c r="U925" s="29"/>
      <c r="V925" s="29"/>
      <c r="W925" s="29"/>
      <c r="X925" s="29"/>
      <c r="Y925" s="29"/>
      <c r="Z925" s="75"/>
    </row>
    <row r="926" customFormat="false" ht="12.75" hidden="false" customHeight="true" outlineLevel="0" collapsed="false">
      <c r="A926" s="2"/>
      <c r="B926" s="2"/>
      <c r="C926" s="75"/>
      <c r="D926" s="75"/>
      <c r="E926" s="75"/>
      <c r="F926" s="75"/>
      <c r="G926" s="75"/>
      <c r="H926" s="75"/>
      <c r="I926" s="2"/>
      <c r="J926" s="83"/>
      <c r="K926" s="83"/>
      <c r="L926" s="83"/>
      <c r="M926" s="83"/>
      <c r="N926" s="83"/>
      <c r="O926" s="2"/>
      <c r="P926" s="75" t="n">
        <v>923</v>
      </c>
      <c r="Q926" s="146" t="n">
        <v>20737.730966625</v>
      </c>
      <c r="R926" s="146" t="n">
        <v>0.25852843252128</v>
      </c>
      <c r="S926" s="146" t="n">
        <v>0.101148561937681</v>
      </c>
      <c r="T926" s="146" t="n">
        <v>0.0335139512930649</v>
      </c>
      <c r="U926" s="29"/>
      <c r="V926" s="29"/>
      <c r="W926" s="29"/>
      <c r="X926" s="29"/>
      <c r="Y926" s="29"/>
      <c r="Z926" s="75"/>
    </row>
    <row r="927" customFormat="false" ht="12.75" hidden="false" customHeight="true" outlineLevel="0" collapsed="false">
      <c r="A927" s="2"/>
      <c r="B927" s="2"/>
      <c r="C927" s="75"/>
      <c r="D927" s="75"/>
      <c r="E927" s="75"/>
      <c r="F927" s="75"/>
      <c r="G927" s="75"/>
      <c r="H927" s="75"/>
      <c r="I927" s="2"/>
      <c r="J927" s="83"/>
      <c r="K927" s="83"/>
      <c r="L927" s="83"/>
      <c r="M927" s="83"/>
      <c r="N927" s="83"/>
      <c r="O927" s="2"/>
      <c r="P927" s="75" t="n">
        <v>924</v>
      </c>
      <c r="Q927" s="146" t="n">
        <v>20760.43696415</v>
      </c>
      <c r="R927" s="146" t="n">
        <v>0.258811994474964</v>
      </c>
      <c r="S927" s="146" t="n">
        <v>0.0930074247286211</v>
      </c>
      <c r="T927" s="146" t="n">
        <v>0.0352856256829256</v>
      </c>
      <c r="U927" s="29"/>
      <c r="V927" s="29"/>
      <c r="W927" s="29"/>
      <c r="X927" s="29"/>
      <c r="Y927" s="29"/>
      <c r="Z927" s="75"/>
    </row>
    <row r="928" customFormat="false" ht="12.75" hidden="false" customHeight="true" outlineLevel="0" collapsed="false">
      <c r="A928" s="2"/>
      <c r="B928" s="2"/>
      <c r="C928" s="75"/>
      <c r="D928" s="75"/>
      <c r="E928" s="75"/>
      <c r="F928" s="75"/>
      <c r="G928" s="75"/>
      <c r="H928" s="75"/>
      <c r="I928" s="2"/>
      <c r="J928" s="83"/>
      <c r="K928" s="83"/>
      <c r="L928" s="83"/>
      <c r="M928" s="83"/>
      <c r="N928" s="83"/>
      <c r="O928" s="2"/>
      <c r="P928" s="75" t="n">
        <v>925</v>
      </c>
      <c r="Q928" s="146" t="n">
        <v>20782.07751438</v>
      </c>
      <c r="R928" s="146" t="n">
        <v>0.258879307706598</v>
      </c>
      <c r="S928" s="146" t="n">
        <v>0.0902034282214559</v>
      </c>
      <c r="T928" s="146" t="n">
        <v>0.0355657662587893</v>
      </c>
      <c r="U928" s="29"/>
      <c r="V928" s="29"/>
      <c r="W928" s="29"/>
      <c r="X928" s="29"/>
      <c r="Y928" s="29"/>
      <c r="Z928" s="75"/>
    </row>
    <row r="929" customFormat="false" ht="12.75" hidden="false" customHeight="true" outlineLevel="0" collapsed="false">
      <c r="A929" s="2"/>
      <c r="B929" s="2"/>
      <c r="C929" s="75"/>
      <c r="D929" s="75"/>
      <c r="E929" s="75"/>
      <c r="F929" s="75"/>
      <c r="G929" s="75"/>
      <c r="H929" s="75"/>
      <c r="I929" s="2"/>
      <c r="J929" s="83"/>
      <c r="K929" s="83"/>
      <c r="L929" s="83"/>
      <c r="M929" s="83"/>
      <c r="N929" s="83"/>
      <c r="O929" s="2"/>
      <c r="P929" s="75" t="n">
        <v>926</v>
      </c>
      <c r="Q929" s="146" t="n">
        <v>20804.840318886</v>
      </c>
      <c r="R929" s="146" t="n">
        <v>0.259809010002371</v>
      </c>
      <c r="S929" s="146" t="n">
        <v>0.0761887636542982</v>
      </c>
      <c r="T929" s="146" t="n">
        <v>0.0383897209400002</v>
      </c>
      <c r="U929" s="29"/>
      <c r="V929" s="29"/>
      <c r="W929" s="29"/>
      <c r="X929" s="29"/>
      <c r="Y929" s="29"/>
      <c r="Z929" s="75"/>
    </row>
    <row r="930" customFormat="false" ht="12.75" hidden="false" customHeight="true" outlineLevel="0" collapsed="false">
      <c r="A930" s="2"/>
      <c r="B930" s="2"/>
      <c r="C930" s="75"/>
      <c r="D930" s="75"/>
      <c r="E930" s="75"/>
      <c r="F930" s="75"/>
      <c r="G930" s="75"/>
      <c r="H930" s="75"/>
      <c r="I930" s="2"/>
      <c r="J930" s="83"/>
      <c r="K930" s="83"/>
      <c r="L930" s="83"/>
      <c r="M930" s="83"/>
      <c r="N930" s="83"/>
      <c r="O930" s="2"/>
      <c r="P930" s="75" t="n">
        <v>927</v>
      </c>
      <c r="Q930" s="146" t="n">
        <v>20826.835106229</v>
      </c>
      <c r="R930" s="146" t="n">
        <v>0.259440079746</v>
      </c>
      <c r="S930" s="146" t="n">
        <v>0.0732647174623541</v>
      </c>
      <c r="T930" s="146" t="n">
        <v>0.0393790557918433</v>
      </c>
      <c r="U930" s="29"/>
      <c r="V930" s="29"/>
      <c r="W930" s="29"/>
      <c r="X930" s="29"/>
      <c r="Y930" s="29"/>
      <c r="Z930" s="75"/>
    </row>
    <row r="931" customFormat="false" ht="12.75" hidden="false" customHeight="true" outlineLevel="0" collapsed="false">
      <c r="A931" s="2"/>
      <c r="B931" s="2"/>
      <c r="C931" s="75"/>
      <c r="D931" s="75"/>
      <c r="E931" s="75"/>
      <c r="F931" s="75"/>
      <c r="G931" s="75"/>
      <c r="H931" s="75"/>
      <c r="I931" s="2"/>
      <c r="J931" s="83"/>
      <c r="K931" s="83"/>
      <c r="L931" s="83"/>
      <c r="M931" s="83"/>
      <c r="N931" s="83"/>
      <c r="O931" s="2"/>
      <c r="P931" s="75" t="n">
        <v>928</v>
      </c>
      <c r="Q931" s="146" t="n">
        <v>20849.429166995</v>
      </c>
      <c r="R931" s="146" t="n">
        <v>0.260281867600062</v>
      </c>
      <c r="S931" s="146" t="n">
        <v>0.0678529619316714</v>
      </c>
      <c r="T931" s="146" t="n">
        <v>0.0404927760605992</v>
      </c>
      <c r="U931" s="29"/>
      <c r="V931" s="29"/>
      <c r="W931" s="29"/>
      <c r="X931" s="29"/>
      <c r="Y931" s="29"/>
      <c r="Z931" s="75"/>
    </row>
    <row r="932" customFormat="false" ht="12.75" hidden="false" customHeight="true" outlineLevel="0" collapsed="false">
      <c r="A932" s="2"/>
      <c r="B932" s="2"/>
      <c r="C932" s="75"/>
      <c r="D932" s="75"/>
      <c r="E932" s="75"/>
      <c r="F932" s="75"/>
      <c r="G932" s="75"/>
      <c r="H932" s="75"/>
      <c r="I932" s="2"/>
      <c r="J932" s="83"/>
      <c r="K932" s="83"/>
      <c r="L932" s="83"/>
      <c r="M932" s="83"/>
      <c r="N932" s="83"/>
      <c r="O932" s="2"/>
      <c r="P932" s="75" t="n">
        <v>929</v>
      </c>
      <c r="Q932" s="146" t="n">
        <v>20872.166162386</v>
      </c>
      <c r="R932" s="146" t="n">
        <v>0.260296388803313</v>
      </c>
      <c r="S932" s="146" t="n">
        <v>0.0641299719029821</v>
      </c>
      <c r="T932" s="146" t="n">
        <v>0.0419924433819811</v>
      </c>
      <c r="U932" s="29"/>
      <c r="V932" s="29"/>
      <c r="W932" s="29"/>
      <c r="X932" s="29"/>
      <c r="Y932" s="29"/>
      <c r="Z932" s="75"/>
    </row>
    <row r="933" customFormat="false" ht="12.75" hidden="false" customHeight="true" outlineLevel="0" collapsed="false">
      <c r="A933" s="2"/>
      <c r="B933" s="2"/>
      <c r="C933" s="75"/>
      <c r="D933" s="75"/>
      <c r="E933" s="75"/>
      <c r="F933" s="75"/>
      <c r="G933" s="75"/>
      <c r="H933" s="75"/>
      <c r="I933" s="2"/>
      <c r="J933" s="83"/>
      <c r="K933" s="83"/>
      <c r="L933" s="83"/>
      <c r="M933" s="83"/>
      <c r="N933" s="83"/>
      <c r="O933" s="2"/>
      <c r="P933" s="75" t="n">
        <v>930</v>
      </c>
      <c r="Q933" s="146" t="n">
        <v>20893.909056825</v>
      </c>
      <c r="R933" s="146" t="n">
        <v>0.260564378784246</v>
      </c>
      <c r="S933" s="146" t="n">
        <v>0.0630088519747111</v>
      </c>
      <c r="T933" s="146" t="n">
        <v>0.0436982101537273</v>
      </c>
      <c r="U933" s="29"/>
      <c r="V933" s="29"/>
      <c r="W933" s="29"/>
      <c r="X933" s="29"/>
      <c r="Y933" s="29"/>
      <c r="Z933" s="75"/>
    </row>
    <row r="934" customFormat="false" ht="12.75" hidden="false" customHeight="true" outlineLevel="0" collapsed="false">
      <c r="A934" s="2"/>
      <c r="B934" s="2"/>
      <c r="C934" s="75"/>
      <c r="D934" s="75"/>
      <c r="E934" s="75"/>
      <c r="F934" s="75"/>
      <c r="G934" s="75"/>
      <c r="H934" s="75"/>
      <c r="I934" s="2"/>
      <c r="J934" s="83"/>
      <c r="K934" s="83"/>
      <c r="L934" s="83"/>
      <c r="M934" s="83"/>
      <c r="N934" s="83"/>
      <c r="O934" s="2"/>
      <c r="P934" s="75" t="n">
        <v>931</v>
      </c>
      <c r="Q934" s="146" t="n">
        <v>20916.39448996</v>
      </c>
      <c r="R934" s="146" t="n">
        <v>0.261146515606607</v>
      </c>
      <c r="S934" s="146" t="n">
        <v>0.0616834295548958</v>
      </c>
      <c r="T934" s="146" t="n">
        <v>0.0441475987085618</v>
      </c>
      <c r="U934" s="29"/>
      <c r="V934" s="29"/>
      <c r="W934" s="29"/>
      <c r="X934" s="29"/>
      <c r="Y934" s="29"/>
      <c r="Z934" s="75"/>
    </row>
    <row r="935" customFormat="false" ht="12.75" hidden="false" customHeight="true" outlineLevel="0" collapsed="false">
      <c r="A935" s="2"/>
      <c r="B935" s="2"/>
      <c r="C935" s="75"/>
      <c r="D935" s="75"/>
      <c r="E935" s="75"/>
      <c r="F935" s="75"/>
      <c r="G935" s="75"/>
      <c r="H935" s="75"/>
      <c r="I935" s="2"/>
      <c r="J935" s="83"/>
      <c r="K935" s="83"/>
      <c r="L935" s="83"/>
      <c r="M935" s="83"/>
      <c r="N935" s="83"/>
      <c r="O935" s="2"/>
      <c r="P935" s="75" t="n">
        <v>932</v>
      </c>
      <c r="Q935" s="146" t="n">
        <v>20938.475383965</v>
      </c>
      <c r="R935" s="146" t="n">
        <v>0.261393144176426</v>
      </c>
      <c r="S935" s="146" t="n">
        <v>0.0618989730041815</v>
      </c>
      <c r="T935" s="146" t="n">
        <v>0.0458500573258371</v>
      </c>
      <c r="U935" s="29"/>
      <c r="V935" s="29"/>
      <c r="W935" s="29"/>
      <c r="X935" s="29"/>
      <c r="Y935" s="29"/>
      <c r="Z935" s="75"/>
    </row>
    <row r="936" customFormat="false" ht="12.75" hidden="false" customHeight="true" outlineLevel="0" collapsed="false">
      <c r="A936" s="2"/>
      <c r="B936" s="2"/>
      <c r="C936" s="75"/>
      <c r="D936" s="75"/>
      <c r="E936" s="75"/>
      <c r="F936" s="75"/>
      <c r="G936" s="75"/>
      <c r="H936" s="75"/>
      <c r="I936" s="2"/>
      <c r="J936" s="83"/>
      <c r="K936" s="83"/>
      <c r="L936" s="83"/>
      <c r="M936" s="83"/>
      <c r="N936" s="83"/>
      <c r="O936" s="2"/>
      <c r="P936" s="75" t="n">
        <v>933</v>
      </c>
      <c r="Q936" s="146" t="n">
        <v>20961.301792245</v>
      </c>
      <c r="R936" s="146" t="n">
        <v>0.261759085907556</v>
      </c>
      <c r="S936" s="146" t="n">
        <v>0.064968926720739</v>
      </c>
      <c r="T936" s="146" t="n">
        <v>0.0454343614864079</v>
      </c>
      <c r="U936" s="29"/>
      <c r="V936" s="29"/>
      <c r="W936" s="29"/>
      <c r="X936" s="29"/>
      <c r="Y936" s="29"/>
      <c r="Z936" s="75"/>
    </row>
    <row r="937" customFormat="false" ht="12.75" hidden="false" customHeight="true" outlineLevel="0" collapsed="false">
      <c r="A937" s="2"/>
      <c r="B937" s="2"/>
      <c r="C937" s="75"/>
      <c r="D937" s="75"/>
      <c r="E937" s="75"/>
      <c r="F937" s="75"/>
      <c r="G937" s="75"/>
      <c r="H937" s="75"/>
      <c r="I937" s="2"/>
      <c r="J937" s="83"/>
      <c r="K937" s="83"/>
      <c r="L937" s="83"/>
      <c r="M937" s="83"/>
      <c r="N937" s="83"/>
      <c r="O937" s="2"/>
      <c r="P937" s="75" t="n">
        <v>934</v>
      </c>
      <c r="Q937" s="146" t="n">
        <v>20983.167692815</v>
      </c>
      <c r="R937" s="146" t="n">
        <v>0.262464404198091</v>
      </c>
      <c r="S937" s="146" t="n">
        <v>0.0656629865817772</v>
      </c>
      <c r="T937" s="146" t="n">
        <v>0.0467143936844139</v>
      </c>
      <c r="U937" s="29"/>
      <c r="V937" s="29"/>
      <c r="W937" s="29"/>
      <c r="X937" s="29"/>
      <c r="Y937" s="29"/>
      <c r="Z937" s="75"/>
    </row>
    <row r="938" customFormat="false" ht="12.75" hidden="false" customHeight="true" outlineLevel="0" collapsed="false">
      <c r="A938" s="2"/>
      <c r="B938" s="2"/>
      <c r="C938" s="75"/>
      <c r="D938" s="75"/>
      <c r="E938" s="75"/>
      <c r="F938" s="75"/>
      <c r="G938" s="75"/>
      <c r="H938" s="75"/>
      <c r="I938" s="2"/>
      <c r="J938" s="83"/>
      <c r="K938" s="83"/>
      <c r="L938" s="83"/>
      <c r="M938" s="83"/>
      <c r="N938" s="83"/>
      <c r="O938" s="2"/>
      <c r="P938" s="75" t="n">
        <v>935</v>
      </c>
      <c r="Q938" s="146" t="n">
        <v>21005.625337672</v>
      </c>
      <c r="R938" s="146" t="n">
        <v>0.26287526814827</v>
      </c>
      <c r="S938" s="146" t="n">
        <v>0.0714300947281806</v>
      </c>
      <c r="T938" s="146" t="n">
        <v>0.0456360258321125</v>
      </c>
      <c r="U938" s="29"/>
      <c r="V938" s="29"/>
      <c r="W938" s="29"/>
      <c r="X938" s="29"/>
      <c r="Y938" s="29"/>
      <c r="Z938" s="75"/>
    </row>
    <row r="939" customFormat="false" ht="12.75" hidden="false" customHeight="true" outlineLevel="0" collapsed="false">
      <c r="A939" s="2"/>
      <c r="B939" s="2"/>
      <c r="C939" s="75"/>
      <c r="D939" s="75"/>
      <c r="E939" s="75"/>
      <c r="F939" s="75"/>
      <c r="G939" s="75"/>
      <c r="H939" s="75"/>
      <c r="I939" s="2"/>
      <c r="J939" s="83"/>
      <c r="K939" s="83"/>
      <c r="L939" s="83"/>
      <c r="M939" s="83"/>
      <c r="N939" s="83"/>
      <c r="O939" s="2"/>
      <c r="P939" s="75" t="n">
        <v>936</v>
      </c>
      <c r="Q939" s="146" t="n">
        <v>21027.461976222</v>
      </c>
      <c r="R939" s="146" t="n">
        <v>0.263335820501059</v>
      </c>
      <c r="S939" s="146" t="n">
        <v>0.0730346232176281</v>
      </c>
      <c r="T939" s="146" t="n">
        <v>0.0449795534218126</v>
      </c>
      <c r="U939" s="29"/>
      <c r="V939" s="29"/>
      <c r="W939" s="29"/>
      <c r="X939" s="29"/>
      <c r="Y939" s="29"/>
      <c r="Z939" s="75"/>
    </row>
    <row r="940" customFormat="false" ht="12.75" hidden="false" customHeight="true" outlineLevel="0" collapsed="false">
      <c r="A940" s="2"/>
      <c r="B940" s="2"/>
      <c r="C940" s="75"/>
      <c r="D940" s="75"/>
      <c r="E940" s="75"/>
      <c r="F940" s="75"/>
      <c r="G940" s="75"/>
      <c r="H940" s="75"/>
      <c r="I940" s="2"/>
      <c r="J940" s="83"/>
      <c r="K940" s="83"/>
      <c r="L940" s="83"/>
      <c r="M940" s="83"/>
      <c r="N940" s="83"/>
      <c r="O940" s="2"/>
      <c r="P940" s="75" t="n">
        <v>937</v>
      </c>
      <c r="Q940" s="146" t="n">
        <v>21049.391422079</v>
      </c>
      <c r="R940" s="146" t="n">
        <v>0.263171145771378</v>
      </c>
      <c r="S940" s="146" t="n">
        <v>0.0772026405680264</v>
      </c>
      <c r="T940" s="146" t="n">
        <v>0.0434956772403897</v>
      </c>
      <c r="U940" s="29"/>
      <c r="V940" s="29"/>
      <c r="W940" s="29"/>
      <c r="X940" s="29"/>
      <c r="Y940" s="29"/>
      <c r="Z940" s="75"/>
    </row>
    <row r="941" customFormat="false" ht="12.75" hidden="false" customHeight="true" outlineLevel="0" collapsed="false">
      <c r="A941" s="2"/>
      <c r="B941" s="2"/>
      <c r="C941" s="75"/>
      <c r="D941" s="75"/>
      <c r="E941" s="75"/>
      <c r="F941" s="75"/>
      <c r="G941" s="75"/>
      <c r="H941" s="75"/>
      <c r="I941" s="2"/>
      <c r="J941" s="83"/>
      <c r="K941" s="83"/>
      <c r="L941" s="83"/>
      <c r="M941" s="83"/>
      <c r="N941" s="83"/>
      <c r="O941" s="2"/>
      <c r="P941" s="75" t="n">
        <v>938</v>
      </c>
      <c r="Q941" s="146" t="n">
        <v>21071.736977247</v>
      </c>
      <c r="R941" s="146" t="n">
        <v>0.262891435054548</v>
      </c>
      <c r="S941" s="146" t="n">
        <v>0.0794624754187849</v>
      </c>
      <c r="T941" s="146" t="n">
        <v>0.0428008632903418</v>
      </c>
      <c r="U941" s="29"/>
      <c r="V941" s="29"/>
      <c r="W941" s="29"/>
      <c r="X941" s="29"/>
      <c r="Y941" s="29"/>
      <c r="Z941" s="75"/>
    </row>
    <row r="942" customFormat="false" ht="12.75" hidden="false" customHeight="true" outlineLevel="0" collapsed="false">
      <c r="A942" s="2"/>
      <c r="B942" s="2"/>
      <c r="C942" s="75"/>
      <c r="D942" s="75"/>
      <c r="E942" s="75"/>
      <c r="F942" s="75"/>
      <c r="G942" s="75"/>
      <c r="H942" s="75"/>
      <c r="I942" s="2"/>
      <c r="J942" s="83"/>
      <c r="K942" s="83"/>
      <c r="L942" s="83"/>
      <c r="M942" s="83"/>
      <c r="N942" s="83"/>
      <c r="O942" s="2"/>
      <c r="P942" s="75" t="n">
        <v>939</v>
      </c>
      <c r="Q942" s="146" t="n">
        <v>21094.296664812</v>
      </c>
      <c r="R942" s="146" t="n">
        <v>0.263291754058838</v>
      </c>
      <c r="S942" s="146" t="n">
        <v>0.0798267283875803</v>
      </c>
      <c r="T942" s="146" t="n">
        <v>0.041991985579977</v>
      </c>
      <c r="U942" s="29"/>
      <c r="V942" s="29"/>
      <c r="W942" s="29"/>
      <c r="X942" s="29"/>
      <c r="Y942" s="29"/>
      <c r="Z942" s="75"/>
    </row>
    <row r="943" customFormat="false" ht="12.75" hidden="false" customHeight="true" outlineLevel="0" collapsed="false">
      <c r="A943" s="2"/>
      <c r="B943" s="2"/>
      <c r="C943" s="75"/>
      <c r="D943" s="75"/>
      <c r="E943" s="75"/>
      <c r="F943" s="75"/>
      <c r="G943" s="75"/>
      <c r="H943" s="75"/>
      <c r="I943" s="2"/>
      <c r="J943" s="83"/>
      <c r="K943" s="83"/>
      <c r="L943" s="83"/>
      <c r="M943" s="83"/>
      <c r="N943" s="83"/>
      <c r="O943" s="2"/>
      <c r="P943" s="75" t="n">
        <v>940</v>
      </c>
      <c r="Q943" s="146" t="n">
        <v>21116.415775104</v>
      </c>
      <c r="R943" s="146" t="n">
        <v>0.263688425241577</v>
      </c>
      <c r="S943" s="146" t="n">
        <v>0.0785682810111717</v>
      </c>
      <c r="T943" s="146" t="n">
        <v>0.040444552577009</v>
      </c>
      <c r="U943" s="29"/>
      <c r="V943" s="29"/>
      <c r="W943" s="29"/>
      <c r="X943" s="29"/>
      <c r="Y943" s="29"/>
      <c r="Z943" s="75"/>
    </row>
    <row r="944" customFormat="false" ht="12.75" hidden="false" customHeight="true" outlineLevel="0" collapsed="false">
      <c r="A944" s="2"/>
      <c r="B944" s="2"/>
      <c r="C944" s="75"/>
      <c r="D944" s="75"/>
      <c r="E944" s="75"/>
      <c r="F944" s="75"/>
      <c r="G944" s="75"/>
      <c r="H944" s="75"/>
      <c r="I944" s="2"/>
      <c r="J944" s="83"/>
      <c r="K944" s="83"/>
      <c r="L944" s="83"/>
      <c r="M944" s="83"/>
      <c r="N944" s="83"/>
      <c r="O944" s="2"/>
      <c r="P944" s="75" t="n">
        <v>941</v>
      </c>
      <c r="Q944" s="146" t="n">
        <v>21138.92302396</v>
      </c>
      <c r="R944" s="146" t="n">
        <v>0.26363006857044</v>
      </c>
      <c r="S944" s="146" t="n">
        <v>0.0746633915522208</v>
      </c>
      <c r="T944" s="146" t="n">
        <v>0.0397653277532406</v>
      </c>
      <c r="U944" s="29"/>
      <c r="V944" s="29"/>
      <c r="W944" s="29"/>
      <c r="X944" s="29"/>
      <c r="Y944" s="29"/>
      <c r="Z944" s="75"/>
    </row>
    <row r="945" customFormat="false" ht="12.75" hidden="false" customHeight="true" outlineLevel="0" collapsed="false">
      <c r="A945" s="2"/>
      <c r="B945" s="2"/>
      <c r="C945" s="75"/>
      <c r="D945" s="75"/>
      <c r="E945" s="75"/>
      <c r="F945" s="75"/>
      <c r="G945" s="75"/>
      <c r="H945" s="75"/>
      <c r="I945" s="2"/>
      <c r="J945" s="83"/>
      <c r="K945" s="83"/>
      <c r="L945" s="83"/>
      <c r="M945" s="83"/>
      <c r="N945" s="83"/>
      <c r="O945" s="2"/>
      <c r="P945" s="75" t="n">
        <v>942</v>
      </c>
      <c r="Q945" s="146" t="n">
        <v>21160.902770054</v>
      </c>
      <c r="R945" s="146" t="n">
        <v>0.264250679103775</v>
      </c>
      <c r="S945" s="146" t="n">
        <v>0.0719495462712079</v>
      </c>
      <c r="T945" s="146" t="n">
        <v>0.0388045518373481</v>
      </c>
      <c r="U945" s="29"/>
      <c r="V945" s="29"/>
      <c r="W945" s="29"/>
      <c r="X945" s="29"/>
      <c r="Y945" s="29"/>
      <c r="Z945" s="75"/>
    </row>
    <row r="946" customFormat="false" ht="12.75" hidden="false" customHeight="true" outlineLevel="0" collapsed="false">
      <c r="A946" s="2"/>
      <c r="B946" s="2"/>
      <c r="C946" s="75"/>
      <c r="D946" s="75"/>
      <c r="E946" s="75"/>
      <c r="F946" s="75"/>
      <c r="G946" s="75"/>
      <c r="H946" s="75"/>
      <c r="I946" s="2"/>
      <c r="J946" s="83"/>
      <c r="K946" s="83"/>
      <c r="L946" s="83"/>
      <c r="M946" s="83"/>
      <c r="N946" s="83"/>
      <c r="O946" s="2"/>
      <c r="P946" s="75" t="n">
        <v>943</v>
      </c>
      <c r="Q946" s="146" t="n">
        <v>21182.86940213</v>
      </c>
      <c r="R946" s="146" t="n">
        <v>0.264264347936374</v>
      </c>
      <c r="S946" s="146" t="n">
        <v>0.0669974279073204</v>
      </c>
      <c r="T946" s="146" t="n">
        <v>0.03792841792016</v>
      </c>
      <c r="U946" s="29"/>
      <c r="V946" s="29"/>
      <c r="W946" s="29"/>
      <c r="X946" s="29"/>
      <c r="Y946" s="29"/>
      <c r="Z946" s="75"/>
    </row>
    <row r="947" customFormat="false" ht="12.75" hidden="false" customHeight="true" outlineLevel="0" collapsed="false">
      <c r="A947" s="2"/>
      <c r="B947" s="2"/>
      <c r="C947" s="75"/>
      <c r="D947" s="75"/>
      <c r="E947" s="75"/>
      <c r="F947" s="75"/>
      <c r="G947" s="75"/>
      <c r="H947" s="75"/>
      <c r="I947" s="2"/>
      <c r="J947" s="83"/>
      <c r="K947" s="83"/>
      <c r="L947" s="83"/>
      <c r="M947" s="83"/>
      <c r="N947" s="83"/>
      <c r="O947" s="2"/>
      <c r="P947" s="75" t="n">
        <v>944</v>
      </c>
      <c r="Q947" s="146" t="n">
        <v>21205.357126326</v>
      </c>
      <c r="R947" s="146" t="n">
        <v>0.264256812754381</v>
      </c>
      <c r="S947" s="146" t="n">
        <v>0.062591809874144</v>
      </c>
      <c r="T947" s="146" t="n">
        <v>0.0367496718580534</v>
      </c>
      <c r="U947" s="29"/>
      <c r="V947" s="29"/>
      <c r="W947" s="29"/>
      <c r="X947" s="29"/>
      <c r="Y947" s="29"/>
      <c r="Z947" s="75"/>
    </row>
    <row r="948" customFormat="false" ht="12.75" hidden="false" customHeight="true" outlineLevel="0" collapsed="false">
      <c r="A948" s="2"/>
      <c r="B948" s="2"/>
      <c r="C948" s="75"/>
      <c r="D948" s="75"/>
      <c r="E948" s="75"/>
      <c r="F948" s="75"/>
      <c r="G948" s="75"/>
      <c r="H948" s="75"/>
      <c r="I948" s="2"/>
      <c r="J948" s="83"/>
      <c r="K948" s="83"/>
      <c r="L948" s="83"/>
      <c r="M948" s="83"/>
      <c r="N948" s="83"/>
      <c r="O948" s="2"/>
      <c r="P948" s="75" t="n">
        <v>945</v>
      </c>
      <c r="Q948" s="146" t="n">
        <v>21227.493859226</v>
      </c>
      <c r="R948" s="146" t="n">
        <v>0.264006198778763</v>
      </c>
      <c r="S948" s="146" t="n">
        <v>0.0595615261146134</v>
      </c>
      <c r="T948" s="146" t="n">
        <v>0.0351872457474251</v>
      </c>
      <c r="U948" s="29"/>
      <c r="V948" s="29"/>
      <c r="W948" s="29"/>
      <c r="X948" s="29"/>
      <c r="Y948" s="29"/>
      <c r="Z948" s="75"/>
    </row>
    <row r="949" customFormat="false" ht="12.75" hidden="false" customHeight="true" outlineLevel="0" collapsed="false">
      <c r="A949" s="2"/>
      <c r="B949" s="2"/>
      <c r="C949" s="75"/>
      <c r="D949" s="75"/>
      <c r="E949" s="75"/>
      <c r="F949" s="75"/>
      <c r="G949" s="75"/>
      <c r="H949" s="75"/>
      <c r="I949" s="2"/>
      <c r="J949" s="83"/>
      <c r="K949" s="83"/>
      <c r="L949" s="83"/>
      <c r="M949" s="83"/>
      <c r="N949" s="83"/>
      <c r="O949" s="2"/>
      <c r="P949" s="75" t="n">
        <v>946</v>
      </c>
      <c r="Q949" s="146" t="n">
        <v>21250.014386159</v>
      </c>
      <c r="R949" s="146" t="n">
        <v>0.26351286721656</v>
      </c>
      <c r="S949" s="146" t="n">
        <v>0.0588932224498897</v>
      </c>
      <c r="T949" s="146" t="n">
        <v>0.0328280060962953</v>
      </c>
      <c r="U949" s="29"/>
      <c r="V949" s="29"/>
      <c r="W949" s="29"/>
      <c r="X949" s="29"/>
      <c r="Y949" s="29"/>
      <c r="Z949" s="75"/>
    </row>
    <row r="950" customFormat="false" ht="12.75" hidden="false" customHeight="true" outlineLevel="0" collapsed="false">
      <c r="A950" s="2"/>
      <c r="B950" s="2"/>
      <c r="C950" s="75"/>
      <c r="D950" s="75"/>
      <c r="E950" s="75"/>
      <c r="F950" s="75"/>
      <c r="G950" s="75"/>
      <c r="H950" s="75"/>
      <c r="I950" s="2"/>
      <c r="J950" s="83"/>
      <c r="K950" s="83"/>
      <c r="L950" s="83"/>
      <c r="M950" s="83"/>
      <c r="N950" s="83"/>
      <c r="O950" s="2"/>
      <c r="P950" s="75" t="n">
        <v>947</v>
      </c>
      <c r="Q950" s="146" t="n">
        <v>21272.603223467</v>
      </c>
      <c r="R950" s="146" t="n">
        <v>0.262452458059852</v>
      </c>
      <c r="S950" s="146" t="n">
        <v>0.0632823406500903</v>
      </c>
      <c r="T950" s="146" t="n">
        <v>0.0308201721337245</v>
      </c>
      <c r="U950" s="29"/>
      <c r="V950" s="29"/>
      <c r="W950" s="29"/>
      <c r="X950" s="29"/>
      <c r="Y950" s="29"/>
      <c r="Z950" s="75"/>
    </row>
    <row r="951" customFormat="false" ht="12.75" hidden="false" customHeight="true" outlineLevel="0" collapsed="false">
      <c r="A951" s="2"/>
      <c r="B951" s="2"/>
      <c r="C951" s="75"/>
      <c r="D951" s="75"/>
      <c r="E951" s="75"/>
      <c r="F951" s="75"/>
      <c r="G951" s="75"/>
      <c r="H951" s="75"/>
      <c r="I951" s="2"/>
      <c r="J951" s="83"/>
      <c r="K951" s="83"/>
      <c r="L951" s="83"/>
      <c r="M951" s="83"/>
      <c r="N951" s="83"/>
      <c r="O951" s="2"/>
      <c r="P951" s="75" t="n">
        <v>948</v>
      </c>
      <c r="Q951" s="146" t="n">
        <v>21294.454417389</v>
      </c>
      <c r="R951" s="146" t="n">
        <v>0.261803824100925</v>
      </c>
      <c r="S951" s="146" t="n">
        <v>0.0654044971393724</v>
      </c>
      <c r="T951" s="146" t="n">
        <v>0.0298958683712306</v>
      </c>
      <c r="U951" s="29"/>
      <c r="V951" s="29"/>
      <c r="W951" s="29"/>
      <c r="X951" s="29"/>
      <c r="Y951" s="29"/>
      <c r="Z951" s="75"/>
    </row>
    <row r="952" customFormat="false" ht="12.75" hidden="false" customHeight="true" outlineLevel="0" collapsed="false">
      <c r="A952" s="2"/>
      <c r="B952" s="2"/>
      <c r="C952" s="75"/>
      <c r="D952" s="75"/>
      <c r="E952" s="75"/>
      <c r="F952" s="75"/>
      <c r="G952" s="75"/>
      <c r="H952" s="75"/>
      <c r="I952" s="2"/>
      <c r="J952" s="83"/>
      <c r="K952" s="83"/>
      <c r="L952" s="83"/>
      <c r="M952" s="83"/>
      <c r="N952" s="83"/>
      <c r="O952" s="2"/>
      <c r="P952" s="75" t="n">
        <v>949</v>
      </c>
      <c r="Q952" s="146" t="n">
        <v>21317.568447989</v>
      </c>
      <c r="R952" s="146" t="n">
        <v>0.2606521832308</v>
      </c>
      <c r="S952" s="146" t="n">
        <v>0.0744980782797594</v>
      </c>
      <c r="T952" s="146" t="n">
        <v>0.0279217837809023</v>
      </c>
      <c r="U952" s="29"/>
      <c r="V952" s="29"/>
      <c r="W952" s="29"/>
      <c r="X952" s="29"/>
      <c r="Y952" s="29"/>
      <c r="Z952" s="75"/>
    </row>
    <row r="953" customFormat="false" ht="12.75" hidden="false" customHeight="true" outlineLevel="0" collapsed="false">
      <c r="A953" s="2"/>
      <c r="B953" s="2"/>
      <c r="C953" s="75"/>
      <c r="D953" s="75"/>
      <c r="E953" s="75"/>
      <c r="F953" s="75"/>
      <c r="G953" s="75"/>
      <c r="H953" s="75"/>
      <c r="I953" s="2"/>
      <c r="J953" s="83"/>
      <c r="K953" s="83"/>
      <c r="L953" s="83"/>
      <c r="M953" s="83"/>
      <c r="N953" s="85"/>
      <c r="O953" s="2"/>
      <c r="P953" s="75" t="n">
        <v>950</v>
      </c>
      <c r="Q953" s="146" t="n">
        <v>21339.479460509</v>
      </c>
      <c r="R953" s="146" t="n">
        <v>0.259992898002181</v>
      </c>
      <c r="S953" s="146" t="n">
        <v>0.0767928823604869</v>
      </c>
      <c r="T953" s="146" t="n">
        <v>0.0275246368100367</v>
      </c>
      <c r="U953" s="29"/>
      <c r="V953" s="29"/>
      <c r="W953" s="29"/>
      <c r="X953" s="29"/>
      <c r="Y953" s="29"/>
      <c r="Z953" s="75"/>
    </row>
    <row r="954" customFormat="false" ht="12.75" hidden="false" customHeight="true" outlineLevel="0" collapsed="false">
      <c r="A954" s="2"/>
      <c r="B954" s="2"/>
      <c r="C954" s="75"/>
      <c r="D954" s="75"/>
      <c r="E954" s="75"/>
      <c r="F954" s="75"/>
      <c r="G954" s="75"/>
      <c r="H954" s="75"/>
      <c r="I954" s="2"/>
      <c r="J954" s="83"/>
      <c r="K954" s="83"/>
      <c r="L954" s="83"/>
      <c r="M954" s="83"/>
      <c r="N954" s="83"/>
      <c r="O954" s="2"/>
      <c r="P954" s="75" t="n">
        <v>951</v>
      </c>
      <c r="Q954" s="146" t="n">
        <v>21361.91131534</v>
      </c>
      <c r="R954" s="146" t="n">
        <v>0.259185522955954</v>
      </c>
      <c r="S954" s="146" t="n">
        <v>0.0813722402698466</v>
      </c>
      <c r="T954" s="146" t="n">
        <v>0.0268832723396951</v>
      </c>
      <c r="U954" s="29"/>
      <c r="V954" s="29"/>
      <c r="W954" s="29"/>
      <c r="X954" s="29"/>
      <c r="Y954" s="29"/>
      <c r="Z954" s="75"/>
    </row>
    <row r="955" customFormat="false" ht="12.75" hidden="false" customHeight="true" outlineLevel="0" collapsed="false">
      <c r="A955" s="2"/>
      <c r="B955" s="2"/>
      <c r="C955" s="75"/>
      <c r="D955" s="75"/>
      <c r="E955" s="75"/>
      <c r="F955" s="75"/>
      <c r="G955" s="75"/>
      <c r="H955" s="75"/>
      <c r="I955" s="2"/>
      <c r="J955" s="83"/>
      <c r="K955" s="83"/>
      <c r="L955" s="83"/>
      <c r="M955" s="83"/>
      <c r="N955" s="83"/>
      <c r="O955" s="2"/>
      <c r="P955" s="75" t="n">
        <v>952</v>
      </c>
      <c r="Q955" s="146" t="n">
        <v>21384.130764256</v>
      </c>
      <c r="R955" s="146" t="n">
        <v>0.25832068154568</v>
      </c>
      <c r="S955" s="146" t="n">
        <v>0.084096918296755</v>
      </c>
      <c r="T955" s="146" t="n">
        <v>0.0254167133383794</v>
      </c>
      <c r="U955" s="29"/>
      <c r="V955" s="29"/>
      <c r="W955" s="29"/>
      <c r="X955" s="29"/>
      <c r="Y955" s="29"/>
      <c r="Z955" s="75"/>
    </row>
    <row r="956" customFormat="false" ht="12.75" hidden="false" customHeight="true" outlineLevel="0" collapsed="false">
      <c r="A956" s="2"/>
      <c r="B956" s="2"/>
      <c r="C956" s="75"/>
      <c r="D956" s="75"/>
      <c r="E956" s="75"/>
      <c r="F956" s="75"/>
      <c r="G956" s="75"/>
      <c r="H956" s="75"/>
      <c r="I956" s="2"/>
      <c r="J956" s="83"/>
      <c r="K956" s="83"/>
      <c r="L956" s="83"/>
      <c r="M956" s="83"/>
      <c r="N956" s="83"/>
      <c r="O956" s="2"/>
      <c r="P956" s="75" t="n">
        <v>953</v>
      </c>
      <c r="Q956" s="146" t="n">
        <v>21406.468665114</v>
      </c>
      <c r="R956" s="146" t="n">
        <v>0.258294746704772</v>
      </c>
      <c r="S956" s="146" t="n">
        <v>0.0848958040611831</v>
      </c>
      <c r="T956" s="146" t="n">
        <v>0.0256470043405468</v>
      </c>
      <c r="U956" s="29"/>
      <c r="V956" s="29"/>
      <c r="W956" s="29"/>
      <c r="X956" s="29"/>
      <c r="Y956" s="29"/>
      <c r="Z956" s="75"/>
    </row>
    <row r="957" customFormat="false" ht="12.75" hidden="false" customHeight="true" outlineLevel="0" collapsed="false">
      <c r="A957" s="2"/>
      <c r="B957" s="2"/>
      <c r="C957" s="75"/>
      <c r="D957" s="75"/>
      <c r="E957" s="75"/>
      <c r="F957" s="75"/>
      <c r="G957" s="75"/>
      <c r="H957" s="75"/>
      <c r="I957" s="2"/>
      <c r="J957" s="83"/>
      <c r="K957" s="83"/>
      <c r="L957" s="83"/>
      <c r="M957" s="83"/>
      <c r="N957" s="83"/>
      <c r="O957" s="2"/>
      <c r="P957" s="75" t="n">
        <v>954</v>
      </c>
      <c r="Q957" s="146" t="n">
        <v>21428.960445473</v>
      </c>
      <c r="R957" s="146" t="n">
        <v>0.258401208344113</v>
      </c>
      <c r="S957" s="146" t="n">
        <v>0.0816421520812673</v>
      </c>
      <c r="T957" s="146" t="n">
        <v>0.0262590909450449</v>
      </c>
      <c r="U957" s="29"/>
      <c r="V957" s="29"/>
      <c r="W957" s="29"/>
      <c r="X957" s="29"/>
      <c r="Y957" s="29"/>
      <c r="Z957" s="75"/>
    </row>
    <row r="958" customFormat="false" ht="12.75" hidden="false" customHeight="true" outlineLevel="0" collapsed="false">
      <c r="A958" s="2"/>
      <c r="B958" s="2"/>
      <c r="C958" s="75"/>
      <c r="D958" s="75"/>
      <c r="E958" s="75"/>
      <c r="F958" s="75"/>
      <c r="G958" s="75"/>
      <c r="H958" s="75"/>
      <c r="I958" s="2"/>
      <c r="J958" s="83"/>
      <c r="K958" s="83"/>
      <c r="L958" s="83"/>
      <c r="M958" s="83"/>
      <c r="N958" s="83"/>
      <c r="O958" s="2"/>
      <c r="P958" s="75" t="n">
        <v>955</v>
      </c>
      <c r="Q958" s="146" t="n">
        <v>21451.543659993</v>
      </c>
      <c r="R958" s="146" t="n">
        <v>0.258871175048396</v>
      </c>
      <c r="S958" s="146" t="n">
        <v>0.0784652520138647</v>
      </c>
      <c r="T958" s="146" t="n">
        <v>0.0263745224297953</v>
      </c>
      <c r="U958" s="29"/>
      <c r="V958" s="29"/>
      <c r="W958" s="29"/>
      <c r="X958" s="29"/>
      <c r="Y958" s="29"/>
      <c r="Z958" s="75"/>
    </row>
    <row r="959" customFormat="false" ht="12.75" hidden="false" customHeight="true" outlineLevel="0" collapsed="false">
      <c r="A959" s="2"/>
      <c r="B959" s="2"/>
      <c r="C959" s="75"/>
      <c r="D959" s="75"/>
      <c r="E959" s="75"/>
      <c r="F959" s="75"/>
      <c r="G959" s="75"/>
      <c r="H959" s="75"/>
      <c r="I959" s="2"/>
      <c r="J959" s="83"/>
      <c r="K959" s="83"/>
      <c r="L959" s="83"/>
      <c r="M959" s="83"/>
      <c r="N959" s="83"/>
      <c r="O959" s="2"/>
      <c r="P959" s="75" t="n">
        <v>956</v>
      </c>
      <c r="Q959" s="146" t="n">
        <v>21474.151245085</v>
      </c>
      <c r="R959" s="146" t="n">
        <v>0.25914124476667</v>
      </c>
      <c r="S959" s="146" t="n">
        <v>0.0728033740259604</v>
      </c>
      <c r="T959" s="146" t="n">
        <v>0.0270982286685829</v>
      </c>
      <c r="U959" s="29"/>
      <c r="V959" s="29"/>
      <c r="W959" s="29"/>
      <c r="X959" s="29"/>
      <c r="Y959" s="29"/>
      <c r="Z959" s="75"/>
    </row>
    <row r="960" customFormat="false" ht="12.75" hidden="false" customHeight="true" outlineLevel="0" collapsed="false">
      <c r="A960" s="2"/>
      <c r="B960" s="2"/>
      <c r="C960" s="75"/>
      <c r="D960" s="75"/>
      <c r="E960" s="75"/>
      <c r="F960" s="75"/>
      <c r="G960" s="75"/>
      <c r="H960" s="75"/>
      <c r="I960" s="2"/>
      <c r="J960" s="83"/>
      <c r="K960" s="83"/>
      <c r="L960" s="83"/>
      <c r="M960" s="83"/>
      <c r="N960" s="83"/>
      <c r="O960" s="2"/>
      <c r="P960" s="75" t="n">
        <v>957</v>
      </c>
      <c r="Q960" s="146" t="n">
        <v>21496.943349643</v>
      </c>
      <c r="R960" s="146" t="n">
        <v>0.259620726741172</v>
      </c>
      <c r="S960" s="146" t="n">
        <v>0.0690883430053165</v>
      </c>
      <c r="T960" s="146" t="n">
        <v>0.0271599536541037</v>
      </c>
      <c r="U960" s="29"/>
      <c r="V960" s="29"/>
      <c r="W960" s="29"/>
      <c r="X960" s="29"/>
      <c r="Y960" s="29"/>
      <c r="Z960" s="75"/>
    </row>
    <row r="961" customFormat="false" ht="12.75" hidden="false" customHeight="true" outlineLevel="0" collapsed="false">
      <c r="A961" s="2"/>
      <c r="B961" s="2"/>
      <c r="C961" s="75"/>
      <c r="D961" s="75"/>
      <c r="E961" s="75"/>
      <c r="F961" s="75"/>
      <c r="G961" s="75"/>
      <c r="H961" s="75"/>
      <c r="I961" s="2"/>
      <c r="J961" s="83"/>
      <c r="K961" s="83"/>
      <c r="L961" s="83"/>
      <c r="M961" s="83"/>
      <c r="N961" s="83"/>
      <c r="O961" s="2"/>
      <c r="P961" s="75" t="n">
        <v>958</v>
      </c>
      <c r="Q961" s="146" t="n">
        <v>21519.793722986</v>
      </c>
      <c r="R961" s="146" t="n">
        <v>0.260035020653639</v>
      </c>
      <c r="S961" s="146" t="n">
        <v>0.0631657260692663</v>
      </c>
      <c r="T961" s="146" t="n">
        <v>0.027327341961189</v>
      </c>
      <c r="U961" s="29"/>
      <c r="V961" s="29"/>
      <c r="W961" s="29"/>
      <c r="X961" s="29"/>
      <c r="Y961" s="29"/>
      <c r="Z961" s="75"/>
    </row>
    <row r="962" customFormat="false" ht="12.75" hidden="false" customHeight="true" outlineLevel="0" collapsed="false">
      <c r="A962" s="2"/>
      <c r="B962" s="2"/>
      <c r="C962" s="75"/>
      <c r="D962" s="75"/>
      <c r="E962" s="75"/>
      <c r="F962" s="75"/>
      <c r="G962" s="75"/>
      <c r="H962" s="75"/>
      <c r="I962" s="2"/>
      <c r="J962" s="83"/>
      <c r="K962" s="83"/>
      <c r="L962" s="83"/>
      <c r="M962" s="83"/>
      <c r="N962" s="85"/>
      <c r="O962" s="2"/>
      <c r="P962" s="75" t="n">
        <v>959</v>
      </c>
      <c r="Q962" s="146" t="n">
        <v>21541.635886941</v>
      </c>
      <c r="R962" s="146" t="n">
        <v>0.260313026219735</v>
      </c>
      <c r="S962" s="146" t="n">
        <v>0.0607665967642154</v>
      </c>
      <c r="T962" s="146" t="n">
        <v>0.0272992754834507</v>
      </c>
      <c r="U962" s="29"/>
      <c r="V962" s="29"/>
      <c r="W962" s="29"/>
      <c r="X962" s="29"/>
      <c r="Y962" s="29"/>
      <c r="Z962" s="75"/>
    </row>
    <row r="963" customFormat="false" ht="12.75" hidden="false" customHeight="true" outlineLevel="0" collapsed="false">
      <c r="A963" s="2"/>
      <c r="B963" s="2"/>
      <c r="C963" s="75"/>
      <c r="D963" s="75"/>
      <c r="E963" s="75"/>
      <c r="F963" s="75"/>
      <c r="G963" s="75"/>
      <c r="H963" s="75"/>
      <c r="I963" s="2"/>
      <c r="J963" s="83"/>
      <c r="K963" s="83"/>
      <c r="L963" s="83"/>
      <c r="M963" s="83"/>
      <c r="N963" s="83"/>
      <c r="O963" s="2"/>
      <c r="P963" s="75" t="n">
        <v>960</v>
      </c>
      <c r="Q963" s="146" t="n">
        <v>21563.798004192</v>
      </c>
      <c r="R963" s="146" t="n">
        <v>0.260134552260634</v>
      </c>
      <c r="S963" s="146" t="n">
        <v>0.0575934671857093</v>
      </c>
      <c r="T963" s="146" t="n">
        <v>0.0268978720781507</v>
      </c>
      <c r="U963" s="29"/>
      <c r="V963" s="29"/>
      <c r="W963" s="29"/>
      <c r="X963" s="29"/>
      <c r="Y963" s="29"/>
      <c r="Z963" s="75"/>
    </row>
    <row r="964" customFormat="false" ht="12.75" hidden="false" customHeight="true" outlineLevel="0" collapsed="false">
      <c r="A964" s="2"/>
      <c r="B964" s="2"/>
      <c r="C964" s="75"/>
      <c r="D964" s="75"/>
      <c r="E964" s="75"/>
      <c r="F964" s="75"/>
      <c r="G964" s="75"/>
      <c r="H964" s="75"/>
      <c r="I964" s="2"/>
      <c r="J964" s="83"/>
      <c r="K964" s="83"/>
      <c r="L964" s="83"/>
      <c r="M964" s="83"/>
      <c r="N964" s="83"/>
      <c r="O964" s="2"/>
      <c r="P964" s="75" t="n">
        <v>961</v>
      </c>
      <c r="Q964" s="146" t="n">
        <v>21586.37369492</v>
      </c>
      <c r="R964" s="146" t="n">
        <v>0.260436552502333</v>
      </c>
      <c r="S964" s="146" t="n">
        <v>0.0564640743919874</v>
      </c>
      <c r="T964" s="146" t="n">
        <v>0.0265047774933052</v>
      </c>
      <c r="U964" s="29"/>
      <c r="V964" s="29"/>
      <c r="W964" s="29"/>
      <c r="X964" s="29"/>
      <c r="Y964" s="29"/>
      <c r="Z964" s="75"/>
    </row>
    <row r="965" customFormat="false" ht="12.75" hidden="false" customHeight="true" outlineLevel="0" collapsed="false">
      <c r="A965" s="2"/>
      <c r="B965" s="2"/>
      <c r="C965" s="75"/>
      <c r="D965" s="75"/>
      <c r="E965" s="75"/>
      <c r="F965" s="75"/>
      <c r="G965" s="75"/>
      <c r="H965" s="75"/>
      <c r="I965" s="2"/>
      <c r="J965" s="83"/>
      <c r="K965" s="83"/>
      <c r="L965" s="83"/>
      <c r="M965" s="83"/>
      <c r="N965" s="83"/>
      <c r="O965" s="2"/>
      <c r="P965" s="75" t="n">
        <v>962</v>
      </c>
      <c r="Q965" s="146" t="n">
        <v>21608.686265344</v>
      </c>
      <c r="R965" s="146" t="n">
        <v>0.260134675893979</v>
      </c>
      <c r="S965" s="146" t="n">
        <v>0.0600760087753878</v>
      </c>
      <c r="T965" s="146" t="n">
        <v>0.0257969807195164</v>
      </c>
      <c r="U965" s="29"/>
      <c r="V965" s="29"/>
      <c r="W965" s="29"/>
      <c r="X965" s="29"/>
      <c r="Y965" s="29"/>
      <c r="Z965" s="75"/>
    </row>
    <row r="966" customFormat="false" ht="12.75" hidden="false" customHeight="true" outlineLevel="0" collapsed="false">
      <c r="A966" s="2"/>
      <c r="B966" s="2"/>
      <c r="C966" s="75"/>
      <c r="D966" s="75"/>
      <c r="E966" s="75"/>
      <c r="F966" s="75"/>
      <c r="G966" s="75"/>
      <c r="H966" s="75"/>
      <c r="I966" s="2"/>
      <c r="J966" s="83"/>
      <c r="K966" s="83"/>
      <c r="L966" s="83"/>
      <c r="M966" s="83"/>
      <c r="N966" s="83"/>
      <c r="O966" s="2"/>
      <c r="P966" s="75" t="n">
        <v>963</v>
      </c>
      <c r="Q966" s="146" t="n">
        <v>21631.134683823</v>
      </c>
      <c r="R966" s="146" t="n">
        <v>0.259717196516372</v>
      </c>
      <c r="S966" s="146" t="n">
        <v>0.0671369342875662</v>
      </c>
      <c r="T966" s="146" t="n">
        <v>0.0250482653464386</v>
      </c>
      <c r="U966" s="29"/>
      <c r="V966" s="29"/>
      <c r="W966" s="29"/>
      <c r="X966" s="29"/>
      <c r="Y966" s="29"/>
      <c r="Z966" s="75"/>
    </row>
    <row r="967" customFormat="false" ht="12.75" hidden="false" customHeight="true" outlineLevel="0" collapsed="false">
      <c r="A967" s="2"/>
      <c r="B967" s="2"/>
      <c r="C967" s="75"/>
      <c r="D967" s="75"/>
      <c r="E967" s="75"/>
      <c r="F967" s="75"/>
      <c r="G967" s="75"/>
      <c r="H967" s="75"/>
      <c r="I967" s="2"/>
      <c r="J967" s="83"/>
      <c r="K967" s="83"/>
      <c r="L967" s="83"/>
      <c r="M967" s="83"/>
      <c r="N967" s="83"/>
      <c r="O967" s="2"/>
      <c r="P967" s="75" t="n">
        <v>964</v>
      </c>
      <c r="Q967" s="146" t="n">
        <v>21653.622440488</v>
      </c>
      <c r="R967" s="146" t="n">
        <v>0.259682843261574</v>
      </c>
      <c r="S967" s="146" t="n">
        <v>0.0753302038689626</v>
      </c>
      <c r="T967" s="146" t="n">
        <v>0.024977158274278</v>
      </c>
      <c r="U967" s="29"/>
      <c r="V967" s="29"/>
      <c r="W967" s="29"/>
      <c r="X967" s="29"/>
      <c r="Y967" s="29"/>
      <c r="Z967" s="75"/>
    </row>
    <row r="968" customFormat="false" ht="12.75" hidden="false" customHeight="true" outlineLevel="0" collapsed="false">
      <c r="A968" s="2"/>
      <c r="B968" s="2"/>
      <c r="C968" s="75"/>
      <c r="D968" s="75"/>
      <c r="E968" s="75"/>
      <c r="F968" s="75"/>
      <c r="G968" s="75"/>
      <c r="H968" s="75"/>
      <c r="I968" s="2"/>
      <c r="J968" s="83"/>
      <c r="K968" s="83"/>
      <c r="L968" s="83"/>
      <c r="M968" s="83"/>
      <c r="N968" s="83"/>
      <c r="O968" s="2"/>
      <c r="P968" s="75" t="n">
        <v>965</v>
      </c>
      <c r="Q968" s="146" t="n">
        <v>21676.054816514</v>
      </c>
      <c r="R968" s="146" t="n">
        <v>0.259978331330333</v>
      </c>
      <c r="S968" s="146" t="n">
        <v>0.0816728924465247</v>
      </c>
      <c r="T968" s="146" t="n">
        <v>0.0248909670736794</v>
      </c>
      <c r="U968" s="29"/>
      <c r="V968" s="29"/>
      <c r="W968" s="29"/>
      <c r="X968" s="29"/>
      <c r="Y968" s="29"/>
      <c r="Z968" s="75"/>
    </row>
    <row r="969" customFormat="false" ht="12.75" hidden="false" customHeight="true" outlineLevel="0" collapsed="false">
      <c r="A969" s="2"/>
      <c r="B969" s="2"/>
      <c r="C969" s="75"/>
      <c r="D969" s="75"/>
      <c r="E969" s="75"/>
      <c r="F969" s="75"/>
      <c r="G969" s="75"/>
      <c r="H969" s="75"/>
      <c r="I969" s="2"/>
      <c r="J969" s="83"/>
      <c r="K969" s="83"/>
      <c r="L969" s="83"/>
      <c r="M969" s="83"/>
      <c r="N969" s="83"/>
      <c r="O969" s="2"/>
      <c r="P969" s="75" t="n">
        <v>966</v>
      </c>
      <c r="Q969" s="146" t="n">
        <v>21697.886128373</v>
      </c>
      <c r="R969" s="146" t="n">
        <v>0.260251043086635</v>
      </c>
      <c r="S969" s="146" t="n">
        <v>0.0838464282918833</v>
      </c>
      <c r="T969" s="146" t="n">
        <v>0.0254362625990748</v>
      </c>
      <c r="U969" s="29"/>
      <c r="V969" s="29"/>
      <c r="W969" s="29"/>
      <c r="X969" s="29"/>
      <c r="Y969" s="29"/>
      <c r="Z969" s="75"/>
    </row>
    <row r="970" customFormat="false" ht="12.75" hidden="false" customHeight="true" outlineLevel="0" collapsed="false">
      <c r="A970" s="2"/>
      <c r="B970" s="2"/>
      <c r="C970" s="75"/>
      <c r="D970" s="75"/>
      <c r="E970" s="75"/>
      <c r="F970" s="75"/>
      <c r="G970" s="75"/>
      <c r="H970" s="75"/>
      <c r="I970" s="2"/>
      <c r="J970" s="83"/>
      <c r="K970" s="83"/>
      <c r="L970" s="83"/>
      <c r="M970" s="83"/>
      <c r="N970" s="83"/>
      <c r="O970" s="2"/>
      <c r="P970" s="75" t="n">
        <v>967</v>
      </c>
      <c r="Q970" s="146" t="n">
        <v>21721.122400719</v>
      </c>
      <c r="R970" s="146" t="n">
        <v>0.261268898756317</v>
      </c>
      <c r="S970" s="146" t="n">
        <v>0.0963501739075063</v>
      </c>
      <c r="T970" s="146" t="n">
        <v>0.0267262389013045</v>
      </c>
      <c r="U970" s="29"/>
      <c r="V970" s="29"/>
      <c r="W970" s="29"/>
      <c r="X970" s="29"/>
      <c r="Y970" s="29"/>
      <c r="Z970" s="75"/>
    </row>
    <row r="971" customFormat="false" ht="12.75" hidden="false" customHeight="true" outlineLevel="0" collapsed="false">
      <c r="A971" s="2"/>
      <c r="B971" s="2"/>
      <c r="C971" s="75"/>
      <c r="D971" s="75"/>
      <c r="E971" s="75"/>
      <c r="F971" s="75"/>
      <c r="G971" s="75"/>
      <c r="H971" s="75"/>
      <c r="I971" s="2"/>
      <c r="J971" s="83"/>
      <c r="K971" s="83"/>
      <c r="L971" s="83"/>
      <c r="M971" s="83"/>
      <c r="N971" s="83"/>
      <c r="O971" s="2"/>
      <c r="P971" s="75" t="n">
        <v>968</v>
      </c>
      <c r="Q971" s="146" t="n">
        <v>21743.281006004</v>
      </c>
      <c r="R971" s="146" t="n">
        <v>0.261463226072678</v>
      </c>
      <c r="S971" s="146" t="n">
        <v>0.0978397995342421</v>
      </c>
      <c r="T971" s="146" t="n">
        <v>0.0272212535291208</v>
      </c>
      <c r="U971" s="29"/>
      <c r="V971" s="29"/>
      <c r="W971" s="29"/>
      <c r="X971" s="29"/>
      <c r="Y971" s="29"/>
      <c r="Z971" s="75"/>
    </row>
    <row r="972" customFormat="false" ht="12.75" hidden="false" customHeight="true" outlineLevel="0" collapsed="false">
      <c r="A972" s="2"/>
      <c r="B972" s="2"/>
      <c r="C972" s="75"/>
      <c r="D972" s="75"/>
      <c r="E972" s="75"/>
      <c r="F972" s="75"/>
      <c r="G972" s="75"/>
      <c r="H972" s="75"/>
      <c r="I972" s="2"/>
      <c r="J972" s="83"/>
      <c r="K972" s="83"/>
      <c r="L972" s="83"/>
      <c r="M972" s="83"/>
      <c r="N972" s="83"/>
      <c r="O972" s="2"/>
      <c r="P972" s="75" t="n">
        <v>969</v>
      </c>
      <c r="Q972" s="146" t="n">
        <v>21765.407069866</v>
      </c>
      <c r="R972" s="146" t="n">
        <v>0.262461007575071</v>
      </c>
      <c r="S972" s="146" t="n">
        <v>0.100216744419113</v>
      </c>
      <c r="T972" s="146" t="n">
        <v>0.0284754486560621</v>
      </c>
      <c r="U972" s="29"/>
      <c r="V972" s="29"/>
      <c r="W972" s="29"/>
      <c r="X972" s="29"/>
      <c r="Y972" s="29"/>
      <c r="Z972" s="75"/>
    </row>
    <row r="973" customFormat="false" ht="12.75" hidden="false" customHeight="true" outlineLevel="0" collapsed="false">
      <c r="A973" s="2"/>
      <c r="B973" s="2"/>
      <c r="C973" s="75"/>
      <c r="D973" s="75"/>
      <c r="E973" s="75"/>
      <c r="F973" s="75"/>
      <c r="G973" s="75"/>
      <c r="H973" s="75"/>
      <c r="I973" s="2"/>
      <c r="J973" s="83"/>
      <c r="K973" s="83"/>
      <c r="L973" s="83"/>
      <c r="M973" s="83"/>
      <c r="N973" s="83"/>
      <c r="O973" s="2"/>
      <c r="P973" s="75" t="n">
        <v>970</v>
      </c>
      <c r="Q973" s="146" t="n">
        <v>21788.001874104</v>
      </c>
      <c r="R973" s="146" t="n">
        <v>0.263119444589946</v>
      </c>
      <c r="S973" s="146" t="n">
        <v>0.101830341064587</v>
      </c>
      <c r="T973" s="146" t="n">
        <v>0.0310538374608912</v>
      </c>
      <c r="U973" s="29"/>
      <c r="V973" s="29"/>
      <c r="W973" s="29"/>
      <c r="X973" s="29"/>
      <c r="Y973" s="29"/>
      <c r="Z973" s="75"/>
    </row>
    <row r="974" customFormat="false" ht="12.75" hidden="false" customHeight="true" outlineLevel="0" collapsed="false">
      <c r="A974" s="2"/>
      <c r="B974" s="2"/>
      <c r="C974" s="75"/>
      <c r="D974" s="75"/>
      <c r="E974" s="75"/>
      <c r="F974" s="75"/>
      <c r="G974" s="75"/>
      <c r="H974" s="75"/>
      <c r="I974" s="2"/>
      <c r="J974" s="83"/>
      <c r="K974" s="83"/>
      <c r="L974" s="83"/>
      <c r="M974" s="83"/>
      <c r="N974" s="83"/>
      <c r="O974" s="2"/>
      <c r="P974" s="75" t="n">
        <v>971</v>
      </c>
      <c r="Q974" s="146" t="n">
        <v>21810.010878343</v>
      </c>
      <c r="R974" s="146" t="n">
        <v>0.263803360954576</v>
      </c>
      <c r="S974" s="146" t="n">
        <v>0.102121379637053</v>
      </c>
      <c r="T974" s="146" t="n">
        <v>0.0325504165746704</v>
      </c>
      <c r="U974" s="29"/>
      <c r="V974" s="29"/>
      <c r="W974" s="29"/>
      <c r="X974" s="29"/>
      <c r="Y974" s="29"/>
      <c r="Z974" s="75"/>
    </row>
    <row r="975" customFormat="false" ht="12.75" hidden="false" customHeight="true" outlineLevel="0" collapsed="false">
      <c r="A975" s="2"/>
      <c r="B975" s="2"/>
      <c r="C975" s="75"/>
      <c r="D975" s="75"/>
      <c r="E975" s="75"/>
      <c r="F975" s="75"/>
      <c r="G975" s="75"/>
      <c r="H975" s="75"/>
      <c r="I975" s="2"/>
      <c r="J975" s="83"/>
      <c r="K975" s="83"/>
      <c r="L975" s="83"/>
      <c r="M975" s="83"/>
      <c r="N975" s="83"/>
      <c r="O975" s="2"/>
      <c r="P975" s="75" t="n">
        <v>972</v>
      </c>
      <c r="Q975" s="146" t="n">
        <v>21832.888665813</v>
      </c>
      <c r="R975" s="146" t="n">
        <v>0.263860696121022</v>
      </c>
      <c r="S975" s="146" t="n">
        <v>0.099696206631605</v>
      </c>
      <c r="T975" s="146" t="n">
        <v>0.0348509402579825</v>
      </c>
      <c r="U975" s="29"/>
      <c r="V975" s="29"/>
      <c r="W975" s="29"/>
      <c r="X975" s="29"/>
      <c r="Y975" s="29"/>
      <c r="Z975" s="75"/>
    </row>
    <row r="976" customFormat="false" ht="12.75" hidden="false" customHeight="true" outlineLevel="0" collapsed="false">
      <c r="A976" s="2"/>
      <c r="B976" s="2"/>
      <c r="C976" s="75"/>
      <c r="D976" s="75"/>
      <c r="E976" s="75"/>
      <c r="F976" s="75"/>
      <c r="G976" s="75"/>
      <c r="H976" s="75"/>
      <c r="I976" s="2"/>
      <c r="J976" s="83"/>
      <c r="K976" s="83"/>
      <c r="L976" s="83"/>
      <c r="M976" s="83"/>
      <c r="N976" s="83"/>
      <c r="O976" s="2"/>
      <c r="P976" s="75" t="n">
        <v>973</v>
      </c>
      <c r="Q976" s="146" t="n">
        <v>21854.611515584</v>
      </c>
      <c r="R976" s="146" t="n">
        <v>0.264330157414053</v>
      </c>
      <c r="S976" s="146" t="n">
        <v>0.0992349695863765</v>
      </c>
      <c r="T976" s="146" t="n">
        <v>0.0364919494359816</v>
      </c>
      <c r="U976" s="29"/>
      <c r="V976" s="29"/>
      <c r="W976" s="29"/>
      <c r="X976" s="29"/>
      <c r="Y976" s="29"/>
      <c r="Z976" s="75"/>
    </row>
    <row r="977" customFormat="false" ht="12.75" hidden="false" customHeight="true" outlineLevel="0" collapsed="false">
      <c r="A977" s="2"/>
      <c r="B977" s="2"/>
      <c r="C977" s="75"/>
      <c r="D977" s="75"/>
      <c r="E977" s="75"/>
      <c r="F977" s="75"/>
      <c r="G977" s="75"/>
      <c r="H977" s="75"/>
      <c r="I977" s="2"/>
      <c r="J977" s="83"/>
      <c r="K977" s="83"/>
      <c r="L977" s="83"/>
      <c r="M977" s="83"/>
      <c r="N977" s="83"/>
      <c r="O977" s="2"/>
      <c r="P977" s="75" t="n">
        <v>974</v>
      </c>
      <c r="Q977" s="146" t="n">
        <v>21876.679215289</v>
      </c>
      <c r="R977" s="146" t="n">
        <v>0.264143176038603</v>
      </c>
      <c r="S977" s="146" t="n">
        <v>0.0973559944903831</v>
      </c>
      <c r="T977" s="146" t="n">
        <v>0.0375063128645462</v>
      </c>
      <c r="U977" s="29"/>
      <c r="V977" s="29"/>
      <c r="W977" s="29"/>
      <c r="X977" s="29"/>
      <c r="Y977" s="29"/>
      <c r="Z977" s="75"/>
    </row>
    <row r="978" customFormat="false" ht="12.75" hidden="false" customHeight="true" outlineLevel="0" collapsed="false">
      <c r="A978" s="2"/>
      <c r="B978" s="2"/>
      <c r="C978" s="75"/>
      <c r="D978" s="75"/>
      <c r="E978" s="75"/>
      <c r="F978" s="75"/>
      <c r="G978" s="75"/>
      <c r="H978" s="75"/>
      <c r="I978" s="2"/>
      <c r="J978" s="83"/>
      <c r="K978" s="83"/>
      <c r="L978" s="83"/>
      <c r="M978" s="83"/>
      <c r="N978" s="83"/>
      <c r="O978" s="2"/>
      <c r="P978" s="75" t="n">
        <v>975</v>
      </c>
      <c r="Q978" s="146" t="n">
        <v>21899.446331619</v>
      </c>
      <c r="R978" s="146" t="n">
        <v>0.263281831728212</v>
      </c>
      <c r="S978" s="146" t="n">
        <v>0.0877229894364357</v>
      </c>
      <c r="T978" s="146" t="n">
        <v>0.0388011056061963</v>
      </c>
      <c r="U978" s="29"/>
      <c r="V978" s="29"/>
      <c r="W978" s="29"/>
      <c r="X978" s="29"/>
      <c r="Y978" s="29"/>
      <c r="Z978" s="75"/>
    </row>
    <row r="979" customFormat="false" ht="12.75" hidden="false" customHeight="true" outlineLevel="0" collapsed="false">
      <c r="A979" s="2"/>
      <c r="B979" s="2"/>
      <c r="C979" s="75"/>
      <c r="D979" s="75"/>
      <c r="E979" s="75"/>
      <c r="F979" s="75"/>
      <c r="G979" s="75"/>
      <c r="H979" s="75"/>
      <c r="I979" s="2"/>
      <c r="J979" s="83"/>
      <c r="K979" s="83"/>
      <c r="L979" s="83"/>
      <c r="M979" s="83"/>
      <c r="N979" s="83"/>
      <c r="O979" s="2"/>
      <c r="P979" s="75" t="n">
        <v>976</v>
      </c>
      <c r="Q979" s="146" t="n">
        <v>21921.231857849</v>
      </c>
      <c r="R979" s="146" t="n">
        <v>0.263325238147498</v>
      </c>
      <c r="S979" s="146" t="n">
        <v>0.087283782270404</v>
      </c>
      <c r="T979" s="146" t="n">
        <v>0.0395274946184852</v>
      </c>
      <c r="U979" s="29"/>
      <c r="V979" s="29"/>
      <c r="W979" s="29"/>
      <c r="X979" s="29"/>
      <c r="Y979" s="29"/>
      <c r="Z979" s="75"/>
    </row>
    <row r="980" customFormat="false" ht="12.75" hidden="false" customHeight="true" outlineLevel="0" collapsed="false">
      <c r="A980" s="2"/>
      <c r="B980" s="2"/>
      <c r="C980" s="75"/>
      <c r="D980" s="75"/>
      <c r="E980" s="75"/>
      <c r="F980" s="75"/>
      <c r="G980" s="75"/>
      <c r="H980" s="75"/>
      <c r="I980" s="2"/>
      <c r="J980" s="83"/>
      <c r="K980" s="83"/>
      <c r="L980" s="83"/>
      <c r="M980" s="83"/>
      <c r="N980" s="83"/>
      <c r="O980" s="2"/>
      <c r="P980" s="75" t="n">
        <v>977</v>
      </c>
      <c r="Q980" s="146" t="n">
        <v>21943.190638437</v>
      </c>
      <c r="R980" s="146" t="n">
        <v>0.263147689847145</v>
      </c>
      <c r="S980" s="146" t="n">
        <v>0.0867071478686635</v>
      </c>
      <c r="T980" s="146" t="n">
        <v>0.0394374669820135</v>
      </c>
      <c r="U980" s="29"/>
      <c r="V980" s="29"/>
      <c r="W980" s="29"/>
      <c r="X980" s="29"/>
      <c r="Y980" s="29"/>
      <c r="Z980" s="75"/>
    </row>
    <row r="981" customFormat="false" ht="12.75" hidden="false" customHeight="true" outlineLevel="0" collapsed="false">
      <c r="A981" s="2"/>
      <c r="B981" s="2"/>
      <c r="C981" s="75"/>
      <c r="D981" s="75"/>
      <c r="E981" s="75"/>
      <c r="F981" s="75"/>
      <c r="G981" s="75"/>
      <c r="H981" s="75"/>
      <c r="I981" s="2"/>
      <c r="J981" s="83"/>
      <c r="K981" s="83"/>
      <c r="L981" s="83"/>
      <c r="M981" s="83"/>
      <c r="N981" s="83"/>
      <c r="O981" s="2"/>
      <c r="P981" s="75" t="n">
        <v>978</v>
      </c>
      <c r="Q981" s="146" t="n">
        <v>21965.636470686</v>
      </c>
      <c r="R981" s="146" t="n">
        <v>0.262729215294</v>
      </c>
      <c r="S981" s="146" t="n">
        <v>0.0855030830675284</v>
      </c>
      <c r="T981" s="146" t="n">
        <v>0.0376874309584481</v>
      </c>
      <c r="U981" s="29"/>
      <c r="V981" s="29"/>
      <c r="W981" s="29"/>
      <c r="X981" s="29"/>
      <c r="Y981" s="29"/>
      <c r="Z981" s="75"/>
    </row>
    <row r="982" customFormat="false" ht="12.75" hidden="false" customHeight="true" outlineLevel="0" collapsed="false">
      <c r="A982" s="2"/>
      <c r="B982" s="2"/>
      <c r="C982" s="75"/>
      <c r="D982" s="75"/>
      <c r="E982" s="75"/>
      <c r="F982" s="75"/>
      <c r="G982" s="75"/>
      <c r="H982" s="75"/>
      <c r="I982" s="2"/>
      <c r="J982" s="83"/>
      <c r="K982" s="83"/>
      <c r="L982" s="83"/>
      <c r="M982" s="83"/>
      <c r="N982" s="83"/>
      <c r="O982" s="2"/>
      <c r="P982" s="75" t="n">
        <v>979</v>
      </c>
      <c r="Q982" s="146" t="n">
        <v>21987.858067919</v>
      </c>
      <c r="R982" s="146" t="n">
        <v>0.263182913820353</v>
      </c>
      <c r="S982" s="146" t="n">
        <v>0.0865209758496122</v>
      </c>
      <c r="T982" s="146" t="n">
        <v>0.0365173815868537</v>
      </c>
      <c r="U982" s="29"/>
      <c r="V982" s="29"/>
      <c r="W982" s="29"/>
      <c r="X982" s="29"/>
      <c r="Y982" s="29"/>
      <c r="Z982" s="75"/>
    </row>
    <row r="983" customFormat="false" ht="12.75" hidden="false" customHeight="true" outlineLevel="0" collapsed="false">
      <c r="A983" s="2"/>
      <c r="B983" s="2"/>
      <c r="C983" s="75"/>
      <c r="D983" s="75"/>
      <c r="E983" s="75"/>
      <c r="F983" s="75"/>
      <c r="G983" s="75"/>
      <c r="H983" s="75"/>
      <c r="I983" s="2"/>
      <c r="J983" s="83"/>
      <c r="K983" s="83"/>
      <c r="L983" s="83"/>
      <c r="M983" s="83"/>
      <c r="N983" s="83"/>
      <c r="O983" s="2"/>
      <c r="P983" s="75" t="n">
        <v>980</v>
      </c>
      <c r="Q983" s="146" t="n">
        <v>22010.566942963</v>
      </c>
      <c r="R983" s="146" t="n">
        <v>0.263515762010875</v>
      </c>
      <c r="S983" s="146" t="n">
        <v>0.0901756218188178</v>
      </c>
      <c r="T983" s="146" t="n">
        <v>0.0348348309851967</v>
      </c>
      <c r="U983" s="29"/>
      <c r="V983" s="29"/>
      <c r="W983" s="29"/>
      <c r="X983" s="29"/>
      <c r="Y983" s="29"/>
      <c r="Z983" s="75"/>
    </row>
    <row r="984" customFormat="false" ht="12.75" hidden="false" customHeight="true" outlineLevel="0" collapsed="false">
      <c r="A984" s="2"/>
      <c r="B984" s="2"/>
      <c r="C984" s="75"/>
      <c r="D984" s="75"/>
      <c r="E984" s="75"/>
      <c r="F984" s="75"/>
      <c r="G984" s="75"/>
      <c r="H984" s="75"/>
      <c r="I984" s="2"/>
      <c r="J984" s="83"/>
      <c r="K984" s="83"/>
      <c r="L984" s="83"/>
      <c r="M984" s="83"/>
      <c r="N984" s="83"/>
      <c r="O984" s="2"/>
      <c r="P984" s="75" t="n">
        <v>981</v>
      </c>
      <c r="Q984" s="146" t="n">
        <v>22033.255396552</v>
      </c>
      <c r="R984" s="146" t="n">
        <v>0.264233741201323</v>
      </c>
      <c r="S984" s="146" t="n">
        <v>0.0952214019393617</v>
      </c>
      <c r="T984" s="146" t="n">
        <v>0.0334410997752822</v>
      </c>
      <c r="U984" s="29"/>
      <c r="V984" s="29"/>
      <c r="W984" s="29"/>
      <c r="X984" s="29"/>
      <c r="Y984" s="29"/>
      <c r="Z984" s="75"/>
    </row>
    <row r="985" customFormat="false" ht="12.75" hidden="false" customHeight="true" outlineLevel="0" collapsed="false">
      <c r="A985" s="2"/>
      <c r="B985" s="2"/>
      <c r="C985" s="75"/>
      <c r="D985" s="75"/>
      <c r="E985" s="75"/>
      <c r="F985" s="75"/>
      <c r="G985" s="75"/>
      <c r="H985" s="75"/>
      <c r="I985" s="2"/>
      <c r="J985" s="83"/>
      <c r="K985" s="83"/>
      <c r="L985" s="83"/>
      <c r="M985" s="83"/>
      <c r="N985" s="83"/>
      <c r="O985" s="2"/>
      <c r="P985" s="75" t="n">
        <v>982</v>
      </c>
      <c r="Q985" s="146" t="n">
        <v>22055.924203172</v>
      </c>
      <c r="R985" s="146" t="n">
        <v>0.264460629708924</v>
      </c>
      <c r="S985" s="146" t="n">
        <v>0.0999669506997076</v>
      </c>
      <c r="T985" s="146" t="n">
        <v>0.0323985756359371</v>
      </c>
      <c r="U985" s="29"/>
      <c r="V985" s="29"/>
      <c r="W985" s="29"/>
      <c r="X985" s="29"/>
      <c r="Y985" s="29"/>
      <c r="Z985" s="75"/>
    </row>
    <row r="986" customFormat="false" ht="12.75" hidden="false" customHeight="true" outlineLevel="0" collapsed="false">
      <c r="A986" s="2"/>
      <c r="B986" s="2"/>
      <c r="C986" s="75"/>
      <c r="D986" s="75"/>
      <c r="E986" s="75"/>
      <c r="F986" s="75"/>
      <c r="G986" s="75"/>
      <c r="H986" s="75"/>
      <c r="I986" s="2"/>
      <c r="J986" s="83"/>
      <c r="K986" s="83"/>
      <c r="L986" s="83"/>
      <c r="M986" s="83"/>
      <c r="N986" s="83"/>
      <c r="O986" s="2"/>
      <c r="P986" s="75" t="n">
        <v>983</v>
      </c>
      <c r="Q986" s="146" t="n">
        <v>22078.386739282</v>
      </c>
      <c r="R986" s="146" t="n">
        <v>0.264433193930106</v>
      </c>
      <c r="S986" s="146" t="n">
        <v>0.104216862562149</v>
      </c>
      <c r="T986" s="146" t="n">
        <v>0.0309358617345301</v>
      </c>
      <c r="U986" s="29"/>
      <c r="V986" s="29"/>
      <c r="W986" s="29"/>
      <c r="X986" s="29"/>
      <c r="Y986" s="29"/>
      <c r="Z986" s="75"/>
    </row>
    <row r="987" customFormat="false" ht="12.75" hidden="false" customHeight="true" outlineLevel="0" collapsed="false">
      <c r="A987" s="2"/>
      <c r="B987" s="2"/>
      <c r="C987" s="75"/>
      <c r="D987" s="75"/>
      <c r="E987" s="75"/>
      <c r="F987" s="75"/>
      <c r="G987" s="75"/>
      <c r="H987" s="75"/>
      <c r="I987" s="2"/>
      <c r="J987" s="83"/>
      <c r="K987" s="83"/>
      <c r="L987" s="83"/>
      <c r="M987" s="83"/>
      <c r="N987" s="83"/>
      <c r="O987" s="2"/>
      <c r="P987" s="75" t="n">
        <v>984</v>
      </c>
      <c r="Q987" s="146" t="n">
        <v>22100.711446795</v>
      </c>
      <c r="R987" s="146" t="n">
        <v>0.264427798646446</v>
      </c>
      <c r="S987" s="146" t="n">
        <v>0.106624483690858</v>
      </c>
      <c r="T987" s="146" t="n">
        <v>0.0305982377448154</v>
      </c>
      <c r="U987" s="29"/>
      <c r="V987" s="29"/>
      <c r="W987" s="29"/>
      <c r="X987" s="29"/>
      <c r="Y987" s="29"/>
      <c r="Z987" s="75"/>
    </row>
    <row r="988" customFormat="false" ht="12.75" hidden="false" customHeight="true" outlineLevel="0" collapsed="false">
      <c r="A988" s="2"/>
      <c r="B988" s="2"/>
      <c r="C988" s="75"/>
      <c r="D988" s="75"/>
      <c r="E988" s="75"/>
      <c r="F988" s="75"/>
      <c r="G988" s="75"/>
      <c r="H988" s="75"/>
      <c r="I988" s="2"/>
      <c r="J988" s="83"/>
      <c r="K988" s="83"/>
      <c r="L988" s="83"/>
      <c r="M988" s="83"/>
      <c r="N988" s="83"/>
      <c r="O988" s="2"/>
      <c r="P988" s="75" t="n">
        <v>985</v>
      </c>
      <c r="Q988" s="146" t="n">
        <v>22123.354752522</v>
      </c>
      <c r="R988" s="146" t="n">
        <v>0.264287269075687</v>
      </c>
      <c r="S988" s="146" t="n">
        <v>0.108176713613034</v>
      </c>
      <c r="T988" s="146" t="n">
        <v>0.0290253049874626</v>
      </c>
      <c r="U988" s="29"/>
      <c r="V988" s="29"/>
      <c r="W988" s="29"/>
      <c r="X988" s="29"/>
      <c r="Y988" s="29"/>
      <c r="Z988" s="75"/>
    </row>
    <row r="989" customFormat="false" ht="12.75" hidden="false" customHeight="true" outlineLevel="0" collapsed="false">
      <c r="A989" s="2"/>
      <c r="B989" s="2"/>
      <c r="C989" s="75"/>
      <c r="D989" s="75"/>
      <c r="E989" s="75"/>
      <c r="F989" s="75"/>
      <c r="G989" s="75"/>
      <c r="H989" s="75"/>
      <c r="I989" s="2"/>
      <c r="J989" s="83"/>
      <c r="K989" s="83"/>
      <c r="L989" s="83"/>
      <c r="M989" s="83"/>
      <c r="N989" s="83"/>
      <c r="O989" s="2"/>
      <c r="P989" s="75" t="n">
        <v>986</v>
      </c>
      <c r="Q989" s="146" t="n">
        <v>22145.629535384</v>
      </c>
      <c r="R989" s="146" t="n">
        <v>0.264344463368911</v>
      </c>
      <c r="S989" s="146" t="n">
        <v>0.107811180772239</v>
      </c>
      <c r="T989" s="146" t="n">
        <v>0.0291262285348293</v>
      </c>
      <c r="U989" s="29"/>
      <c r="V989" s="29"/>
      <c r="W989" s="29"/>
      <c r="X989" s="29"/>
      <c r="Y989" s="29"/>
      <c r="Z989" s="75"/>
    </row>
    <row r="990" customFormat="false" ht="12.75" hidden="false" customHeight="true" outlineLevel="0" collapsed="false">
      <c r="A990" s="2"/>
      <c r="B990" s="2"/>
      <c r="C990" s="75"/>
      <c r="D990" s="75"/>
      <c r="E990" s="75"/>
      <c r="F990" s="75"/>
      <c r="G990" s="75"/>
      <c r="H990" s="75"/>
      <c r="I990" s="2"/>
      <c r="J990" s="83"/>
      <c r="K990" s="83"/>
      <c r="L990" s="83"/>
      <c r="M990" s="83"/>
      <c r="N990" s="83"/>
      <c r="O990" s="2"/>
      <c r="P990" s="75" t="n">
        <v>987</v>
      </c>
      <c r="Q990" s="146" t="n">
        <v>22168.43388985</v>
      </c>
      <c r="R990" s="146" t="n">
        <v>0.264581342486495</v>
      </c>
      <c r="S990" s="146" t="n">
        <v>0.10559120771132</v>
      </c>
      <c r="T990" s="146" t="n">
        <v>0.0288264645405795</v>
      </c>
      <c r="U990" s="29"/>
      <c r="V990" s="29"/>
      <c r="W990" s="29"/>
      <c r="X990" s="29"/>
      <c r="Y990" s="29"/>
      <c r="Z990" s="75"/>
    </row>
    <row r="991" customFormat="false" ht="12.75" hidden="false" customHeight="true" outlineLevel="0" collapsed="false">
      <c r="A991" s="2"/>
      <c r="B991" s="2"/>
      <c r="C991" s="75"/>
      <c r="D991" s="75"/>
      <c r="E991" s="75"/>
      <c r="F991" s="75"/>
      <c r="G991" s="75"/>
      <c r="H991" s="75"/>
      <c r="I991" s="2"/>
      <c r="J991" s="83"/>
      <c r="K991" s="83"/>
      <c r="L991" s="83"/>
      <c r="M991" s="83"/>
      <c r="N991" s="83"/>
      <c r="O991" s="2"/>
      <c r="P991" s="75" t="n">
        <v>988</v>
      </c>
      <c r="Q991" s="146" t="n">
        <v>22191.201798188</v>
      </c>
      <c r="R991" s="146" t="n">
        <v>0.265691782340009</v>
      </c>
      <c r="S991" s="146" t="n">
        <v>0.100474645558976</v>
      </c>
      <c r="T991" s="146" t="n">
        <v>0.0296357111488944</v>
      </c>
      <c r="U991" s="29"/>
      <c r="V991" s="29"/>
      <c r="W991" s="29"/>
      <c r="X991" s="29"/>
      <c r="Y991" s="29"/>
      <c r="Z991" s="75"/>
    </row>
    <row r="992" customFormat="false" ht="12.75" hidden="false" customHeight="true" outlineLevel="0" collapsed="false">
      <c r="A992" s="2"/>
      <c r="B992" s="2"/>
      <c r="C992" s="75"/>
      <c r="D992" s="75"/>
      <c r="E992" s="75"/>
      <c r="F992" s="75"/>
      <c r="G992" s="75"/>
      <c r="H992" s="75"/>
      <c r="I992" s="2"/>
      <c r="J992" s="83"/>
      <c r="K992" s="83"/>
      <c r="L992" s="83"/>
      <c r="M992" s="83"/>
      <c r="N992" s="83"/>
      <c r="O992" s="2"/>
      <c r="P992" s="75" t="n">
        <v>989</v>
      </c>
      <c r="Q992" s="146" t="n">
        <v>22213.9036963</v>
      </c>
      <c r="R992" s="146" t="n">
        <v>0.266305408839374</v>
      </c>
      <c r="S992" s="146" t="n">
        <v>0.0944807730997716</v>
      </c>
      <c r="T992" s="146" t="n">
        <v>0.0303104078795059</v>
      </c>
      <c r="U992" s="29"/>
      <c r="V992" s="29"/>
      <c r="W992" s="29"/>
      <c r="X992" s="29"/>
      <c r="Y992" s="29"/>
      <c r="Z992" s="75"/>
    </row>
    <row r="993" customFormat="false" ht="12.75" hidden="false" customHeight="true" outlineLevel="0" collapsed="false">
      <c r="A993" s="2"/>
      <c r="B993" s="2"/>
      <c r="C993" s="75"/>
      <c r="D993" s="75"/>
      <c r="E993" s="75"/>
      <c r="F993" s="75"/>
      <c r="G993" s="75"/>
      <c r="H993" s="75"/>
      <c r="I993" s="2"/>
      <c r="J993" s="83"/>
      <c r="K993" s="83"/>
      <c r="L993" s="83"/>
      <c r="M993" s="83"/>
      <c r="N993" s="83"/>
      <c r="O993" s="2"/>
      <c r="P993" s="75" t="n">
        <v>990</v>
      </c>
      <c r="Q993" s="146" t="n">
        <v>22236.586033264</v>
      </c>
      <c r="R993" s="146" t="n">
        <v>0.267181525436009</v>
      </c>
      <c r="S993" s="146" t="n">
        <v>0.087683472741969</v>
      </c>
      <c r="T993" s="146" t="n">
        <v>0.0313091049950736</v>
      </c>
      <c r="U993" s="29"/>
      <c r="V993" s="29"/>
      <c r="W993" s="29"/>
      <c r="X993" s="29"/>
      <c r="Y993" s="29"/>
      <c r="Z993" s="75"/>
    </row>
    <row r="994" customFormat="false" ht="12.75" hidden="false" customHeight="true" outlineLevel="0" collapsed="false">
      <c r="A994" s="2"/>
      <c r="B994" s="2"/>
      <c r="C994" s="75"/>
      <c r="D994" s="75"/>
      <c r="E994" s="75"/>
      <c r="F994" s="75"/>
      <c r="G994" s="75"/>
      <c r="H994" s="75"/>
      <c r="I994" s="2"/>
      <c r="J994" s="83"/>
      <c r="K994" s="83"/>
      <c r="L994" s="83"/>
      <c r="M994" s="83"/>
      <c r="N994" s="83"/>
      <c r="O994" s="2"/>
      <c r="P994" s="75" t="n">
        <v>991</v>
      </c>
      <c r="Q994" s="146" t="n">
        <v>22258.646625888</v>
      </c>
      <c r="R994" s="146" t="n">
        <v>0.267983975434268</v>
      </c>
      <c r="S994" s="146" t="n">
        <v>0.0830807190150768</v>
      </c>
      <c r="T994" s="146" t="n">
        <v>0.0321689903408089</v>
      </c>
      <c r="U994" s="29"/>
      <c r="V994" s="29"/>
      <c r="W994" s="29"/>
      <c r="X994" s="29"/>
      <c r="Y994" s="29"/>
      <c r="Z994" s="75"/>
    </row>
    <row r="995" customFormat="false" ht="12.75" hidden="false" customHeight="true" outlineLevel="0" collapsed="false">
      <c r="A995" s="2"/>
      <c r="B995" s="2"/>
      <c r="C995" s="75"/>
      <c r="D995" s="75"/>
      <c r="E995" s="75"/>
      <c r="F995" s="75"/>
      <c r="G995" s="75"/>
      <c r="H995" s="75"/>
      <c r="I995" s="2"/>
      <c r="J995" s="83"/>
      <c r="K995" s="83"/>
      <c r="L995" s="83"/>
      <c r="M995" s="83"/>
      <c r="N995" s="83"/>
      <c r="O995" s="2"/>
      <c r="P995" s="75" t="n">
        <v>992</v>
      </c>
      <c r="Q995" s="146" t="n">
        <v>22281.29098508</v>
      </c>
      <c r="R995" s="146" t="n">
        <v>0.268880574311251</v>
      </c>
      <c r="S995" s="146" t="n">
        <v>0.0788574489999687</v>
      </c>
      <c r="T995" s="146" t="n">
        <v>0.032536885211879</v>
      </c>
      <c r="U995" s="29"/>
      <c r="V995" s="29"/>
      <c r="W995" s="29"/>
      <c r="X995" s="29"/>
      <c r="Y995" s="29"/>
      <c r="Z995" s="75"/>
    </row>
    <row r="996" customFormat="false" ht="12.75" hidden="false" customHeight="true" outlineLevel="0" collapsed="false">
      <c r="A996" s="2"/>
      <c r="B996" s="2"/>
      <c r="C996" s="75"/>
      <c r="D996" s="75"/>
      <c r="E996" s="75"/>
      <c r="F996" s="75"/>
      <c r="G996" s="75"/>
      <c r="H996" s="75"/>
      <c r="I996" s="2"/>
      <c r="J996" s="83"/>
      <c r="K996" s="83"/>
      <c r="L996" s="83"/>
      <c r="M996" s="83"/>
      <c r="N996" s="83"/>
      <c r="O996" s="2"/>
      <c r="P996" s="75" t="n">
        <v>993</v>
      </c>
      <c r="Q996" s="146" t="n">
        <v>22303.769663102</v>
      </c>
      <c r="R996" s="146" t="n">
        <v>0.269754954046146</v>
      </c>
      <c r="S996" s="146" t="n">
        <v>0.0770434854318654</v>
      </c>
      <c r="T996" s="146" t="n">
        <v>0.0326816179459428</v>
      </c>
      <c r="U996" s="29"/>
      <c r="V996" s="29"/>
      <c r="W996" s="29"/>
      <c r="X996" s="29"/>
      <c r="Y996" s="29"/>
      <c r="Z996" s="75"/>
    </row>
    <row r="997" customFormat="false" ht="12.75" hidden="false" customHeight="true" outlineLevel="0" collapsed="false">
      <c r="A997" s="2"/>
      <c r="B997" s="2"/>
      <c r="C997" s="75"/>
      <c r="D997" s="75"/>
      <c r="E997" s="75"/>
      <c r="F997" s="75"/>
      <c r="G997" s="75"/>
      <c r="H997" s="75"/>
      <c r="I997" s="2"/>
      <c r="J997" s="83"/>
      <c r="K997" s="83"/>
      <c r="L997" s="83"/>
      <c r="M997" s="83"/>
      <c r="N997" s="83"/>
      <c r="O997" s="2"/>
      <c r="P997" s="75" t="n">
        <v>994</v>
      </c>
      <c r="Q997" s="146" t="n">
        <v>22326.537943838</v>
      </c>
      <c r="R997" s="146" t="n">
        <v>0.270509732174972</v>
      </c>
      <c r="S997" s="146" t="n">
        <v>0.07852205907369</v>
      </c>
      <c r="T997" s="146" t="n">
        <v>0.032342287314583</v>
      </c>
      <c r="U997" s="29"/>
      <c r="V997" s="29"/>
      <c r="W997" s="29"/>
      <c r="X997" s="29"/>
      <c r="Y997" s="29"/>
      <c r="Z997" s="75"/>
    </row>
    <row r="998" customFormat="false" ht="12.75" hidden="false" customHeight="true" outlineLevel="0" collapsed="false">
      <c r="A998" s="2"/>
      <c r="B998" s="2"/>
      <c r="C998" s="75"/>
      <c r="D998" s="75"/>
      <c r="E998" s="75"/>
      <c r="F998" s="75"/>
      <c r="G998" s="75"/>
      <c r="H998" s="75"/>
      <c r="I998" s="2"/>
      <c r="J998" s="83"/>
      <c r="K998" s="83"/>
      <c r="L998" s="83"/>
      <c r="M998" s="83"/>
      <c r="N998" s="83"/>
      <c r="O998" s="2"/>
      <c r="P998" s="75" t="n">
        <v>995</v>
      </c>
      <c r="Q998" s="146" t="n">
        <v>22349.399381645</v>
      </c>
      <c r="R998" s="146" t="n">
        <v>0.271187685201299</v>
      </c>
      <c r="S998" s="146" t="n">
        <v>0.0811412607046798</v>
      </c>
      <c r="T998" s="146" t="n">
        <v>0.0312753734579281</v>
      </c>
      <c r="U998" s="29"/>
      <c r="V998" s="29"/>
      <c r="W998" s="29"/>
      <c r="X998" s="29"/>
      <c r="Y998" s="29"/>
      <c r="Z998" s="75"/>
    </row>
    <row r="999" customFormat="false" ht="12.75" hidden="false" customHeight="true" outlineLevel="0" collapsed="false">
      <c r="A999" s="2"/>
      <c r="B999" s="2"/>
      <c r="C999" s="75"/>
      <c r="D999" s="75"/>
      <c r="E999" s="75"/>
      <c r="F999" s="75"/>
      <c r="G999" s="75"/>
      <c r="H999" s="75"/>
      <c r="I999" s="2"/>
      <c r="J999" s="83"/>
      <c r="K999" s="83"/>
      <c r="L999" s="83"/>
      <c r="M999" s="83"/>
      <c r="N999" s="83"/>
      <c r="O999" s="2"/>
      <c r="P999" s="75" t="n">
        <v>996</v>
      </c>
      <c r="Q999" s="146" t="n">
        <v>22372.043372069</v>
      </c>
      <c r="R999" s="146" t="n">
        <v>0.272183250354399</v>
      </c>
      <c r="S999" s="146" t="n">
        <v>0.0841097344363899</v>
      </c>
      <c r="T999" s="146" t="n">
        <v>0.0304681880143027</v>
      </c>
      <c r="U999" s="29"/>
      <c r="V999" s="29"/>
      <c r="W999" s="29"/>
      <c r="X999" s="29"/>
      <c r="Y999" s="29"/>
      <c r="Z999" s="75"/>
    </row>
    <row r="1000" customFormat="false" ht="12.75" hidden="false" customHeight="true" outlineLevel="0" collapsed="false">
      <c r="A1000" s="2"/>
      <c r="B1000" s="2"/>
      <c r="C1000" s="75"/>
      <c r="D1000" s="75"/>
      <c r="E1000" s="75"/>
      <c r="F1000" s="75"/>
      <c r="G1000" s="75"/>
      <c r="H1000" s="75"/>
      <c r="I1000" s="2"/>
      <c r="J1000" s="83"/>
      <c r="K1000" s="83"/>
      <c r="L1000" s="83"/>
      <c r="M1000" s="83"/>
      <c r="N1000" s="83"/>
      <c r="O1000" s="2"/>
      <c r="P1000" s="75" t="n">
        <v>997</v>
      </c>
      <c r="Q1000" s="146" t="n">
        <v>22394.302599135</v>
      </c>
      <c r="R1000" s="146" t="n">
        <v>0.273311647643278</v>
      </c>
      <c r="S1000" s="146" t="n">
        <v>0.0865884768821055</v>
      </c>
      <c r="T1000" s="146" t="n">
        <v>0.03025610988186</v>
      </c>
      <c r="U1000" s="29"/>
      <c r="V1000" s="29"/>
      <c r="W1000" s="29"/>
      <c r="X1000" s="29"/>
      <c r="Y1000" s="29"/>
      <c r="Z1000" s="75"/>
    </row>
    <row r="1001" customFormat="false" ht="12.75" hidden="false" customHeight="true" outlineLevel="0" collapsed="false">
      <c r="A1001" s="2"/>
      <c r="B1001" s="2"/>
      <c r="C1001" s="75"/>
      <c r="D1001" s="75"/>
      <c r="E1001" s="75"/>
      <c r="F1001" s="75"/>
      <c r="G1001" s="75"/>
      <c r="H1001" s="75"/>
      <c r="I1001" s="2"/>
      <c r="J1001" s="83"/>
      <c r="K1001" s="83"/>
      <c r="L1001" s="83"/>
      <c r="M1001" s="83"/>
      <c r="N1001" s="83"/>
      <c r="O1001" s="2"/>
      <c r="P1001" s="75" t="n">
        <v>998</v>
      </c>
      <c r="Q1001" s="146" t="n">
        <v>22416.572723836</v>
      </c>
      <c r="R1001" s="146" t="n">
        <v>0.274348743822784</v>
      </c>
      <c r="S1001" s="146" t="n">
        <v>0.0883832579240906</v>
      </c>
      <c r="T1001" s="146" t="n">
        <v>0.0306584229605312</v>
      </c>
      <c r="U1001" s="29"/>
      <c r="V1001" s="29"/>
      <c r="W1001" s="29"/>
      <c r="X1001" s="29"/>
      <c r="Y1001" s="29"/>
      <c r="Z1001" s="75"/>
    </row>
    <row r="1002" customFormat="false" ht="12.75" hidden="false" customHeight="true" outlineLevel="0" collapsed="false">
      <c r="A1002" s="2"/>
      <c r="B1002" s="2"/>
      <c r="C1002" s="75"/>
      <c r="D1002" s="75"/>
      <c r="E1002" s="75"/>
      <c r="F1002" s="75"/>
      <c r="G1002" s="75"/>
      <c r="H1002" s="75"/>
      <c r="I1002" s="2"/>
      <c r="J1002" s="83"/>
      <c r="K1002" s="83"/>
      <c r="L1002" s="83"/>
      <c r="M1002" s="83"/>
      <c r="N1002" s="83"/>
      <c r="O1002" s="2"/>
      <c r="P1002" s="75" t="n">
        <v>999</v>
      </c>
      <c r="Q1002" s="146" t="n">
        <v>22438.839398292</v>
      </c>
      <c r="R1002" s="146" t="n">
        <v>0.275044911983079</v>
      </c>
      <c r="S1002" s="146" t="n">
        <v>0.0896719021570151</v>
      </c>
      <c r="T1002" s="146" t="n">
        <v>0.0314639850276413</v>
      </c>
      <c r="U1002" s="29"/>
      <c r="V1002" s="29"/>
      <c r="W1002" s="29"/>
      <c r="X1002" s="29"/>
      <c r="Y1002" s="29"/>
      <c r="Z1002" s="75"/>
    </row>
    <row r="1003" customFormat="false" ht="12.75" hidden="false" customHeight="true" outlineLevel="0" collapsed="false">
      <c r="A1003" s="2"/>
      <c r="B1003" s="2"/>
      <c r="C1003" s="75"/>
      <c r="D1003" s="75"/>
      <c r="E1003" s="75"/>
      <c r="F1003" s="75"/>
      <c r="G1003" s="75"/>
      <c r="H1003" s="75"/>
      <c r="I1003" s="2"/>
      <c r="J1003" s="83"/>
      <c r="K1003" s="83"/>
      <c r="L1003" s="83"/>
      <c r="M1003" s="83"/>
      <c r="N1003" s="85"/>
      <c r="O1003" s="2"/>
      <c r="P1003" s="75" t="n">
        <v>1000</v>
      </c>
      <c r="Q1003" s="146" t="n">
        <v>22461.118677495</v>
      </c>
      <c r="R1003" s="146" t="n">
        <v>0.27533921721161</v>
      </c>
      <c r="S1003" s="146" t="n">
        <v>0.0904509868984405</v>
      </c>
      <c r="T1003" s="146" t="n">
        <v>0.0327409518362859</v>
      </c>
      <c r="U1003" s="29"/>
      <c r="V1003" s="29"/>
      <c r="W1003" s="29"/>
      <c r="X1003" s="29"/>
      <c r="Y1003" s="29"/>
      <c r="Z1003" s="75"/>
    </row>
    <row r="1004" customFormat="false" ht="12.75" hidden="false" customHeight="true" outlineLevel="0" collapsed="false">
      <c r="A1004" s="2"/>
      <c r="B1004" s="2"/>
      <c r="C1004" s="75"/>
      <c r="D1004" s="75"/>
      <c r="E1004" s="75"/>
      <c r="F1004" s="75"/>
      <c r="G1004" s="75"/>
      <c r="H1004" s="75"/>
      <c r="I1004" s="2"/>
      <c r="J1004" s="83"/>
      <c r="K1004" s="83"/>
      <c r="L1004" s="83"/>
      <c r="M1004" s="83"/>
      <c r="N1004" s="83"/>
      <c r="O1004" s="2"/>
      <c r="P1004" s="75" t="n">
        <v>1001</v>
      </c>
      <c r="Q1004" s="146" t="n">
        <v>22483.288553613</v>
      </c>
      <c r="R1004" s="146" t="n">
        <v>0.275114251259908</v>
      </c>
      <c r="S1004" s="146" t="n">
        <v>0.0908810267306494</v>
      </c>
      <c r="T1004" s="146" t="n">
        <v>0.0341436169106349</v>
      </c>
      <c r="U1004" s="29"/>
      <c r="V1004" s="29"/>
      <c r="W1004" s="29"/>
      <c r="X1004" s="29"/>
      <c r="Y1004" s="29"/>
      <c r="Z1004" s="75"/>
    </row>
    <row r="1005" customFormat="false" ht="12.75" hidden="false" customHeight="true" outlineLevel="0" collapsed="false">
      <c r="A1005" s="2"/>
      <c r="B1005" s="2"/>
      <c r="C1005" s="75"/>
      <c r="D1005" s="75"/>
      <c r="E1005" s="75"/>
      <c r="F1005" s="75"/>
      <c r="G1005" s="75"/>
      <c r="H1005" s="75"/>
      <c r="I1005" s="2"/>
      <c r="J1005" s="83"/>
      <c r="K1005" s="83"/>
      <c r="L1005" s="83"/>
      <c r="M1005" s="83"/>
      <c r="N1005" s="83"/>
      <c r="O1005" s="2"/>
      <c r="P1005" s="75" t="n">
        <v>1002</v>
      </c>
      <c r="Q1005" s="146" t="n">
        <v>22505.431834073</v>
      </c>
      <c r="R1005" s="146" t="n">
        <v>0.274713774936615</v>
      </c>
      <c r="S1005" s="146" t="n">
        <v>0.0910079259993447</v>
      </c>
      <c r="T1005" s="146" t="n">
        <v>0.0355123164771896</v>
      </c>
      <c r="U1005" s="29"/>
      <c r="V1005" s="29"/>
      <c r="W1005" s="29"/>
      <c r="X1005" s="29"/>
      <c r="Y1005" s="29"/>
      <c r="Z1005" s="75"/>
    </row>
    <row r="1006" customFormat="false" ht="12.75" hidden="false" customHeight="true" outlineLevel="0" collapsed="false">
      <c r="A1006" s="2"/>
      <c r="B1006" s="2"/>
      <c r="C1006" s="75"/>
      <c r="D1006" s="75"/>
      <c r="E1006" s="75"/>
      <c r="F1006" s="75"/>
      <c r="G1006" s="75"/>
      <c r="H1006" s="75"/>
      <c r="I1006" s="2"/>
      <c r="J1006" s="83"/>
      <c r="K1006" s="83"/>
      <c r="L1006" s="83"/>
      <c r="M1006" s="83"/>
      <c r="N1006" s="83"/>
      <c r="O1006" s="2"/>
      <c r="P1006" s="75" t="n">
        <v>1003</v>
      </c>
      <c r="Q1006" s="146" t="n">
        <v>22527.915203285</v>
      </c>
      <c r="R1006" s="146" t="n">
        <v>0.274384843860129</v>
      </c>
      <c r="S1006" s="146" t="n">
        <v>0.0907445770254047</v>
      </c>
      <c r="T1006" s="146" t="n">
        <v>0.0368929630248169</v>
      </c>
      <c r="U1006" s="29"/>
      <c r="V1006" s="29"/>
      <c r="W1006" s="29"/>
      <c r="X1006" s="29"/>
      <c r="Y1006" s="29"/>
      <c r="Z1006" s="75"/>
    </row>
    <row r="1007" customFormat="false" ht="12.75" hidden="false" customHeight="true" outlineLevel="0" collapsed="false">
      <c r="A1007" s="2"/>
      <c r="B1007" s="2"/>
      <c r="C1007" s="75"/>
      <c r="D1007" s="75"/>
      <c r="E1007" s="75"/>
      <c r="F1007" s="75"/>
      <c r="G1007" s="75"/>
      <c r="H1007" s="75"/>
      <c r="I1007" s="2"/>
      <c r="J1007" s="83"/>
      <c r="K1007" s="83"/>
      <c r="L1007" s="83"/>
      <c r="M1007" s="83"/>
      <c r="N1007" s="83"/>
      <c r="O1007" s="2"/>
      <c r="P1007" s="75" t="n">
        <v>1004</v>
      </c>
      <c r="Q1007" s="146" t="n">
        <v>22550.45563804</v>
      </c>
      <c r="R1007" s="146" t="n">
        <v>0.274095263929137</v>
      </c>
      <c r="S1007" s="146" t="n">
        <v>0.0895331482270679</v>
      </c>
      <c r="T1007" s="146" t="n">
        <v>0.0375487785523498</v>
      </c>
      <c r="U1007" s="29"/>
      <c r="V1007" s="29"/>
      <c r="W1007" s="29"/>
      <c r="X1007" s="29"/>
      <c r="Y1007" s="29"/>
      <c r="Z1007" s="75"/>
    </row>
    <row r="1008" customFormat="false" ht="12.75" hidden="false" customHeight="true" outlineLevel="0" collapsed="false">
      <c r="A1008" s="2"/>
      <c r="B1008" s="2"/>
      <c r="C1008" s="75"/>
      <c r="D1008" s="75"/>
      <c r="E1008" s="75"/>
      <c r="F1008" s="75"/>
      <c r="G1008" s="75"/>
      <c r="H1008" s="75"/>
      <c r="I1008" s="2"/>
      <c r="J1008" s="83"/>
      <c r="K1008" s="83"/>
      <c r="L1008" s="83"/>
      <c r="M1008" s="83"/>
      <c r="N1008" s="83"/>
      <c r="O1008" s="2"/>
      <c r="P1008" s="75" t="n">
        <v>1005</v>
      </c>
      <c r="Q1008" s="146" t="n">
        <v>22573.147324651</v>
      </c>
      <c r="R1008" s="146" t="n">
        <v>0.274082441346653</v>
      </c>
      <c r="S1008" s="146" t="n">
        <v>0.0878748179039346</v>
      </c>
      <c r="T1008" s="146" t="n">
        <v>0.0381229970256249</v>
      </c>
      <c r="U1008" s="29"/>
      <c r="V1008" s="29"/>
      <c r="W1008" s="29"/>
      <c r="X1008" s="29"/>
      <c r="Y1008" s="29"/>
      <c r="Z1008" s="75"/>
    </row>
    <row r="1009" customFormat="false" ht="12.75" hidden="false" customHeight="true" outlineLevel="0" collapsed="false">
      <c r="A1009" s="2"/>
      <c r="B1009" s="2"/>
      <c r="C1009" s="75"/>
      <c r="D1009" s="75"/>
      <c r="E1009" s="75"/>
      <c r="F1009" s="75"/>
      <c r="G1009" s="75"/>
      <c r="H1009" s="75"/>
      <c r="I1009" s="2"/>
      <c r="J1009" s="83"/>
      <c r="K1009" s="83"/>
      <c r="L1009" s="83"/>
      <c r="M1009" s="83"/>
      <c r="N1009" s="83"/>
      <c r="O1009" s="2"/>
      <c r="P1009" s="75" t="n">
        <v>1006</v>
      </c>
      <c r="Q1009" s="146" t="n">
        <v>22595.918616067</v>
      </c>
      <c r="R1009" s="146" t="n">
        <v>0.27414647372772</v>
      </c>
      <c r="S1009" s="146" t="n">
        <v>0.0856605572457613</v>
      </c>
      <c r="T1009" s="146" t="n">
        <v>0.0380898975094621</v>
      </c>
      <c r="U1009" s="29"/>
      <c r="V1009" s="29"/>
      <c r="W1009" s="29"/>
      <c r="X1009" s="29"/>
      <c r="Y1009" s="29"/>
      <c r="Z1009" s="75"/>
    </row>
    <row r="1010" customFormat="false" ht="12.75" hidden="false" customHeight="true" outlineLevel="0" collapsed="false">
      <c r="A1010" s="2"/>
      <c r="B1010" s="2"/>
      <c r="C1010" s="75"/>
      <c r="D1010" s="75"/>
      <c r="E1010" s="75"/>
      <c r="F1010" s="75"/>
      <c r="G1010" s="75"/>
      <c r="H1010" s="75"/>
      <c r="I1010" s="2"/>
      <c r="J1010" s="83"/>
      <c r="K1010" s="83"/>
      <c r="L1010" s="83"/>
      <c r="M1010" s="83"/>
      <c r="N1010" s="83"/>
      <c r="O1010" s="2"/>
      <c r="P1010" s="75" t="n">
        <v>1007</v>
      </c>
      <c r="Q1010" s="146" t="n">
        <v>22618.636145319</v>
      </c>
      <c r="R1010" s="146" t="n">
        <v>0.274513915890604</v>
      </c>
      <c r="S1010" s="146" t="n">
        <v>0.0834658613968138</v>
      </c>
      <c r="T1010" s="146" t="n">
        <v>0.0380090477368302</v>
      </c>
      <c r="U1010" s="29"/>
      <c r="V1010" s="29"/>
      <c r="W1010" s="29"/>
      <c r="X1010" s="29"/>
      <c r="Y1010" s="29"/>
      <c r="Z1010" s="75"/>
    </row>
    <row r="1011" customFormat="false" ht="12.75" hidden="false" customHeight="true" outlineLevel="0" collapsed="false">
      <c r="A1011" s="2"/>
      <c r="B1011" s="2"/>
      <c r="C1011" s="75"/>
      <c r="D1011" s="75"/>
      <c r="E1011" s="75"/>
      <c r="F1011" s="75"/>
      <c r="G1011" s="75"/>
      <c r="H1011" s="75"/>
      <c r="I1011" s="2"/>
      <c r="J1011" s="83"/>
      <c r="K1011" s="83"/>
      <c r="L1011" s="83"/>
      <c r="M1011" s="83"/>
      <c r="N1011" s="83"/>
      <c r="O1011" s="2"/>
      <c r="P1011" s="75" t="n">
        <v>1008</v>
      </c>
      <c r="Q1011" s="146" t="n">
        <v>22641.3169308</v>
      </c>
      <c r="R1011" s="146" t="n">
        <v>0.274978590334072</v>
      </c>
      <c r="S1011" s="146" t="n">
        <v>0.0804839708415763</v>
      </c>
      <c r="T1011" s="146" t="n">
        <v>0.0376017815564139</v>
      </c>
      <c r="U1011" s="29"/>
      <c r="V1011" s="29"/>
      <c r="W1011" s="29"/>
      <c r="X1011" s="29"/>
      <c r="Y1011" s="29"/>
      <c r="Z1011" s="75"/>
    </row>
    <row r="1012" customFormat="false" ht="12.75" hidden="false" customHeight="true" outlineLevel="0" collapsed="false">
      <c r="A1012" s="2"/>
      <c r="B1012" s="2"/>
      <c r="C1012" s="75"/>
      <c r="D1012" s="75"/>
      <c r="E1012" s="75"/>
      <c r="F1012" s="75"/>
      <c r="G1012" s="75"/>
      <c r="H1012" s="75"/>
      <c r="I1012" s="2"/>
      <c r="J1012" s="83"/>
      <c r="K1012" s="83"/>
      <c r="L1012" s="83"/>
      <c r="M1012" s="83"/>
      <c r="N1012" s="83"/>
      <c r="O1012" s="2"/>
      <c r="P1012" s="75" t="n">
        <v>1009</v>
      </c>
      <c r="Q1012" s="146" t="n">
        <v>22663.869474778</v>
      </c>
      <c r="R1012" s="146" t="n">
        <v>0.275440584610973</v>
      </c>
      <c r="S1012" s="146" t="n">
        <v>0.0785369849592227</v>
      </c>
      <c r="T1012" s="146" t="n">
        <v>0.0362510539694132</v>
      </c>
      <c r="U1012" s="29"/>
      <c r="V1012" s="29"/>
      <c r="W1012" s="29"/>
      <c r="X1012" s="29"/>
      <c r="Y1012" s="29"/>
      <c r="Z1012" s="75"/>
    </row>
    <row r="1013" customFormat="false" ht="12.75" hidden="false" customHeight="true" outlineLevel="0" collapsed="false">
      <c r="A1013" s="2"/>
      <c r="B1013" s="2"/>
      <c r="C1013" s="75"/>
      <c r="D1013" s="75"/>
      <c r="E1013" s="75"/>
      <c r="F1013" s="75"/>
      <c r="G1013" s="75"/>
      <c r="H1013" s="75"/>
      <c r="I1013" s="2"/>
      <c r="J1013" s="83"/>
      <c r="K1013" s="83"/>
      <c r="L1013" s="83"/>
      <c r="M1013" s="83"/>
      <c r="N1013" s="83"/>
      <c r="O1013" s="2"/>
      <c r="P1013" s="75" t="n">
        <v>1010</v>
      </c>
      <c r="Q1013" s="146" t="n">
        <v>22686.143642272</v>
      </c>
      <c r="R1013" s="146" t="n">
        <v>0.275845849608681</v>
      </c>
      <c r="S1013" s="146" t="n">
        <v>0.0776426858704927</v>
      </c>
      <c r="T1013" s="146" t="n">
        <v>0.0352783569117159</v>
      </c>
      <c r="U1013" s="29"/>
      <c r="V1013" s="29"/>
      <c r="W1013" s="29"/>
      <c r="X1013" s="29"/>
      <c r="Y1013" s="29"/>
      <c r="Z1013" s="75"/>
    </row>
    <row r="1014" customFormat="false" ht="12.75" hidden="false" customHeight="true" outlineLevel="0" collapsed="false">
      <c r="A1014" s="2"/>
      <c r="B1014" s="2"/>
      <c r="C1014" s="75"/>
      <c r="D1014" s="75"/>
      <c r="E1014" s="75"/>
      <c r="F1014" s="75"/>
      <c r="G1014" s="75"/>
      <c r="H1014" s="75"/>
      <c r="I1014" s="2"/>
      <c r="J1014" s="83"/>
      <c r="K1014" s="83"/>
      <c r="L1014" s="83"/>
      <c r="M1014" s="83"/>
      <c r="N1014" s="83"/>
      <c r="O1014" s="2"/>
      <c r="P1014" s="75" t="n">
        <v>1011</v>
      </c>
      <c r="Q1014" s="146" t="n">
        <v>22708.753733638</v>
      </c>
      <c r="R1014" s="146" t="n">
        <v>0.275640625941323</v>
      </c>
      <c r="S1014" s="146" t="n">
        <v>0.0780265930502088</v>
      </c>
      <c r="T1014" s="146" t="n">
        <v>0.0330674983277964</v>
      </c>
      <c r="U1014" s="29"/>
      <c r="V1014" s="29"/>
      <c r="W1014" s="29"/>
      <c r="X1014" s="29"/>
      <c r="Y1014" s="29"/>
      <c r="Z1014" s="75"/>
    </row>
    <row r="1015" customFormat="false" ht="12.75" hidden="false" customHeight="true" outlineLevel="0" collapsed="false">
      <c r="A1015" s="2"/>
      <c r="B1015" s="2"/>
      <c r="C1015" s="75"/>
      <c r="D1015" s="75"/>
      <c r="E1015" s="75"/>
      <c r="F1015" s="75"/>
      <c r="G1015" s="75"/>
      <c r="H1015" s="75"/>
      <c r="I1015" s="2"/>
      <c r="J1015" s="83"/>
      <c r="K1015" s="83"/>
      <c r="L1015" s="83"/>
      <c r="M1015" s="83"/>
      <c r="N1015" s="83"/>
      <c r="O1015" s="2"/>
      <c r="P1015" s="75" t="n">
        <v>1012</v>
      </c>
      <c r="Q1015" s="146" t="n">
        <v>22731.095815708</v>
      </c>
      <c r="R1015" s="146" t="n">
        <v>0.275403514301971</v>
      </c>
      <c r="S1015" s="146" t="n">
        <v>0.0790419723745591</v>
      </c>
      <c r="T1015" s="146" t="n">
        <v>0.0317139401204898</v>
      </c>
      <c r="U1015" s="29"/>
      <c r="V1015" s="29"/>
      <c r="W1015" s="29"/>
      <c r="X1015" s="29"/>
      <c r="Y1015" s="29"/>
      <c r="Z1015" s="75"/>
    </row>
    <row r="1016" customFormat="false" ht="12.75" hidden="false" customHeight="true" outlineLevel="0" collapsed="false">
      <c r="A1016" s="2"/>
      <c r="B1016" s="2"/>
      <c r="C1016" s="75"/>
      <c r="D1016" s="75"/>
      <c r="E1016" s="75"/>
      <c r="F1016" s="75"/>
      <c r="G1016" s="75"/>
      <c r="H1016" s="75"/>
      <c r="I1016" s="2"/>
      <c r="J1016" s="83"/>
      <c r="K1016" s="83"/>
      <c r="L1016" s="83"/>
      <c r="M1016" s="83"/>
      <c r="N1016" s="83"/>
      <c r="O1016" s="2"/>
      <c r="P1016" s="75" t="n">
        <v>1013</v>
      </c>
      <c r="Q1016" s="146" t="n">
        <v>22753.861801234</v>
      </c>
      <c r="R1016" s="146" t="n">
        <v>0.27394493949713</v>
      </c>
      <c r="S1016" s="146" t="n">
        <v>0.0819273310743076</v>
      </c>
      <c r="T1016" s="146" t="n">
        <v>0.0310397990652945</v>
      </c>
      <c r="U1016" s="29"/>
      <c r="V1016" s="29"/>
      <c r="W1016" s="29"/>
      <c r="X1016" s="29"/>
      <c r="Y1016" s="29"/>
      <c r="Z1016" s="75"/>
    </row>
    <row r="1017" customFormat="false" ht="12.75" hidden="false" customHeight="true" outlineLevel="0" collapsed="false">
      <c r="A1017" s="2"/>
      <c r="B1017" s="2"/>
      <c r="C1017" s="75"/>
      <c r="D1017" s="75"/>
      <c r="E1017" s="75"/>
      <c r="F1017" s="75"/>
      <c r="G1017" s="75"/>
      <c r="H1017" s="75"/>
      <c r="I1017" s="2"/>
      <c r="J1017" s="83"/>
      <c r="K1017" s="83"/>
      <c r="L1017" s="83"/>
      <c r="M1017" s="83"/>
      <c r="N1017" s="83"/>
      <c r="O1017" s="2"/>
      <c r="P1017" s="75" t="n">
        <v>1014</v>
      </c>
      <c r="Q1017" s="146" t="n">
        <v>22776.869061117</v>
      </c>
      <c r="R1017" s="146" t="n">
        <v>0.2729925184762</v>
      </c>
      <c r="S1017" s="146" t="n">
        <v>0.0856738769960607</v>
      </c>
      <c r="T1017" s="146" t="n">
        <v>0.0302167535960247</v>
      </c>
      <c r="U1017" s="29"/>
      <c r="V1017" s="29"/>
      <c r="W1017" s="29"/>
      <c r="X1017" s="29"/>
      <c r="Y1017" s="29"/>
      <c r="Z1017" s="75"/>
    </row>
    <row r="1018" customFormat="false" ht="12.75" hidden="false" customHeight="true" outlineLevel="0" collapsed="false">
      <c r="A1018" s="2"/>
      <c r="B1018" s="2"/>
      <c r="C1018" s="75"/>
      <c r="D1018" s="75"/>
      <c r="E1018" s="75"/>
      <c r="F1018" s="75"/>
      <c r="G1018" s="75"/>
      <c r="H1018" s="75"/>
      <c r="I1018" s="2"/>
      <c r="J1018" s="83"/>
      <c r="K1018" s="83"/>
      <c r="L1018" s="83"/>
      <c r="M1018" s="83"/>
      <c r="N1018" s="83"/>
      <c r="O1018" s="2"/>
      <c r="P1018" s="75" t="n">
        <v>1015</v>
      </c>
      <c r="Q1018" s="146" t="n">
        <v>22799.967408111</v>
      </c>
      <c r="R1018" s="146" t="n">
        <v>0.271122596710235</v>
      </c>
      <c r="S1018" s="146" t="n">
        <v>0.0902652897765655</v>
      </c>
      <c r="T1018" s="146" t="n">
        <v>0.0297479235144282</v>
      </c>
      <c r="U1018" s="29"/>
      <c r="V1018" s="29"/>
      <c r="W1018" s="29"/>
      <c r="X1018" s="29"/>
      <c r="Y1018" s="29"/>
      <c r="Z1018" s="75"/>
    </row>
    <row r="1019" customFormat="false" ht="12.75" hidden="false" customHeight="true" outlineLevel="0" collapsed="false">
      <c r="A1019" s="2"/>
      <c r="B1019" s="2"/>
      <c r="C1019" s="75"/>
      <c r="D1019" s="75"/>
      <c r="E1019" s="75"/>
      <c r="F1019" s="75"/>
      <c r="G1019" s="75"/>
      <c r="H1019" s="75"/>
      <c r="I1019" s="2"/>
      <c r="J1019" s="83"/>
      <c r="K1019" s="83"/>
      <c r="L1019" s="83"/>
      <c r="M1019" s="83"/>
      <c r="N1019" s="83"/>
      <c r="O1019" s="2"/>
      <c r="P1019" s="75" t="n">
        <v>1016</v>
      </c>
      <c r="Q1019" s="146" t="n">
        <v>22823.137686885</v>
      </c>
      <c r="R1019" s="146" t="n">
        <v>0.269278926162825</v>
      </c>
      <c r="S1019" s="146" t="n">
        <v>0.0934679428224769</v>
      </c>
      <c r="T1019" s="146" t="n">
        <v>0.0292589385478066</v>
      </c>
      <c r="U1019" s="29"/>
      <c r="V1019" s="29"/>
      <c r="W1019" s="29"/>
      <c r="X1019" s="29"/>
      <c r="Y1019" s="29"/>
      <c r="Z1019" s="75"/>
    </row>
    <row r="1020" customFormat="false" ht="12.75" hidden="false" customHeight="true" outlineLevel="0" collapsed="false">
      <c r="A1020" s="2"/>
      <c r="B1020" s="2"/>
      <c r="C1020" s="75"/>
      <c r="D1020" s="75"/>
      <c r="E1020" s="75"/>
      <c r="F1020" s="75"/>
      <c r="G1020" s="75"/>
      <c r="H1020" s="75"/>
      <c r="I1020" s="2"/>
      <c r="J1020" s="83"/>
      <c r="K1020" s="83"/>
      <c r="L1020" s="83"/>
      <c r="M1020" s="83"/>
      <c r="N1020" s="83"/>
      <c r="O1020" s="2"/>
      <c r="P1020" s="75" t="n">
        <v>1017</v>
      </c>
      <c r="Q1020" s="146" t="n">
        <v>22846.268326479</v>
      </c>
      <c r="R1020" s="146" t="n">
        <v>0.267224130544439</v>
      </c>
      <c r="S1020" s="146" t="n">
        <v>0.095969812210895</v>
      </c>
      <c r="T1020" s="146" t="n">
        <v>0.028845901290245</v>
      </c>
      <c r="U1020" s="29"/>
      <c r="V1020" s="29"/>
      <c r="W1020" s="29"/>
      <c r="X1020" s="29"/>
      <c r="Y1020" s="29"/>
      <c r="Z1020" s="75"/>
    </row>
    <row r="1021" customFormat="false" ht="12.75" hidden="false" customHeight="true" outlineLevel="0" collapsed="false">
      <c r="A1021" s="2"/>
      <c r="B1021" s="2"/>
      <c r="C1021" s="75"/>
      <c r="D1021" s="75"/>
      <c r="E1021" s="75"/>
      <c r="F1021" s="75"/>
      <c r="G1021" s="75"/>
      <c r="H1021" s="75"/>
      <c r="I1021" s="2"/>
      <c r="J1021" s="83"/>
      <c r="K1021" s="83"/>
      <c r="L1021" s="83"/>
      <c r="M1021" s="83"/>
      <c r="N1021" s="83"/>
      <c r="O1021" s="2"/>
      <c r="P1021" s="75" t="n">
        <v>1018</v>
      </c>
      <c r="Q1021" s="146" t="n">
        <v>22869.110221009</v>
      </c>
      <c r="R1021" s="146" t="n">
        <v>0.26550214148988</v>
      </c>
      <c r="S1021" s="146" t="n">
        <v>0.0967515169031978</v>
      </c>
      <c r="T1021" s="146" t="n">
        <v>0.0285212488339286</v>
      </c>
      <c r="U1021" s="29"/>
      <c r="V1021" s="29"/>
      <c r="W1021" s="29"/>
      <c r="X1021" s="29"/>
      <c r="Y1021" s="29"/>
      <c r="Z1021" s="75"/>
    </row>
    <row r="1022" customFormat="false" ht="12.75" hidden="false" customHeight="true" outlineLevel="0" collapsed="false">
      <c r="A1022" s="2"/>
      <c r="B1022" s="2"/>
      <c r="C1022" s="75"/>
      <c r="D1022" s="75"/>
      <c r="E1022" s="75"/>
      <c r="F1022" s="75"/>
      <c r="G1022" s="75"/>
      <c r="H1022" s="75"/>
      <c r="I1022" s="2"/>
      <c r="J1022" s="83"/>
      <c r="K1022" s="83"/>
      <c r="L1022" s="83"/>
      <c r="M1022" s="83"/>
      <c r="N1022" s="83"/>
      <c r="O1022" s="2"/>
      <c r="P1022" s="75" t="n">
        <v>1019</v>
      </c>
      <c r="Q1022" s="146" t="n">
        <v>22891.206185542</v>
      </c>
      <c r="R1022" s="146" t="n">
        <v>0.263970208786389</v>
      </c>
      <c r="S1022" s="146" t="n">
        <v>0.0967684605249835</v>
      </c>
      <c r="T1022" s="146" t="n">
        <v>0.0284180698530795</v>
      </c>
      <c r="U1022" s="29"/>
      <c r="V1022" s="29"/>
      <c r="W1022" s="29"/>
      <c r="X1022" s="29"/>
      <c r="Y1022" s="29"/>
      <c r="Z1022" s="75"/>
    </row>
    <row r="1023" customFormat="false" ht="12.75" hidden="false" customHeight="true" outlineLevel="0" collapsed="false">
      <c r="A1023" s="2"/>
      <c r="B1023" s="2"/>
      <c r="C1023" s="75"/>
      <c r="D1023" s="75"/>
      <c r="E1023" s="75"/>
      <c r="F1023" s="75"/>
      <c r="G1023" s="75"/>
      <c r="H1023" s="75"/>
      <c r="I1023" s="2"/>
      <c r="J1023" s="83"/>
      <c r="K1023" s="83"/>
      <c r="L1023" s="83"/>
      <c r="M1023" s="83"/>
      <c r="N1023" s="83"/>
      <c r="O1023" s="2"/>
      <c r="P1023" s="75" t="n">
        <v>1020</v>
      </c>
      <c r="Q1023" s="146" t="n">
        <v>22913.818345091</v>
      </c>
      <c r="R1023" s="146" t="n">
        <v>0.263068302697356</v>
      </c>
      <c r="S1023" s="146" t="n">
        <v>0.0949710734278957</v>
      </c>
      <c r="T1023" s="146" t="n">
        <v>0.028599039625243</v>
      </c>
      <c r="U1023" s="29"/>
      <c r="V1023" s="29"/>
      <c r="W1023" s="29"/>
      <c r="X1023" s="29"/>
      <c r="Y1023" s="29"/>
      <c r="Z1023" s="75"/>
    </row>
    <row r="1024" customFormat="false" ht="12.75" hidden="false" customHeight="true" outlineLevel="0" collapsed="false">
      <c r="A1024" s="2"/>
      <c r="B1024" s="2"/>
      <c r="C1024" s="75"/>
      <c r="D1024" s="75"/>
      <c r="E1024" s="75"/>
      <c r="F1024" s="75"/>
      <c r="G1024" s="75"/>
      <c r="H1024" s="75"/>
      <c r="I1024" s="2"/>
      <c r="J1024" s="83"/>
      <c r="K1024" s="83"/>
      <c r="L1024" s="83"/>
      <c r="M1024" s="83"/>
      <c r="N1024" s="83"/>
      <c r="O1024" s="2"/>
      <c r="P1024" s="75" t="n">
        <v>1021</v>
      </c>
      <c r="Q1024" s="146" t="n">
        <v>22936.470727317</v>
      </c>
      <c r="R1024" s="146" t="n">
        <v>0.262990212780031</v>
      </c>
      <c r="S1024" s="146" t="n">
        <v>0.092781895011777</v>
      </c>
      <c r="T1024" s="146" t="n">
        <v>0.0294564005160296</v>
      </c>
      <c r="U1024" s="29"/>
      <c r="V1024" s="29"/>
      <c r="W1024" s="29"/>
      <c r="X1024" s="29"/>
      <c r="Y1024" s="29"/>
      <c r="Z1024" s="75"/>
    </row>
    <row r="1025" customFormat="false" ht="12.75" hidden="false" customHeight="true" outlineLevel="0" collapsed="false">
      <c r="A1025" s="2"/>
      <c r="B1025" s="2"/>
      <c r="C1025" s="75"/>
      <c r="D1025" s="75"/>
      <c r="E1025" s="75"/>
      <c r="F1025" s="75"/>
      <c r="G1025" s="75"/>
      <c r="H1025" s="75"/>
      <c r="I1025" s="2"/>
      <c r="J1025" s="83"/>
      <c r="K1025" s="83"/>
      <c r="L1025" s="83"/>
      <c r="M1025" s="83"/>
      <c r="N1025" s="83"/>
      <c r="O1025" s="2"/>
      <c r="P1025" s="75" t="n">
        <v>1022</v>
      </c>
      <c r="Q1025" s="146" t="n">
        <v>22959.061573401</v>
      </c>
      <c r="R1025" s="146" t="n">
        <v>0.263443381345436</v>
      </c>
      <c r="S1025" s="146" t="n">
        <v>0.0899226336788195</v>
      </c>
      <c r="T1025" s="146" t="n">
        <v>0.0299172917701417</v>
      </c>
      <c r="U1025" s="29"/>
      <c r="V1025" s="29"/>
      <c r="W1025" s="29"/>
      <c r="X1025" s="29"/>
      <c r="Y1025" s="29"/>
      <c r="Z1025" s="75"/>
    </row>
    <row r="1026" customFormat="false" ht="12.75" hidden="false" customHeight="true" outlineLevel="0" collapsed="false">
      <c r="A1026" s="2"/>
      <c r="B1026" s="2"/>
      <c r="C1026" s="75"/>
      <c r="D1026" s="75"/>
      <c r="E1026" s="75"/>
      <c r="F1026" s="75"/>
      <c r="G1026" s="75"/>
      <c r="H1026" s="75"/>
      <c r="I1026" s="2"/>
      <c r="J1026" s="83"/>
      <c r="K1026" s="83"/>
      <c r="L1026" s="83"/>
      <c r="M1026" s="83"/>
      <c r="N1026" s="83"/>
      <c r="O1026" s="2"/>
      <c r="P1026" s="75" t="n">
        <v>1023</v>
      </c>
      <c r="Q1026" s="146" t="n">
        <v>22981.957379714</v>
      </c>
      <c r="R1026" s="146" t="n">
        <v>0.264262351761136</v>
      </c>
      <c r="S1026" s="146" t="n">
        <v>0.0876116370031211</v>
      </c>
      <c r="T1026" s="146" t="n">
        <v>0.0305914309317343</v>
      </c>
      <c r="U1026" s="29"/>
      <c r="V1026" s="29"/>
      <c r="W1026" s="29"/>
      <c r="X1026" s="29"/>
      <c r="Y1026" s="29"/>
      <c r="Z1026" s="75"/>
    </row>
    <row r="1027" customFormat="false" ht="12.75" hidden="false" customHeight="true" outlineLevel="0" collapsed="false">
      <c r="A1027" s="2"/>
      <c r="B1027" s="2"/>
      <c r="C1027" s="75"/>
      <c r="D1027" s="75"/>
      <c r="E1027" s="75"/>
      <c r="F1027" s="75"/>
      <c r="G1027" s="75"/>
      <c r="H1027" s="75"/>
      <c r="I1027" s="2"/>
      <c r="J1027" s="83"/>
      <c r="K1027" s="83"/>
      <c r="L1027" s="83"/>
      <c r="M1027" s="83"/>
      <c r="N1027" s="83"/>
      <c r="O1027" s="2"/>
      <c r="P1027" s="75" t="n">
        <v>1024</v>
      </c>
      <c r="Q1027" s="146" t="n">
        <v>23004.431060202</v>
      </c>
      <c r="R1027" s="146" t="n">
        <v>0.265461994039275</v>
      </c>
      <c r="S1027" s="146" t="n">
        <v>0.0855171411885507</v>
      </c>
      <c r="T1027" s="146" t="n">
        <v>0.0314289843354908</v>
      </c>
      <c r="U1027" s="29"/>
      <c r="V1027" s="29"/>
      <c r="W1027" s="29"/>
      <c r="X1027" s="29"/>
      <c r="Y1027" s="29"/>
      <c r="Z1027" s="75"/>
    </row>
    <row r="1028" customFormat="false" ht="12.75" hidden="false" customHeight="true" outlineLevel="0" collapsed="false">
      <c r="A1028" s="2"/>
      <c r="B1028" s="2"/>
      <c r="C1028" s="75"/>
      <c r="D1028" s="75"/>
      <c r="E1028" s="75"/>
      <c r="F1028" s="75"/>
      <c r="G1028" s="75"/>
      <c r="H1028" s="75"/>
      <c r="I1028" s="2"/>
      <c r="J1028" s="83"/>
      <c r="K1028" s="83"/>
      <c r="L1028" s="83"/>
      <c r="M1028" s="83"/>
      <c r="N1028" s="83"/>
      <c r="O1028" s="2"/>
      <c r="P1028" s="75" t="n">
        <v>1025</v>
      </c>
      <c r="Q1028" s="146" t="n">
        <v>23027.029607295</v>
      </c>
      <c r="R1028" s="146" t="n">
        <v>0.266912348999188</v>
      </c>
      <c r="S1028" s="146" t="n">
        <v>0.083969664392379</v>
      </c>
      <c r="T1028" s="146" t="n">
        <v>0.0323401499560098</v>
      </c>
      <c r="U1028" s="29"/>
      <c r="V1028" s="29"/>
      <c r="W1028" s="29"/>
      <c r="X1028" s="29"/>
      <c r="Y1028" s="29"/>
      <c r="Z1028" s="75"/>
    </row>
    <row r="1029" customFormat="false" ht="12.75" hidden="false" customHeight="true" outlineLevel="0" collapsed="false">
      <c r="A1029" s="2"/>
      <c r="B1029" s="2"/>
      <c r="C1029" s="75"/>
      <c r="D1029" s="75"/>
      <c r="E1029" s="75"/>
      <c r="F1029" s="75"/>
      <c r="G1029" s="75"/>
      <c r="H1029" s="75"/>
      <c r="I1029" s="2"/>
      <c r="J1029" s="83"/>
      <c r="K1029" s="83"/>
      <c r="L1029" s="83"/>
      <c r="M1029" s="83"/>
      <c r="N1029" s="85"/>
      <c r="O1029" s="2"/>
      <c r="P1029" s="75" t="n">
        <v>1026</v>
      </c>
      <c r="Q1029" s="146" t="n">
        <v>23049.969106691</v>
      </c>
      <c r="R1029" s="146" t="n">
        <v>0.268395503951212</v>
      </c>
      <c r="S1029" s="146" t="n">
        <v>0.0831797576273328</v>
      </c>
      <c r="T1029" s="146" t="n">
        <v>0.0333218286450016</v>
      </c>
      <c r="U1029" s="29"/>
      <c r="V1029" s="29"/>
      <c r="W1029" s="29"/>
      <c r="X1029" s="29"/>
      <c r="Y1029" s="29"/>
      <c r="Z1029" s="75"/>
    </row>
    <row r="1030" customFormat="false" ht="12.75" hidden="false" customHeight="true" outlineLevel="0" collapsed="false">
      <c r="A1030" s="2"/>
      <c r="B1030" s="2"/>
      <c r="C1030" s="75"/>
      <c r="D1030" s="75"/>
      <c r="E1030" s="75"/>
      <c r="F1030" s="75"/>
      <c r="G1030" s="75"/>
      <c r="H1030" s="75"/>
      <c r="I1030" s="2"/>
      <c r="J1030" s="83"/>
      <c r="K1030" s="83"/>
      <c r="L1030" s="83"/>
      <c r="M1030" s="83"/>
      <c r="N1030" s="85"/>
      <c r="O1030" s="2"/>
      <c r="P1030" s="75" t="n">
        <v>1027</v>
      </c>
      <c r="Q1030" s="146" t="n">
        <v>23072.512628152</v>
      </c>
      <c r="R1030" s="146" t="n">
        <v>0.269687828052486</v>
      </c>
      <c r="S1030" s="146" t="n">
        <v>0.0826066274893724</v>
      </c>
      <c r="T1030" s="146" t="n">
        <v>0.0338778770990932</v>
      </c>
      <c r="U1030" s="29"/>
      <c r="V1030" s="29"/>
      <c r="W1030" s="29"/>
      <c r="X1030" s="29"/>
      <c r="Y1030" s="29"/>
      <c r="Z1030" s="75"/>
    </row>
    <row r="1031" customFormat="false" ht="12.75" hidden="false" customHeight="true" outlineLevel="0" collapsed="false">
      <c r="A1031" s="2"/>
      <c r="B1031" s="2"/>
      <c r="C1031" s="75"/>
      <c r="D1031" s="75"/>
      <c r="E1031" s="75"/>
      <c r="F1031" s="75"/>
      <c r="G1031" s="75"/>
      <c r="H1031" s="75"/>
      <c r="I1031" s="2"/>
      <c r="J1031" s="83"/>
      <c r="K1031" s="83"/>
      <c r="L1031" s="83"/>
      <c r="M1031" s="83"/>
      <c r="N1031" s="83"/>
      <c r="O1031" s="2"/>
      <c r="P1031" s="75" t="n">
        <v>1028</v>
      </c>
      <c r="Q1031" s="146" t="n">
        <v>23094.805062051</v>
      </c>
      <c r="R1031" s="146" t="n">
        <v>0.270635959145644</v>
      </c>
      <c r="S1031" s="146" t="n">
        <v>0.0831707757432005</v>
      </c>
      <c r="T1031" s="146" t="n">
        <v>0.0343031532647353</v>
      </c>
      <c r="U1031" s="29"/>
      <c r="V1031" s="29"/>
      <c r="W1031" s="29"/>
      <c r="X1031" s="29"/>
      <c r="Y1031" s="29"/>
      <c r="Z1031" s="75"/>
    </row>
    <row r="1032" customFormat="false" ht="12.75" hidden="false" customHeight="true" outlineLevel="0" collapsed="false">
      <c r="A1032" s="2"/>
      <c r="B1032" s="2"/>
      <c r="C1032" s="75"/>
      <c r="D1032" s="75"/>
      <c r="E1032" s="75"/>
      <c r="F1032" s="75"/>
      <c r="G1032" s="75"/>
      <c r="H1032" s="75"/>
      <c r="I1032" s="2"/>
      <c r="J1032" s="83"/>
      <c r="K1032" s="83"/>
      <c r="L1032" s="83"/>
      <c r="M1032" s="83"/>
      <c r="N1032" s="83"/>
      <c r="O1032" s="2"/>
      <c r="P1032" s="75" t="n">
        <v>1029</v>
      </c>
      <c r="Q1032" s="146" t="n">
        <v>23117.274711565</v>
      </c>
      <c r="R1032" s="146" t="n">
        <v>0.271170023614711</v>
      </c>
      <c r="S1032" s="146" t="n">
        <v>0.0840049485744061</v>
      </c>
      <c r="T1032" s="146" t="n">
        <v>0.0344858752949919</v>
      </c>
      <c r="U1032" s="29"/>
      <c r="V1032" s="29"/>
      <c r="W1032" s="29"/>
      <c r="X1032" s="29"/>
      <c r="Y1032" s="29"/>
      <c r="Z1032" s="75"/>
    </row>
    <row r="1033" customFormat="false" ht="12.75" hidden="false" customHeight="true" outlineLevel="0" collapsed="false">
      <c r="A1033" s="2"/>
      <c r="B1033" s="2"/>
      <c r="C1033" s="75"/>
      <c r="D1033" s="75"/>
      <c r="E1033" s="75"/>
      <c r="F1033" s="75"/>
      <c r="G1033" s="75"/>
      <c r="H1033" s="75"/>
      <c r="I1033" s="2"/>
      <c r="J1033" s="83"/>
      <c r="K1033" s="83"/>
      <c r="L1033" s="83"/>
      <c r="M1033" s="83"/>
      <c r="N1033" s="83"/>
      <c r="O1033" s="2"/>
      <c r="P1033" s="75" t="n">
        <v>1030</v>
      </c>
      <c r="Q1033" s="146" t="n">
        <v>23140.250642584</v>
      </c>
      <c r="R1033" s="146" t="n">
        <v>0.270982880626973</v>
      </c>
      <c r="S1033" s="146" t="n">
        <v>0.0856613936952192</v>
      </c>
      <c r="T1033" s="146" t="n">
        <v>0.0343306596030089</v>
      </c>
      <c r="U1033" s="29"/>
      <c r="V1033" s="29"/>
      <c r="W1033" s="29"/>
      <c r="X1033" s="29"/>
      <c r="Y1033" s="29"/>
      <c r="Z1033" s="75"/>
    </row>
    <row r="1034" customFormat="false" ht="12.75" hidden="false" customHeight="true" outlineLevel="0" collapsed="false">
      <c r="A1034" s="2"/>
      <c r="B1034" s="2"/>
      <c r="C1034" s="75"/>
      <c r="D1034" s="75"/>
      <c r="E1034" s="75"/>
      <c r="F1034" s="75"/>
      <c r="G1034" s="75"/>
      <c r="H1034" s="75"/>
      <c r="I1034" s="2"/>
      <c r="J1034" s="83"/>
      <c r="K1034" s="83"/>
      <c r="L1034" s="83"/>
      <c r="M1034" s="83"/>
      <c r="N1034" s="83"/>
      <c r="O1034" s="2"/>
      <c r="P1034" s="75" t="n">
        <v>1031</v>
      </c>
      <c r="Q1034" s="146" t="n">
        <v>23163.112928822</v>
      </c>
      <c r="R1034" s="146" t="n">
        <v>0.270775823305565</v>
      </c>
      <c r="S1034" s="146" t="n">
        <v>0.0856968392766764</v>
      </c>
      <c r="T1034" s="146" t="n">
        <v>0.0343883324740983</v>
      </c>
      <c r="U1034" s="29"/>
      <c r="V1034" s="29"/>
      <c r="W1034" s="29"/>
      <c r="X1034" s="29"/>
      <c r="Y1034" s="29"/>
      <c r="Z1034" s="75"/>
    </row>
    <row r="1035" customFormat="false" ht="12.75" hidden="false" customHeight="true" outlineLevel="0" collapsed="false">
      <c r="A1035" s="2"/>
      <c r="B1035" s="2"/>
      <c r="C1035" s="75"/>
      <c r="D1035" s="75"/>
      <c r="E1035" s="75"/>
      <c r="F1035" s="75"/>
      <c r="G1035" s="75"/>
      <c r="H1035" s="75"/>
      <c r="I1035" s="2"/>
      <c r="J1035" s="83"/>
      <c r="K1035" s="83"/>
      <c r="L1035" s="83"/>
      <c r="M1035" s="83"/>
      <c r="N1035" s="83"/>
      <c r="O1035" s="2"/>
      <c r="P1035" s="75" t="n">
        <v>1032</v>
      </c>
      <c r="Q1035" s="146" t="n">
        <v>23186.156187119</v>
      </c>
      <c r="R1035" s="146" t="n">
        <v>0.270187364306183</v>
      </c>
      <c r="S1035" s="146" t="n">
        <v>0.0855534619272564</v>
      </c>
      <c r="T1035" s="146" t="n">
        <v>0.0345313517989916</v>
      </c>
      <c r="U1035" s="29"/>
      <c r="V1035" s="29"/>
      <c r="W1035" s="29"/>
      <c r="X1035" s="29"/>
      <c r="Y1035" s="29"/>
      <c r="Z1035" s="75"/>
    </row>
    <row r="1036" customFormat="false" ht="12.75" hidden="false" customHeight="true" outlineLevel="0" collapsed="false">
      <c r="A1036" s="2"/>
      <c r="B1036" s="2"/>
      <c r="C1036" s="75"/>
      <c r="D1036" s="75"/>
      <c r="E1036" s="75"/>
      <c r="F1036" s="75"/>
      <c r="G1036" s="75"/>
      <c r="H1036" s="75"/>
      <c r="I1036" s="2"/>
      <c r="J1036" s="83"/>
      <c r="K1036" s="83"/>
      <c r="L1036" s="83"/>
      <c r="M1036" s="83"/>
      <c r="N1036" s="83"/>
      <c r="O1036" s="2"/>
      <c r="P1036" s="75" t="n">
        <v>1033</v>
      </c>
      <c r="Q1036" s="146" t="n">
        <v>23209.060174549</v>
      </c>
      <c r="R1036" s="146" t="n">
        <v>0.26908682775347</v>
      </c>
      <c r="S1036" s="146" t="n">
        <v>0.0859364786136515</v>
      </c>
      <c r="T1036" s="146" t="n">
        <v>0.0340532664002763</v>
      </c>
      <c r="U1036" s="29"/>
      <c r="V1036" s="29"/>
      <c r="W1036" s="29"/>
      <c r="X1036" s="29"/>
      <c r="Y1036" s="29"/>
      <c r="Z1036" s="75"/>
    </row>
    <row r="1037" customFormat="false" ht="12.75" hidden="false" customHeight="true" outlineLevel="0" collapsed="false">
      <c r="A1037" s="2"/>
      <c r="B1037" s="2"/>
      <c r="C1037" s="75"/>
      <c r="D1037" s="75"/>
      <c r="E1037" s="75"/>
      <c r="F1037" s="75"/>
      <c r="G1037" s="75"/>
      <c r="H1037" s="75"/>
      <c r="I1037" s="2"/>
      <c r="J1037" s="83"/>
      <c r="K1037" s="83"/>
      <c r="L1037" s="83"/>
      <c r="M1037" s="83"/>
      <c r="N1037" s="83"/>
      <c r="O1037" s="2"/>
      <c r="P1037" s="75" t="n">
        <v>1034</v>
      </c>
      <c r="Q1037" s="146" t="n">
        <v>23231.764147156</v>
      </c>
      <c r="R1037" s="146" t="n">
        <v>0.267519499818798</v>
      </c>
      <c r="S1037" s="146" t="n">
        <v>0.0862902215903287</v>
      </c>
      <c r="T1037" s="146" t="n">
        <v>0.0332229739430615</v>
      </c>
      <c r="U1037" s="29"/>
      <c r="V1037" s="29"/>
      <c r="W1037" s="29"/>
      <c r="X1037" s="29"/>
      <c r="Y1037" s="29"/>
      <c r="Z1037" s="75"/>
    </row>
    <row r="1038" customFormat="false" ht="12.75" hidden="false" customHeight="true" outlineLevel="0" collapsed="false">
      <c r="A1038" s="2"/>
      <c r="B1038" s="2"/>
      <c r="C1038" s="75"/>
      <c r="D1038" s="75"/>
      <c r="E1038" s="75"/>
      <c r="F1038" s="75"/>
      <c r="G1038" s="75"/>
      <c r="H1038" s="75"/>
      <c r="I1038" s="2"/>
      <c r="J1038" s="83"/>
      <c r="K1038" s="83"/>
      <c r="L1038" s="83"/>
      <c r="M1038" s="83"/>
      <c r="N1038" s="83"/>
      <c r="O1038" s="2"/>
      <c r="P1038" s="75" t="n">
        <v>1035</v>
      </c>
      <c r="Q1038" s="146" t="n">
        <v>23254.59737571</v>
      </c>
      <c r="R1038" s="146" t="n">
        <v>0.265519316499065</v>
      </c>
      <c r="S1038" s="146" t="n">
        <v>0.0861020226811706</v>
      </c>
      <c r="T1038" s="146" t="n">
        <v>0.0318933767815618</v>
      </c>
      <c r="U1038" s="29"/>
      <c r="V1038" s="29"/>
      <c r="W1038" s="29"/>
      <c r="X1038" s="29"/>
      <c r="Y1038" s="29"/>
      <c r="Z1038" s="75"/>
    </row>
    <row r="1039" customFormat="false" ht="12.75" hidden="false" customHeight="true" outlineLevel="0" collapsed="false">
      <c r="A1039" s="2"/>
      <c r="B1039" s="2"/>
      <c r="C1039" s="75"/>
      <c r="D1039" s="75"/>
      <c r="E1039" s="75"/>
      <c r="F1039" s="75"/>
      <c r="G1039" s="75"/>
      <c r="H1039" s="75"/>
      <c r="I1039" s="2"/>
      <c r="J1039" s="83"/>
      <c r="K1039" s="83"/>
      <c r="L1039" s="83"/>
      <c r="M1039" s="83"/>
      <c r="N1039" s="83"/>
      <c r="O1039" s="2"/>
      <c r="P1039" s="75" t="n">
        <v>1036</v>
      </c>
      <c r="Q1039" s="146" t="n">
        <v>23277.584983331</v>
      </c>
      <c r="R1039" s="146" t="n">
        <v>0.263425930774509</v>
      </c>
      <c r="S1039" s="146" t="n">
        <v>0.0851139997222079</v>
      </c>
      <c r="T1039" s="146" t="n">
        <v>0.0305321198520733</v>
      </c>
      <c r="U1039" s="29"/>
      <c r="V1039" s="29"/>
      <c r="W1039" s="29"/>
      <c r="X1039" s="29"/>
      <c r="Y1039" s="29"/>
      <c r="Z1039" s="75"/>
    </row>
    <row r="1040" customFormat="false" ht="12.75" hidden="false" customHeight="true" outlineLevel="0" collapsed="false">
      <c r="A1040" s="2"/>
      <c r="B1040" s="2"/>
      <c r="C1040" s="75"/>
      <c r="D1040" s="75"/>
      <c r="E1040" s="75"/>
      <c r="F1040" s="75"/>
      <c r="G1040" s="75"/>
      <c r="H1040" s="75"/>
      <c r="I1040" s="2"/>
      <c r="J1040" s="83"/>
      <c r="K1040" s="83"/>
      <c r="L1040" s="83"/>
      <c r="M1040" s="83"/>
      <c r="N1040" s="83"/>
      <c r="O1040" s="2"/>
      <c r="P1040" s="75" t="n">
        <v>1037</v>
      </c>
      <c r="Q1040" s="146" t="n">
        <v>23299.860302149</v>
      </c>
      <c r="R1040" s="146" t="n">
        <v>0.261480354932777</v>
      </c>
      <c r="S1040" s="146" t="n">
        <v>0.0831704549709366</v>
      </c>
      <c r="T1040" s="146" t="n">
        <v>0.02900278070712</v>
      </c>
      <c r="U1040" s="29"/>
      <c r="V1040" s="29"/>
      <c r="W1040" s="29"/>
      <c r="X1040" s="29"/>
      <c r="Y1040" s="29"/>
      <c r="Z1040" s="75"/>
    </row>
    <row r="1041" customFormat="false" ht="12.75" hidden="false" customHeight="true" outlineLevel="0" collapsed="false">
      <c r="A1041" s="2"/>
      <c r="B1041" s="2"/>
      <c r="C1041" s="75"/>
      <c r="D1041" s="75"/>
      <c r="E1041" s="75"/>
      <c r="F1041" s="75"/>
      <c r="G1041" s="75"/>
      <c r="H1041" s="75"/>
      <c r="I1041" s="2"/>
      <c r="J1041" s="83"/>
      <c r="K1041" s="83"/>
      <c r="L1041" s="83"/>
      <c r="M1041" s="83"/>
      <c r="N1041" s="83"/>
      <c r="O1041" s="2"/>
      <c r="P1041" s="75" t="n">
        <v>1038</v>
      </c>
      <c r="Q1041" s="146" t="n">
        <v>23322.477785195</v>
      </c>
      <c r="R1041" s="146" t="n">
        <v>0.259999983008195</v>
      </c>
      <c r="S1041" s="146" t="n">
        <v>0.0794456158592628</v>
      </c>
      <c r="T1041" s="146" t="n">
        <v>0.0279760149371535</v>
      </c>
      <c r="U1041" s="29"/>
      <c r="V1041" s="29"/>
      <c r="W1041" s="29"/>
      <c r="X1041" s="29"/>
      <c r="Y1041" s="29"/>
      <c r="Z1041" s="75"/>
    </row>
    <row r="1042" customFormat="false" ht="12.75" hidden="false" customHeight="true" outlineLevel="0" collapsed="false">
      <c r="A1042" s="2"/>
      <c r="B1042" s="2"/>
      <c r="C1042" s="75"/>
      <c r="D1042" s="75"/>
      <c r="E1042" s="75"/>
      <c r="F1042" s="75"/>
      <c r="G1042" s="75"/>
      <c r="H1042" s="75"/>
      <c r="I1042" s="2"/>
      <c r="J1042" s="83"/>
      <c r="K1042" s="83"/>
      <c r="L1042" s="83"/>
      <c r="M1042" s="83"/>
      <c r="N1042" s="83"/>
      <c r="O1042" s="2"/>
      <c r="P1042" s="75" t="n">
        <v>1039</v>
      </c>
      <c r="Q1042" s="146" t="n">
        <v>23345.28153552</v>
      </c>
      <c r="R1042" s="146" t="n">
        <v>0.259152353489314</v>
      </c>
      <c r="S1042" s="146" t="n">
        <v>0.07550287336631</v>
      </c>
      <c r="T1042" s="146" t="n">
        <v>0.0266362480886697</v>
      </c>
      <c r="U1042" s="29"/>
      <c r="V1042" s="29"/>
      <c r="W1042" s="29"/>
      <c r="X1042" s="29"/>
      <c r="Y1042" s="29"/>
      <c r="Z1042" s="75"/>
    </row>
    <row r="1043" customFormat="false" ht="12.75" hidden="false" customHeight="true" outlineLevel="0" collapsed="false">
      <c r="A1043" s="2"/>
      <c r="B1043" s="2"/>
      <c r="C1043" s="75"/>
      <c r="D1043" s="75"/>
      <c r="E1043" s="75"/>
      <c r="F1043" s="75"/>
      <c r="G1043" s="75"/>
      <c r="H1043" s="75"/>
      <c r="I1043" s="2"/>
      <c r="J1043" s="83"/>
      <c r="K1043" s="83"/>
      <c r="L1043" s="83"/>
      <c r="M1043" s="83"/>
      <c r="N1043" s="83"/>
      <c r="O1043" s="2"/>
      <c r="P1043" s="75" t="n">
        <v>1040</v>
      </c>
      <c r="Q1043" s="146" t="n">
        <v>23367.937188832</v>
      </c>
      <c r="R1043" s="146" t="n">
        <v>0.259176927669045</v>
      </c>
      <c r="S1043" s="146" t="n">
        <v>0.0716357528842461</v>
      </c>
      <c r="T1043" s="146" t="n">
        <v>0.0251053211605774</v>
      </c>
      <c r="U1043" s="29"/>
      <c r="V1043" s="29"/>
      <c r="W1043" s="29"/>
      <c r="X1043" s="29"/>
      <c r="Y1043" s="29"/>
      <c r="Z1043" s="75"/>
    </row>
    <row r="1044" customFormat="false" ht="12.75" hidden="false" customHeight="true" outlineLevel="0" collapsed="false">
      <c r="A1044" s="2"/>
      <c r="B1044" s="2"/>
      <c r="C1044" s="75"/>
      <c r="D1044" s="75"/>
      <c r="E1044" s="75"/>
      <c r="F1044" s="75"/>
      <c r="G1044" s="75"/>
      <c r="H1044" s="75"/>
      <c r="I1044" s="2"/>
      <c r="J1044" s="83"/>
      <c r="K1044" s="83"/>
      <c r="L1044" s="83"/>
      <c r="M1044" s="83"/>
      <c r="N1044" s="83"/>
      <c r="O1044" s="2"/>
      <c r="P1044" s="75" t="n">
        <v>1041</v>
      </c>
      <c r="Q1044" s="146" t="n">
        <v>23390.686862315</v>
      </c>
      <c r="R1044" s="146" t="n">
        <v>0.259957991899913</v>
      </c>
      <c r="S1044" s="146" t="n">
        <v>0.0677722624211542</v>
      </c>
      <c r="T1044" s="146" t="n">
        <v>0.0239900221138787</v>
      </c>
      <c r="U1044" s="29"/>
      <c r="V1044" s="29"/>
      <c r="W1044" s="29"/>
      <c r="X1044" s="29"/>
      <c r="Y1044" s="29"/>
      <c r="Z1044" s="75"/>
    </row>
    <row r="1045" customFormat="false" ht="12.75" hidden="false" customHeight="true" outlineLevel="0" collapsed="false">
      <c r="A1045" s="2"/>
      <c r="B1045" s="2"/>
      <c r="C1045" s="75"/>
      <c r="D1045" s="75"/>
      <c r="E1045" s="75"/>
      <c r="F1045" s="75"/>
      <c r="G1045" s="75"/>
      <c r="H1045" s="75"/>
      <c r="I1045" s="2"/>
      <c r="J1045" s="83"/>
      <c r="K1045" s="83"/>
      <c r="L1045" s="83"/>
      <c r="M1045" s="83"/>
      <c r="N1045" s="83"/>
      <c r="O1045" s="2"/>
      <c r="P1045" s="75" t="n">
        <v>1042</v>
      </c>
      <c r="Q1045" s="146" t="n">
        <v>23413.283890874</v>
      </c>
      <c r="R1045" s="146" t="n">
        <v>0.261023944367729</v>
      </c>
      <c r="S1045" s="146" t="n">
        <v>0.06550710851916</v>
      </c>
      <c r="T1045" s="146" t="n">
        <v>0.0232538182488085</v>
      </c>
      <c r="U1045" s="29"/>
      <c r="V1045" s="29"/>
      <c r="W1045" s="29"/>
      <c r="X1045" s="29"/>
      <c r="Y1045" s="29"/>
      <c r="Z1045" s="75"/>
    </row>
    <row r="1046" customFormat="false" ht="12.75" hidden="false" customHeight="true" outlineLevel="0" collapsed="false">
      <c r="A1046" s="2"/>
      <c r="B1046" s="2"/>
      <c r="C1046" s="75"/>
      <c r="D1046" s="75"/>
      <c r="E1046" s="75"/>
      <c r="F1046" s="75"/>
      <c r="G1046" s="75"/>
      <c r="H1046" s="75"/>
      <c r="I1046" s="2"/>
      <c r="J1046" s="83"/>
      <c r="K1046" s="83"/>
      <c r="L1046" s="83"/>
      <c r="M1046" s="83"/>
      <c r="N1046" s="83"/>
      <c r="O1046" s="2"/>
      <c r="P1046" s="75" t="n">
        <v>1043</v>
      </c>
      <c r="Q1046" s="146" t="n">
        <v>23436.003832587</v>
      </c>
      <c r="R1046" s="146" t="n">
        <v>0.262162701659282</v>
      </c>
      <c r="S1046" s="146" t="n">
        <v>0.0649797171110841</v>
      </c>
      <c r="T1046" s="146" t="n">
        <v>0.0234081122838066</v>
      </c>
      <c r="U1046" s="29"/>
      <c r="V1046" s="29"/>
      <c r="W1046" s="29"/>
      <c r="X1046" s="29"/>
      <c r="Y1046" s="29"/>
      <c r="Z1046" s="75"/>
    </row>
    <row r="1047" customFormat="false" ht="12.75" hidden="false" customHeight="true" outlineLevel="0" collapsed="false">
      <c r="A1047" s="2"/>
      <c r="B1047" s="2"/>
      <c r="C1047" s="75"/>
      <c r="D1047" s="75"/>
      <c r="E1047" s="75"/>
      <c r="F1047" s="75"/>
      <c r="G1047" s="75"/>
      <c r="H1047" s="75"/>
      <c r="I1047" s="2"/>
      <c r="J1047" s="83"/>
      <c r="K1047" s="83"/>
      <c r="L1047" s="83"/>
      <c r="M1047" s="83"/>
      <c r="N1047" s="83"/>
      <c r="O1047" s="2"/>
      <c r="P1047" s="75" t="n">
        <v>1044</v>
      </c>
      <c r="Q1047" s="146" t="n">
        <v>23458.722709934</v>
      </c>
      <c r="R1047" s="146" t="n">
        <v>0.263443830605386</v>
      </c>
      <c r="S1047" s="146" t="n">
        <v>0.067075942629076</v>
      </c>
      <c r="T1047" s="146" t="n">
        <v>0.0237422519764366</v>
      </c>
      <c r="U1047" s="29"/>
      <c r="V1047" s="29"/>
      <c r="W1047" s="29"/>
      <c r="X1047" s="29"/>
      <c r="Y1047" s="29"/>
      <c r="Z1047" s="75"/>
    </row>
    <row r="1048" customFormat="false" ht="12.75" hidden="false" customHeight="true" outlineLevel="0" collapsed="false">
      <c r="A1048" s="2"/>
      <c r="B1048" s="2"/>
      <c r="C1048" s="75"/>
      <c r="D1048" s="75"/>
      <c r="E1048" s="75"/>
      <c r="F1048" s="75"/>
      <c r="G1048" s="75"/>
      <c r="H1048" s="75"/>
      <c r="I1048" s="2"/>
      <c r="J1048" s="83"/>
      <c r="K1048" s="83"/>
      <c r="L1048" s="83"/>
      <c r="M1048" s="83"/>
      <c r="N1048" s="83"/>
      <c r="O1048" s="2"/>
      <c r="P1048" s="75" t="n">
        <v>1045</v>
      </c>
      <c r="Q1048" s="146" t="n">
        <v>23481.3503036</v>
      </c>
      <c r="R1048" s="146" t="n">
        <v>0.264542193868101</v>
      </c>
      <c r="S1048" s="146" t="n">
        <v>0.0692350043117913</v>
      </c>
      <c r="T1048" s="146" t="n">
        <v>0.0251646880248817</v>
      </c>
      <c r="U1048" s="29"/>
      <c r="V1048" s="29"/>
      <c r="W1048" s="29"/>
      <c r="X1048" s="29"/>
      <c r="Y1048" s="29"/>
      <c r="Z1048" s="75"/>
    </row>
    <row r="1049" customFormat="false" ht="12.75" hidden="false" customHeight="true" outlineLevel="0" collapsed="false">
      <c r="A1049" s="2"/>
      <c r="B1049" s="2"/>
      <c r="C1049" s="75"/>
      <c r="D1049" s="75"/>
      <c r="E1049" s="75"/>
      <c r="F1049" s="75"/>
      <c r="G1049" s="75"/>
      <c r="H1049" s="75"/>
      <c r="I1049" s="2"/>
      <c r="J1049" s="83"/>
      <c r="K1049" s="83"/>
      <c r="L1049" s="83"/>
      <c r="M1049" s="83"/>
      <c r="N1049" s="83"/>
      <c r="O1049" s="2"/>
      <c r="P1049" s="75" t="n">
        <v>1046</v>
      </c>
      <c r="Q1049" s="146" t="n">
        <v>23504.002635267</v>
      </c>
      <c r="R1049" s="146" t="n">
        <v>0.265764900584646</v>
      </c>
      <c r="S1049" s="146" t="n">
        <v>0.0717168774540807</v>
      </c>
      <c r="T1049" s="146" t="n">
        <v>0.0267645206340555</v>
      </c>
      <c r="U1049" s="29"/>
      <c r="V1049" s="29"/>
      <c r="W1049" s="29"/>
      <c r="X1049" s="29"/>
      <c r="Y1049" s="29"/>
      <c r="Z1049" s="75"/>
    </row>
    <row r="1050" customFormat="false" ht="12.75" hidden="false" customHeight="true" outlineLevel="0" collapsed="false">
      <c r="A1050" s="2"/>
      <c r="B1050" s="2"/>
      <c r="C1050" s="75"/>
      <c r="D1050" s="75"/>
      <c r="E1050" s="75"/>
      <c r="F1050" s="75"/>
      <c r="G1050" s="75"/>
      <c r="H1050" s="75"/>
      <c r="I1050" s="2"/>
      <c r="J1050" s="83"/>
      <c r="K1050" s="83"/>
      <c r="L1050" s="83"/>
      <c r="M1050" s="83"/>
      <c r="N1050" s="83"/>
      <c r="O1050" s="2"/>
      <c r="P1050" s="75" t="n">
        <v>1047</v>
      </c>
      <c r="Q1050" s="146" t="n">
        <v>23526.042077978</v>
      </c>
      <c r="R1050" s="146" t="n">
        <v>0.266575898058251</v>
      </c>
      <c r="S1050" s="146" t="n">
        <v>0.0724637860903886</v>
      </c>
      <c r="T1050" s="146" t="n">
        <v>0.0285237995601832</v>
      </c>
      <c r="U1050" s="29"/>
      <c r="V1050" s="29"/>
      <c r="W1050" s="29"/>
      <c r="X1050" s="29"/>
      <c r="Y1050" s="29"/>
      <c r="Z1050" s="75"/>
    </row>
    <row r="1051" customFormat="false" ht="12.75" hidden="false" customHeight="true" outlineLevel="0" collapsed="false">
      <c r="A1051" s="2"/>
      <c r="B1051" s="2"/>
      <c r="C1051" s="75"/>
      <c r="D1051" s="75"/>
      <c r="E1051" s="75"/>
      <c r="F1051" s="75"/>
      <c r="G1051" s="75"/>
      <c r="H1051" s="75"/>
      <c r="I1051" s="2"/>
      <c r="J1051" s="83"/>
      <c r="K1051" s="83"/>
      <c r="L1051" s="83"/>
      <c r="M1051" s="83"/>
      <c r="N1051" s="83"/>
      <c r="O1051" s="2"/>
      <c r="P1051" s="75" t="n">
        <v>1048</v>
      </c>
      <c r="Q1051" s="146" t="n">
        <v>23548.545447776</v>
      </c>
      <c r="R1051" s="146" t="n">
        <v>0.266784081487739</v>
      </c>
      <c r="S1051" s="146" t="n">
        <v>0.0773278990717156</v>
      </c>
      <c r="T1051" s="146" t="n">
        <v>0.0296523859186158</v>
      </c>
      <c r="U1051" s="29"/>
      <c r="V1051" s="29"/>
      <c r="W1051" s="29"/>
      <c r="X1051" s="29"/>
      <c r="Y1051" s="29"/>
      <c r="Z1051" s="75"/>
    </row>
    <row r="1052" customFormat="false" ht="12.75" hidden="false" customHeight="true" outlineLevel="0" collapsed="false">
      <c r="A1052" s="2"/>
      <c r="B1052" s="2"/>
      <c r="C1052" s="75"/>
      <c r="D1052" s="75"/>
      <c r="E1052" s="75"/>
      <c r="F1052" s="75"/>
      <c r="G1052" s="75"/>
      <c r="H1052" s="75"/>
      <c r="I1052" s="2"/>
      <c r="J1052" s="83"/>
      <c r="K1052" s="83"/>
      <c r="L1052" s="83"/>
      <c r="M1052" s="83"/>
      <c r="N1052" s="83"/>
      <c r="O1052" s="2"/>
      <c r="P1052" s="75" t="n">
        <v>1049</v>
      </c>
      <c r="Q1052" s="146" t="n">
        <v>23570.881470589</v>
      </c>
      <c r="R1052" s="146" t="n">
        <v>0.266968974034459</v>
      </c>
      <c r="S1052" s="146" t="n">
        <v>0.0780522390585631</v>
      </c>
      <c r="T1052" s="146" t="n">
        <v>0.030095707172611</v>
      </c>
      <c r="U1052" s="29"/>
      <c r="V1052" s="29"/>
      <c r="W1052" s="29"/>
      <c r="X1052" s="29"/>
      <c r="Y1052" s="29"/>
      <c r="Z1052" s="75"/>
    </row>
    <row r="1053" customFormat="false" ht="12.75" hidden="false" customHeight="true" outlineLevel="0" collapsed="false">
      <c r="A1053" s="2"/>
      <c r="B1053" s="2"/>
      <c r="C1053" s="75"/>
      <c r="D1053" s="75"/>
      <c r="E1053" s="75"/>
      <c r="F1053" s="75"/>
      <c r="G1053" s="75"/>
      <c r="H1053" s="75"/>
      <c r="I1053" s="2"/>
      <c r="J1053" s="83"/>
      <c r="K1053" s="83"/>
      <c r="L1053" s="83"/>
      <c r="M1053" s="83"/>
      <c r="N1053" s="83"/>
      <c r="O1053" s="2"/>
      <c r="P1053" s="75" t="n">
        <v>1050</v>
      </c>
      <c r="Q1053" s="146" t="n">
        <v>23593.776126448</v>
      </c>
      <c r="R1053" s="146" t="n">
        <v>0.265862234801407</v>
      </c>
      <c r="S1053" s="146" t="n">
        <v>0.0830552067426496</v>
      </c>
      <c r="T1053" s="146" t="n">
        <v>0.0315983688058912</v>
      </c>
      <c r="U1053" s="29"/>
      <c r="V1053" s="29"/>
      <c r="W1053" s="29"/>
      <c r="X1053" s="29"/>
      <c r="Y1053" s="29"/>
      <c r="Z1053" s="75"/>
    </row>
    <row r="1054" customFormat="false" ht="12.75" hidden="false" customHeight="true" outlineLevel="0" collapsed="false">
      <c r="A1054" s="2"/>
      <c r="B1054" s="2"/>
      <c r="C1054" s="75"/>
      <c r="D1054" s="75"/>
      <c r="E1054" s="75"/>
      <c r="F1054" s="75"/>
      <c r="G1054" s="75"/>
      <c r="H1054" s="75"/>
      <c r="I1054" s="2"/>
      <c r="J1054" s="83"/>
      <c r="K1054" s="83"/>
      <c r="L1054" s="83"/>
      <c r="M1054" s="83"/>
      <c r="N1054" s="83"/>
      <c r="O1054" s="2"/>
      <c r="P1054" s="75" t="n">
        <v>1051</v>
      </c>
      <c r="Q1054" s="146" t="n">
        <v>23616.438464959</v>
      </c>
      <c r="R1054" s="146" t="n">
        <v>0.26551400097016</v>
      </c>
      <c r="S1054" s="146" t="n">
        <v>0.0853037995779141</v>
      </c>
      <c r="T1054" s="146" t="n">
        <v>0.031812851781439</v>
      </c>
      <c r="U1054" s="29"/>
      <c r="V1054" s="29"/>
      <c r="W1054" s="29"/>
      <c r="X1054" s="29"/>
      <c r="Y1054" s="29"/>
      <c r="Z1054" s="75"/>
    </row>
    <row r="1055" customFormat="false" ht="12.75" hidden="false" customHeight="true" outlineLevel="0" collapsed="false">
      <c r="A1055" s="2"/>
      <c r="B1055" s="2"/>
      <c r="C1055" s="75"/>
      <c r="D1055" s="75"/>
      <c r="E1055" s="75"/>
      <c r="F1055" s="75"/>
      <c r="G1055" s="75"/>
      <c r="H1055" s="75"/>
      <c r="I1055" s="2"/>
      <c r="J1055" s="83"/>
      <c r="K1055" s="83"/>
      <c r="L1055" s="83"/>
      <c r="M1055" s="83"/>
      <c r="N1055" s="83"/>
      <c r="O1055" s="2"/>
      <c r="P1055" s="75" t="n">
        <v>1052</v>
      </c>
      <c r="Q1055" s="146" t="n">
        <v>23639.412671907</v>
      </c>
      <c r="R1055" s="146" t="n">
        <v>0.264345983751435</v>
      </c>
      <c r="S1055" s="146" t="n">
        <v>0.087526482082989</v>
      </c>
      <c r="T1055" s="146" t="n">
        <v>0.0315703123154138</v>
      </c>
      <c r="U1055" s="29"/>
      <c r="V1055" s="29"/>
      <c r="W1055" s="29"/>
      <c r="X1055" s="29"/>
      <c r="Y1055" s="29"/>
      <c r="Z1055" s="75"/>
    </row>
    <row r="1056" customFormat="false" ht="12.75" hidden="false" customHeight="true" outlineLevel="0" collapsed="false">
      <c r="A1056" s="2"/>
      <c r="B1056" s="2"/>
      <c r="C1056" s="75"/>
      <c r="D1056" s="75"/>
      <c r="E1056" s="75"/>
      <c r="F1056" s="75"/>
      <c r="G1056" s="75"/>
      <c r="H1056" s="75"/>
      <c r="I1056" s="2"/>
      <c r="J1056" s="83"/>
      <c r="K1056" s="83"/>
      <c r="L1056" s="83"/>
      <c r="M1056" s="83"/>
      <c r="N1056" s="83"/>
      <c r="O1056" s="2"/>
      <c r="P1056" s="75" t="n">
        <v>1053</v>
      </c>
      <c r="Q1056" s="146" t="n">
        <v>23662.282245585</v>
      </c>
      <c r="R1056" s="146" t="n">
        <v>0.263818310634735</v>
      </c>
      <c r="S1056" s="146" t="n">
        <v>0.0884732789726867</v>
      </c>
      <c r="T1056" s="146" t="n">
        <v>0.031243814440759</v>
      </c>
      <c r="U1056" s="29"/>
      <c r="V1056" s="29"/>
      <c r="W1056" s="29"/>
      <c r="X1056" s="29"/>
      <c r="Y1056" s="29"/>
      <c r="Z1056" s="75"/>
    </row>
    <row r="1057" customFormat="false" ht="12.75" hidden="false" customHeight="true" outlineLevel="0" collapsed="false">
      <c r="A1057" s="2"/>
      <c r="B1057" s="2"/>
      <c r="C1057" s="75"/>
      <c r="D1057" s="75"/>
      <c r="E1057" s="75"/>
      <c r="F1057" s="75"/>
      <c r="G1057" s="75"/>
      <c r="H1057" s="75"/>
      <c r="I1057" s="2"/>
      <c r="J1057" s="83"/>
      <c r="K1057" s="83"/>
      <c r="L1057" s="83"/>
      <c r="M1057" s="83"/>
      <c r="N1057" s="83"/>
      <c r="O1057" s="2"/>
      <c r="P1057" s="75" t="n">
        <v>1054</v>
      </c>
      <c r="Q1057" s="146" t="n">
        <v>23685.149547732</v>
      </c>
      <c r="R1057" s="146" t="n">
        <v>0.263549387870017</v>
      </c>
      <c r="S1057" s="146" t="n">
        <v>0.0873903908568488</v>
      </c>
      <c r="T1057" s="146" t="n">
        <v>0.0305848092901885</v>
      </c>
      <c r="U1057" s="29"/>
      <c r="V1057" s="29"/>
      <c r="W1057" s="29"/>
      <c r="X1057" s="29"/>
      <c r="Y1057" s="29"/>
      <c r="Z1057" s="75"/>
    </row>
    <row r="1058" customFormat="false" ht="12.75" hidden="false" customHeight="true" outlineLevel="0" collapsed="false">
      <c r="A1058" s="2"/>
      <c r="B1058" s="2"/>
      <c r="C1058" s="75"/>
      <c r="D1058" s="75"/>
      <c r="E1058" s="75"/>
      <c r="F1058" s="75"/>
      <c r="G1058" s="75"/>
      <c r="H1058" s="75"/>
      <c r="I1058" s="2"/>
      <c r="J1058" s="83"/>
      <c r="K1058" s="83"/>
      <c r="L1058" s="83"/>
      <c r="M1058" s="83"/>
      <c r="N1058" s="83"/>
      <c r="O1058" s="2"/>
      <c r="P1058" s="75" t="n">
        <v>1055</v>
      </c>
      <c r="Q1058" s="146" t="n">
        <v>23708.006949239</v>
      </c>
      <c r="R1058" s="146" t="n">
        <v>0.263721646285287</v>
      </c>
      <c r="S1058" s="146" t="n">
        <v>0.084381319368021</v>
      </c>
      <c r="T1058" s="146" t="n">
        <v>0.0302753534933499</v>
      </c>
      <c r="U1058" s="29"/>
      <c r="V1058" s="29"/>
      <c r="W1058" s="29"/>
      <c r="X1058" s="29"/>
      <c r="Y1058" s="29"/>
      <c r="Z1058" s="75"/>
    </row>
    <row r="1059" customFormat="false" ht="12.75" hidden="false" customHeight="true" outlineLevel="0" collapsed="false">
      <c r="A1059" s="2"/>
      <c r="B1059" s="2"/>
      <c r="C1059" s="75"/>
      <c r="D1059" s="75"/>
      <c r="E1059" s="75"/>
      <c r="F1059" s="75"/>
      <c r="G1059" s="75"/>
      <c r="H1059" s="75"/>
      <c r="I1059" s="2"/>
      <c r="J1059" s="83"/>
      <c r="K1059" s="83"/>
      <c r="L1059" s="83"/>
      <c r="M1059" s="83"/>
      <c r="N1059" s="83"/>
      <c r="O1059" s="2"/>
      <c r="P1059" s="75" t="n">
        <v>1056</v>
      </c>
      <c r="Q1059" s="146" t="n">
        <v>23730.127058171</v>
      </c>
      <c r="R1059" s="146" t="n">
        <v>0.264172522535555</v>
      </c>
      <c r="S1059" s="146" t="n">
        <v>0.0811907580431238</v>
      </c>
      <c r="T1059" s="146" t="n">
        <v>0.0297243192074998</v>
      </c>
      <c r="U1059" s="29"/>
      <c r="V1059" s="29"/>
      <c r="W1059" s="29"/>
      <c r="X1059" s="29"/>
      <c r="Y1059" s="29"/>
      <c r="Z1059" s="75"/>
    </row>
    <row r="1060" customFormat="false" ht="12.75" hidden="false" customHeight="true" outlineLevel="0" collapsed="false">
      <c r="A1060" s="2"/>
      <c r="B1060" s="2"/>
      <c r="C1060" s="75"/>
      <c r="D1060" s="75"/>
      <c r="E1060" s="75"/>
      <c r="F1060" s="75"/>
      <c r="G1060" s="75"/>
      <c r="H1060" s="75"/>
      <c r="I1060" s="2"/>
      <c r="J1060" s="83"/>
      <c r="K1060" s="83"/>
      <c r="L1060" s="83"/>
      <c r="M1060" s="83"/>
      <c r="N1060" s="83"/>
      <c r="O1060" s="2"/>
      <c r="P1060" s="75" t="n">
        <v>1057</v>
      </c>
      <c r="Q1060" s="146" t="n">
        <v>23752.345987925</v>
      </c>
      <c r="R1060" s="146" t="n">
        <v>0.264542411561139</v>
      </c>
      <c r="S1060" s="146" t="n">
        <v>0.077269830634101</v>
      </c>
      <c r="T1060" s="146" t="n">
        <v>0.0291785401174916</v>
      </c>
      <c r="U1060" s="29"/>
      <c r="V1060" s="29"/>
      <c r="W1060" s="29"/>
      <c r="X1060" s="29"/>
      <c r="Y1060" s="29"/>
      <c r="Z1060" s="75"/>
    </row>
    <row r="1061" customFormat="false" ht="12.75" hidden="false" customHeight="true" outlineLevel="0" collapsed="false">
      <c r="A1061" s="2"/>
      <c r="B1061" s="2"/>
      <c r="C1061" s="75"/>
      <c r="D1061" s="75"/>
      <c r="E1061" s="75"/>
      <c r="F1061" s="75"/>
      <c r="G1061" s="75"/>
      <c r="H1061" s="75"/>
      <c r="I1061" s="2"/>
      <c r="J1061" s="83"/>
      <c r="K1061" s="83"/>
      <c r="L1061" s="83"/>
      <c r="M1061" s="83"/>
      <c r="N1061" s="83"/>
      <c r="O1061" s="2"/>
      <c r="P1061" s="75" t="n">
        <v>1058</v>
      </c>
      <c r="Q1061" s="146" t="n">
        <v>23774.339610135</v>
      </c>
      <c r="R1061" s="146" t="n">
        <v>0.264889362361819</v>
      </c>
      <c r="S1061" s="146" t="n">
        <v>0.0742131717017626</v>
      </c>
      <c r="T1061" s="146" t="n">
        <v>0.0283452739060287</v>
      </c>
      <c r="U1061" s="29"/>
      <c r="V1061" s="29"/>
      <c r="W1061" s="29"/>
      <c r="X1061" s="29"/>
      <c r="Y1061" s="29"/>
      <c r="Z1061" s="75"/>
    </row>
    <row r="1062" customFormat="false" ht="12.75" hidden="false" customHeight="true" outlineLevel="0" collapsed="false">
      <c r="A1062" s="2"/>
      <c r="B1062" s="2"/>
      <c r="C1062" s="75"/>
      <c r="D1062" s="75"/>
      <c r="E1062" s="75"/>
      <c r="F1062" s="75"/>
      <c r="G1062" s="75"/>
      <c r="H1062" s="75"/>
      <c r="I1062" s="2"/>
      <c r="J1062" s="83"/>
      <c r="K1062" s="83"/>
      <c r="L1062" s="83"/>
      <c r="M1062" s="83"/>
      <c r="N1062" s="83"/>
      <c r="O1062" s="2"/>
      <c r="P1062" s="75" t="n">
        <v>1059</v>
      </c>
      <c r="Q1062" s="146" t="n">
        <v>23797.004457486</v>
      </c>
      <c r="R1062" s="146" t="n">
        <v>0.265578402705484</v>
      </c>
      <c r="S1062" s="146" t="n">
        <v>0.0689735850878591</v>
      </c>
      <c r="T1062" s="146" t="n">
        <v>0.0266141147928438</v>
      </c>
      <c r="U1062" s="29"/>
      <c r="V1062" s="29"/>
      <c r="W1062" s="29"/>
      <c r="X1062" s="29"/>
      <c r="Y1062" s="29"/>
      <c r="Z1062" s="75"/>
    </row>
    <row r="1063" customFormat="false" ht="12.75" hidden="false" customHeight="true" outlineLevel="0" collapsed="false">
      <c r="A1063" s="2"/>
      <c r="B1063" s="2"/>
      <c r="C1063" s="75"/>
      <c r="D1063" s="75"/>
      <c r="E1063" s="75"/>
      <c r="F1063" s="75"/>
      <c r="G1063" s="75"/>
      <c r="H1063" s="75"/>
      <c r="I1063" s="2"/>
      <c r="J1063" s="83"/>
      <c r="K1063" s="83"/>
      <c r="L1063" s="83"/>
      <c r="M1063" s="83"/>
      <c r="N1063" s="83"/>
      <c r="O1063" s="2"/>
      <c r="P1063" s="75" t="n">
        <v>1060</v>
      </c>
      <c r="Q1063" s="146" t="n">
        <v>23819.443960473</v>
      </c>
      <c r="R1063" s="146" t="n">
        <v>0.265464067836532</v>
      </c>
      <c r="S1063" s="146" t="n">
        <v>0.0656829668612687</v>
      </c>
      <c r="T1063" s="146" t="n">
        <v>0.0259861716725156</v>
      </c>
      <c r="U1063" s="29"/>
      <c r="V1063" s="29"/>
      <c r="W1063" s="29"/>
      <c r="X1063" s="29"/>
      <c r="Y1063" s="29"/>
      <c r="Z1063" s="75"/>
    </row>
    <row r="1064" customFormat="false" ht="12.75" hidden="false" customHeight="true" outlineLevel="0" collapsed="false">
      <c r="A1064" s="2"/>
      <c r="B1064" s="2"/>
      <c r="C1064" s="75"/>
      <c r="D1064" s="75"/>
      <c r="E1064" s="75"/>
      <c r="F1064" s="75"/>
      <c r="G1064" s="75"/>
      <c r="H1064" s="75"/>
      <c r="I1064" s="2"/>
      <c r="J1064" s="83"/>
      <c r="K1064" s="83"/>
      <c r="L1064" s="83"/>
      <c r="M1064" s="83"/>
      <c r="N1064" s="83"/>
      <c r="O1064" s="2"/>
      <c r="P1064" s="75" t="n">
        <v>1061</v>
      </c>
      <c r="Q1064" s="146" t="n">
        <v>23842.35598205</v>
      </c>
      <c r="R1064" s="146" t="n">
        <v>0.265721102948471</v>
      </c>
      <c r="S1064" s="146" t="n">
        <v>0.0627369981918931</v>
      </c>
      <c r="T1064" s="146" t="n">
        <v>0.026011259447377</v>
      </c>
      <c r="U1064" s="29"/>
      <c r="V1064" s="29"/>
      <c r="W1064" s="29"/>
      <c r="X1064" s="29"/>
      <c r="Y1064" s="29"/>
      <c r="Z1064" s="75"/>
    </row>
    <row r="1065" customFormat="false" ht="12.75" hidden="false" customHeight="true" outlineLevel="0" collapsed="false">
      <c r="A1065" s="2"/>
      <c r="B1065" s="2"/>
      <c r="C1065" s="75"/>
      <c r="D1065" s="75"/>
      <c r="E1065" s="75"/>
      <c r="F1065" s="75"/>
      <c r="G1065" s="75"/>
      <c r="H1065" s="75"/>
      <c r="I1065" s="2"/>
      <c r="J1065" s="83"/>
      <c r="K1065" s="83"/>
      <c r="L1065" s="83"/>
      <c r="M1065" s="83"/>
      <c r="N1065" s="83"/>
      <c r="O1065" s="2"/>
      <c r="P1065" s="75" t="n">
        <v>1062</v>
      </c>
      <c r="Q1065" s="146" t="n">
        <v>23864.833807503</v>
      </c>
      <c r="R1065" s="146" t="n">
        <v>0.265765467078041</v>
      </c>
      <c r="S1065" s="146" t="n">
        <v>0.060399206775332</v>
      </c>
      <c r="T1065" s="146" t="n">
        <v>0.0261546914782033</v>
      </c>
      <c r="U1065" s="29"/>
      <c r="V1065" s="29"/>
      <c r="W1065" s="29"/>
      <c r="X1065" s="29"/>
      <c r="Y1065" s="29"/>
      <c r="Z1065" s="75"/>
    </row>
    <row r="1066" customFormat="false" ht="12.75" hidden="false" customHeight="true" outlineLevel="0" collapsed="false">
      <c r="A1066" s="2"/>
      <c r="B1066" s="2"/>
      <c r="C1066" s="75"/>
      <c r="D1066" s="75"/>
      <c r="E1066" s="75"/>
      <c r="F1066" s="75"/>
      <c r="G1066" s="75"/>
      <c r="H1066" s="75"/>
      <c r="I1066" s="2"/>
      <c r="J1066" s="83"/>
      <c r="K1066" s="83"/>
      <c r="L1066" s="83"/>
      <c r="M1066" s="83"/>
      <c r="N1066" s="83"/>
      <c r="O1066" s="2"/>
      <c r="P1066" s="75" t="n">
        <v>1063</v>
      </c>
      <c r="Q1066" s="146" t="n">
        <v>23887.117843406</v>
      </c>
      <c r="R1066" s="146" t="n">
        <v>0.265922023472262</v>
      </c>
      <c r="S1066" s="146" t="n">
        <v>0.0594437973007804</v>
      </c>
      <c r="T1066" s="146" t="n">
        <v>0.0268391599195792</v>
      </c>
      <c r="U1066" s="29"/>
      <c r="V1066" s="29"/>
      <c r="W1066" s="29"/>
      <c r="X1066" s="29"/>
      <c r="Y1066" s="29"/>
      <c r="Z1066" s="75"/>
    </row>
    <row r="1067" customFormat="false" ht="12.75" hidden="false" customHeight="true" outlineLevel="0" collapsed="false">
      <c r="A1067" s="2"/>
      <c r="B1067" s="2"/>
      <c r="C1067" s="75"/>
      <c r="D1067" s="75"/>
      <c r="E1067" s="75"/>
      <c r="F1067" s="75"/>
      <c r="G1067" s="75"/>
      <c r="H1067" s="75"/>
      <c r="I1067" s="2"/>
      <c r="J1067" s="83"/>
      <c r="K1067" s="83"/>
      <c r="L1067" s="83"/>
      <c r="M1067" s="83"/>
      <c r="N1067" s="83"/>
      <c r="O1067" s="2"/>
      <c r="P1067" s="75" t="n">
        <v>1064</v>
      </c>
      <c r="Q1067" s="146" t="n">
        <v>23909.618164068</v>
      </c>
      <c r="R1067" s="146" t="n">
        <v>0.266043870634281</v>
      </c>
      <c r="S1067" s="146" t="n">
        <v>0.0599267242739944</v>
      </c>
      <c r="T1067" s="146" t="n">
        <v>0.0279112847667876</v>
      </c>
      <c r="U1067" s="29"/>
      <c r="V1067" s="29"/>
      <c r="W1067" s="29"/>
      <c r="X1067" s="29"/>
      <c r="Y1067" s="29"/>
      <c r="Z1067" s="75"/>
    </row>
    <row r="1068" customFormat="false" ht="12.75" hidden="false" customHeight="true" outlineLevel="0" collapsed="false">
      <c r="A1068" s="2"/>
      <c r="B1068" s="2"/>
      <c r="C1068" s="75"/>
      <c r="D1068" s="75"/>
      <c r="E1068" s="75"/>
      <c r="F1068" s="75"/>
      <c r="G1068" s="75"/>
      <c r="H1068" s="75"/>
      <c r="I1068" s="2"/>
      <c r="J1068" s="83"/>
      <c r="K1068" s="83"/>
      <c r="L1068" s="83"/>
      <c r="M1068" s="83"/>
      <c r="N1068" s="83"/>
      <c r="O1068" s="2"/>
      <c r="P1068" s="75" t="n">
        <v>1065</v>
      </c>
      <c r="Q1068" s="146" t="n">
        <v>23931.757917949</v>
      </c>
      <c r="R1068" s="146" t="n">
        <v>0.266141311087454</v>
      </c>
      <c r="S1068" s="146" t="n">
        <v>0.0616646436383195</v>
      </c>
      <c r="T1068" s="146" t="n">
        <v>0.0293988131322488</v>
      </c>
      <c r="U1068" s="29"/>
      <c r="V1068" s="29"/>
      <c r="W1068" s="29"/>
      <c r="X1068" s="29"/>
      <c r="Y1068" s="29"/>
      <c r="Z1068" s="75"/>
    </row>
    <row r="1069" customFormat="false" ht="12.75" hidden="false" customHeight="true" outlineLevel="0" collapsed="false">
      <c r="A1069" s="2"/>
      <c r="B1069" s="2"/>
      <c r="C1069" s="75"/>
      <c r="D1069" s="75"/>
      <c r="E1069" s="75"/>
      <c r="F1069" s="75"/>
      <c r="G1069" s="75"/>
      <c r="H1069" s="75"/>
      <c r="I1069" s="2"/>
      <c r="J1069" s="83"/>
      <c r="K1069" s="83"/>
      <c r="L1069" s="83"/>
      <c r="M1069" s="83"/>
      <c r="N1069" s="83"/>
      <c r="O1069" s="2"/>
      <c r="P1069" s="75" t="n">
        <v>1066</v>
      </c>
      <c r="Q1069" s="146" t="n">
        <v>23953.899060866</v>
      </c>
      <c r="R1069" s="146" t="n">
        <v>0.266228684155822</v>
      </c>
      <c r="S1069" s="146" t="n">
        <v>0.0641689318868726</v>
      </c>
      <c r="T1069" s="146" t="n">
        <v>0.030958176583273</v>
      </c>
      <c r="U1069" s="29"/>
      <c r="V1069" s="29"/>
      <c r="W1069" s="29"/>
      <c r="X1069" s="29"/>
      <c r="Y1069" s="29"/>
      <c r="Z1069" s="75"/>
    </row>
    <row r="1070" customFormat="false" ht="12.75" hidden="false" customHeight="true" outlineLevel="0" collapsed="false">
      <c r="A1070" s="2"/>
      <c r="B1070" s="2"/>
      <c r="C1070" s="75"/>
      <c r="D1070" s="75"/>
      <c r="E1070" s="75"/>
      <c r="F1070" s="75"/>
      <c r="G1070" s="75"/>
      <c r="H1070" s="75"/>
      <c r="I1070" s="2"/>
      <c r="J1070" s="83"/>
      <c r="K1070" s="83"/>
      <c r="L1070" s="83"/>
      <c r="M1070" s="83"/>
      <c r="N1070" s="83"/>
      <c r="O1070" s="2"/>
      <c r="P1070" s="75" t="n">
        <v>1067</v>
      </c>
      <c r="Q1070" s="146" t="n">
        <v>23976.146401466</v>
      </c>
      <c r="R1070" s="146" t="n">
        <v>0.266460907252773</v>
      </c>
      <c r="S1070" s="146" t="n">
        <v>0.0671706979099929</v>
      </c>
      <c r="T1070" s="146" t="n">
        <v>0.0324768219170923</v>
      </c>
      <c r="U1070" s="29"/>
      <c r="V1070" s="29"/>
      <c r="W1070" s="29"/>
      <c r="X1070" s="29"/>
      <c r="Y1070" s="29"/>
      <c r="Z1070" s="75"/>
    </row>
    <row r="1071" customFormat="false" ht="12.75" hidden="false" customHeight="true" outlineLevel="0" collapsed="false">
      <c r="A1071" s="2"/>
      <c r="B1071" s="2"/>
      <c r="C1071" s="75"/>
      <c r="D1071" s="75"/>
      <c r="E1071" s="75"/>
      <c r="F1071" s="75"/>
      <c r="G1071" s="75"/>
      <c r="H1071" s="75"/>
      <c r="I1071" s="2"/>
      <c r="J1071" s="83"/>
      <c r="K1071" s="83"/>
      <c r="L1071" s="83"/>
      <c r="M1071" s="83"/>
      <c r="N1071" s="83"/>
      <c r="O1071" s="2"/>
      <c r="P1071" s="75" t="n">
        <v>1068</v>
      </c>
      <c r="Q1071" s="146" t="n">
        <v>23998.774717954</v>
      </c>
      <c r="R1071" s="146" t="n">
        <v>0.266844934436339</v>
      </c>
      <c r="S1071" s="146" t="n">
        <v>0.0702971830526245</v>
      </c>
      <c r="T1071" s="146" t="n">
        <v>0.0337992505258655</v>
      </c>
      <c r="U1071" s="29"/>
      <c r="V1071" s="29"/>
      <c r="W1071" s="29"/>
      <c r="X1071" s="29"/>
      <c r="Y1071" s="29"/>
      <c r="Z1071" s="75"/>
    </row>
    <row r="1072" customFormat="false" ht="12.75" hidden="false" customHeight="true" outlineLevel="0" collapsed="false">
      <c r="A1072" s="2"/>
      <c r="B1072" s="2"/>
      <c r="C1072" s="75"/>
      <c r="D1072" s="75"/>
      <c r="E1072" s="75"/>
      <c r="F1072" s="75"/>
      <c r="G1072" s="75"/>
      <c r="H1072" s="75"/>
      <c r="I1072" s="2"/>
      <c r="J1072" s="83"/>
      <c r="K1072" s="83"/>
      <c r="L1072" s="83"/>
      <c r="M1072" s="83"/>
      <c r="N1072" s="83"/>
      <c r="O1072" s="2"/>
      <c r="P1072" s="75" t="n">
        <v>1069</v>
      </c>
      <c r="Q1072" s="146" t="n">
        <v>24021.342736645</v>
      </c>
      <c r="R1072" s="146" t="n">
        <v>0.267676592750293</v>
      </c>
      <c r="S1072" s="146" t="n">
        <v>0.0725890485660957</v>
      </c>
      <c r="T1072" s="146" t="n">
        <v>0.0350965545399165</v>
      </c>
      <c r="U1072" s="29"/>
      <c r="V1072" s="29"/>
      <c r="W1072" s="29"/>
      <c r="X1072" s="29"/>
      <c r="Y1072" s="29"/>
      <c r="Z1072" s="75"/>
    </row>
    <row r="1073" customFormat="false" ht="12.75" hidden="false" customHeight="true" outlineLevel="0" collapsed="false">
      <c r="A1073" s="2"/>
      <c r="B1073" s="2"/>
      <c r="C1073" s="75"/>
      <c r="D1073" s="75"/>
      <c r="E1073" s="75"/>
      <c r="F1073" s="75"/>
      <c r="G1073" s="75"/>
      <c r="H1073" s="75"/>
      <c r="I1073" s="2"/>
      <c r="J1073" s="83"/>
      <c r="K1073" s="83"/>
      <c r="L1073" s="83"/>
      <c r="M1073" s="83"/>
      <c r="N1073" s="83"/>
      <c r="O1073" s="2"/>
      <c r="P1073" s="75" t="n">
        <v>1070</v>
      </c>
      <c r="Q1073" s="146" t="n">
        <v>24043.679773994</v>
      </c>
      <c r="R1073" s="146" t="n">
        <v>0.268382492091563</v>
      </c>
      <c r="S1073" s="146" t="n">
        <v>0.074096989812026</v>
      </c>
      <c r="T1073" s="146" t="n">
        <v>0.0356535634591484</v>
      </c>
      <c r="U1073" s="29"/>
      <c r="V1073" s="29"/>
      <c r="W1073" s="29"/>
      <c r="X1073" s="29"/>
      <c r="Y1073" s="29"/>
      <c r="Z1073" s="75"/>
    </row>
    <row r="1074" customFormat="false" ht="12.75" hidden="false" customHeight="true" outlineLevel="0" collapsed="false">
      <c r="A1074" s="2"/>
      <c r="B1074" s="2"/>
      <c r="C1074" s="75"/>
      <c r="D1074" s="75"/>
      <c r="E1074" s="75"/>
      <c r="F1074" s="75"/>
      <c r="G1074" s="75"/>
      <c r="H1074" s="75"/>
      <c r="I1074" s="2"/>
      <c r="J1074" s="83"/>
      <c r="K1074" s="83"/>
      <c r="L1074" s="83"/>
      <c r="M1074" s="83"/>
      <c r="N1074" s="83"/>
      <c r="O1074" s="2"/>
      <c r="P1074" s="75" t="n">
        <v>1071</v>
      </c>
      <c r="Q1074" s="146" t="n">
        <v>24065.681094203</v>
      </c>
      <c r="R1074" s="146" t="n">
        <v>0.269359429202475</v>
      </c>
      <c r="S1074" s="146" t="n">
        <v>0.0763235269008904</v>
      </c>
      <c r="T1074" s="146" t="n">
        <v>0.0361118286095276</v>
      </c>
      <c r="U1074" s="29"/>
      <c r="V1074" s="29"/>
      <c r="W1074" s="29"/>
      <c r="X1074" s="29"/>
      <c r="Y1074" s="29"/>
      <c r="Z1074" s="75"/>
    </row>
    <row r="1075" customFormat="false" ht="12.75" hidden="false" customHeight="true" outlineLevel="0" collapsed="false">
      <c r="A1075" s="2"/>
      <c r="B1075" s="2"/>
      <c r="C1075" s="75"/>
      <c r="D1075" s="75"/>
      <c r="E1075" s="75"/>
      <c r="F1075" s="75"/>
      <c r="G1075" s="75"/>
      <c r="H1075" s="75"/>
      <c r="I1075" s="2"/>
      <c r="J1075" s="83"/>
      <c r="K1075" s="83"/>
      <c r="L1075" s="83"/>
      <c r="M1075" s="83"/>
      <c r="N1075" s="83"/>
      <c r="O1075" s="2"/>
      <c r="P1075" s="75" t="n">
        <v>1072</v>
      </c>
      <c r="Q1075" s="146" t="n">
        <v>24088.542585494</v>
      </c>
      <c r="R1075" s="146" t="n">
        <v>0.269313756721113</v>
      </c>
      <c r="S1075" s="146" t="n">
        <v>0.0804454475327624</v>
      </c>
      <c r="T1075" s="146" t="n">
        <v>0.0359936450939809</v>
      </c>
      <c r="U1075" s="29"/>
      <c r="V1075" s="29"/>
      <c r="W1075" s="29"/>
      <c r="X1075" s="29"/>
      <c r="Y1075" s="29"/>
      <c r="Z1075" s="75"/>
    </row>
    <row r="1076" customFormat="false" ht="12.75" hidden="false" customHeight="true" outlineLevel="0" collapsed="false">
      <c r="A1076" s="2"/>
      <c r="B1076" s="2"/>
      <c r="C1076" s="75"/>
      <c r="D1076" s="75"/>
      <c r="E1076" s="75"/>
      <c r="F1076" s="75"/>
      <c r="G1076" s="75"/>
      <c r="H1076" s="75"/>
      <c r="I1076" s="2"/>
      <c r="J1076" s="83"/>
      <c r="K1076" s="83"/>
      <c r="L1076" s="83"/>
      <c r="M1076" s="83"/>
      <c r="N1076" s="83"/>
      <c r="O1076" s="2"/>
      <c r="P1076" s="75" t="n">
        <v>1073</v>
      </c>
      <c r="Q1076" s="146" t="n">
        <v>24110.684082999</v>
      </c>
      <c r="R1076" s="146" t="n">
        <v>0.269899684950665</v>
      </c>
      <c r="S1076" s="146" t="n">
        <v>0.0837735808687755</v>
      </c>
      <c r="T1076" s="146" t="n">
        <v>0.035563513037525</v>
      </c>
      <c r="U1076" s="29"/>
      <c r="V1076" s="29"/>
      <c r="W1076" s="29"/>
      <c r="X1076" s="29"/>
      <c r="Y1076" s="29"/>
      <c r="Z1076" s="75"/>
    </row>
    <row r="1077" customFormat="false" ht="12.75" hidden="false" customHeight="true" outlineLevel="0" collapsed="false">
      <c r="A1077" s="2"/>
      <c r="B1077" s="2"/>
      <c r="C1077" s="75"/>
      <c r="D1077" s="75"/>
      <c r="E1077" s="75"/>
      <c r="F1077" s="75"/>
      <c r="G1077" s="75"/>
      <c r="H1077" s="75"/>
      <c r="I1077" s="2"/>
      <c r="J1077" s="83"/>
      <c r="K1077" s="83"/>
      <c r="L1077" s="83"/>
      <c r="M1077" s="83"/>
      <c r="N1077" s="83"/>
      <c r="O1077" s="2"/>
      <c r="P1077" s="75" t="n">
        <v>1074</v>
      </c>
      <c r="Q1077" s="146" t="n">
        <v>24133.90105133</v>
      </c>
      <c r="R1077" s="146" t="n">
        <v>0.269015522876869</v>
      </c>
      <c r="S1077" s="146" t="n">
        <v>0.096457974107934</v>
      </c>
      <c r="T1077" s="146" t="n">
        <v>0.0353582075972723</v>
      </c>
      <c r="U1077" s="29"/>
      <c r="V1077" s="29"/>
      <c r="W1077" s="29"/>
      <c r="X1077" s="29"/>
      <c r="Y1077" s="29"/>
      <c r="Z1077" s="75"/>
    </row>
    <row r="1078" customFormat="false" ht="12.75" hidden="false" customHeight="true" outlineLevel="0" collapsed="false">
      <c r="A1078" s="2"/>
      <c r="B1078" s="2"/>
      <c r="C1078" s="75"/>
      <c r="D1078" s="75"/>
      <c r="E1078" s="75"/>
      <c r="F1078" s="75"/>
      <c r="G1078" s="75"/>
      <c r="H1078" s="75"/>
      <c r="I1078" s="2"/>
      <c r="J1078" s="83"/>
      <c r="K1078" s="83"/>
      <c r="L1078" s="83"/>
      <c r="M1078" s="83"/>
      <c r="N1078" s="83"/>
      <c r="O1078" s="2"/>
      <c r="P1078" s="75" t="n">
        <v>1075</v>
      </c>
      <c r="Q1078" s="146" t="n">
        <v>24156.268720305</v>
      </c>
      <c r="R1078" s="146" t="n">
        <v>0.269053692000282</v>
      </c>
      <c r="S1078" s="146" t="n">
        <v>0.0984557428382219</v>
      </c>
      <c r="T1078" s="146" t="n">
        <v>0.034000043606964</v>
      </c>
      <c r="U1078" s="29"/>
      <c r="V1078" s="29"/>
      <c r="W1078" s="29"/>
      <c r="X1078" s="29"/>
      <c r="Y1078" s="29"/>
      <c r="Z1078" s="75"/>
    </row>
    <row r="1079" customFormat="false" ht="12.75" hidden="false" customHeight="true" outlineLevel="0" collapsed="false">
      <c r="A1079" s="2"/>
      <c r="B1079" s="2"/>
      <c r="C1079" s="75"/>
      <c r="D1079" s="75"/>
      <c r="E1079" s="75"/>
      <c r="F1079" s="75"/>
      <c r="G1079" s="75"/>
      <c r="H1079" s="75"/>
      <c r="I1079" s="2"/>
      <c r="J1079" s="83"/>
      <c r="K1079" s="83"/>
      <c r="L1079" s="83"/>
      <c r="M1079" s="83"/>
      <c r="N1079" s="83"/>
      <c r="O1079" s="2"/>
      <c r="P1079" s="75" t="n">
        <v>1076</v>
      </c>
      <c r="Q1079" s="146" t="n">
        <v>24178.933453516</v>
      </c>
      <c r="R1079" s="146" t="n">
        <v>0.268081763781737</v>
      </c>
      <c r="S1079" s="146" t="n">
        <v>0.104432345372211</v>
      </c>
      <c r="T1079" s="146" t="n">
        <v>0.0336414213950736</v>
      </c>
      <c r="U1079" s="29"/>
      <c r="V1079" s="29"/>
      <c r="W1079" s="29"/>
      <c r="X1079" s="29"/>
      <c r="Y1079" s="29"/>
      <c r="Z1079" s="75"/>
    </row>
    <row r="1080" customFormat="false" ht="12.75" hidden="false" customHeight="true" outlineLevel="0" collapsed="false">
      <c r="A1080" s="2"/>
      <c r="B1080" s="2"/>
      <c r="C1080" s="75"/>
      <c r="D1080" s="75"/>
      <c r="E1080" s="75"/>
      <c r="F1080" s="75"/>
      <c r="G1080" s="75"/>
      <c r="H1080" s="75"/>
      <c r="I1080" s="2"/>
      <c r="J1080" s="83"/>
      <c r="K1080" s="83"/>
      <c r="L1080" s="83"/>
      <c r="M1080" s="83"/>
      <c r="N1080" s="83"/>
      <c r="O1080" s="2"/>
      <c r="P1080" s="75" t="n">
        <v>1077</v>
      </c>
      <c r="Q1080" s="146" t="n">
        <v>24201.230967185</v>
      </c>
      <c r="R1080" s="146" t="n">
        <v>0.267595396070072</v>
      </c>
      <c r="S1080" s="146" t="n">
        <v>0.105788861757216</v>
      </c>
      <c r="T1080" s="146" t="n">
        <v>0.0319819900579842</v>
      </c>
      <c r="U1080" s="29"/>
      <c r="V1080" s="29"/>
      <c r="W1080" s="29"/>
      <c r="X1080" s="29"/>
      <c r="Y1080" s="29"/>
      <c r="Z1080" s="75"/>
    </row>
    <row r="1081" customFormat="false" ht="12.75" hidden="false" customHeight="true" outlineLevel="0" collapsed="false">
      <c r="A1081" s="2"/>
      <c r="B1081" s="2"/>
      <c r="C1081" s="75"/>
      <c r="D1081" s="75"/>
      <c r="E1081" s="75"/>
      <c r="F1081" s="75"/>
      <c r="G1081" s="75"/>
      <c r="H1081" s="75"/>
      <c r="I1081" s="2"/>
      <c r="J1081" s="83"/>
      <c r="K1081" s="83"/>
      <c r="L1081" s="83"/>
      <c r="M1081" s="83"/>
      <c r="N1081" s="83"/>
      <c r="O1081" s="2"/>
      <c r="P1081" s="75" t="n">
        <v>1078</v>
      </c>
      <c r="Q1081" s="146" t="n">
        <v>24223.931214583</v>
      </c>
      <c r="R1081" s="146" t="n">
        <v>0.266471025404289</v>
      </c>
      <c r="S1081" s="146" t="n">
        <v>0.108874296686256</v>
      </c>
      <c r="T1081" s="146" t="n">
        <v>0.0311009565305289</v>
      </c>
      <c r="U1081" s="29"/>
      <c r="V1081" s="29"/>
      <c r="W1081" s="29"/>
      <c r="X1081" s="29"/>
      <c r="Y1081" s="29"/>
      <c r="Z1081" s="75"/>
    </row>
    <row r="1082" customFormat="false" ht="12.75" hidden="false" customHeight="true" outlineLevel="0" collapsed="false">
      <c r="A1082" s="2"/>
      <c r="B1082" s="2"/>
      <c r="C1082" s="75"/>
      <c r="D1082" s="75"/>
      <c r="E1082" s="75"/>
      <c r="F1082" s="75"/>
      <c r="G1082" s="75"/>
      <c r="H1082" s="75"/>
      <c r="I1082" s="2"/>
      <c r="J1082" s="83"/>
      <c r="K1082" s="83"/>
      <c r="L1082" s="83"/>
      <c r="M1082" s="83"/>
      <c r="N1082" s="83"/>
      <c r="O1082" s="2"/>
      <c r="P1082" s="75" t="n">
        <v>1079</v>
      </c>
      <c r="Q1082" s="146" t="n">
        <v>24246.096447103</v>
      </c>
      <c r="R1082" s="146" t="n">
        <v>0.265789260135416</v>
      </c>
      <c r="S1082" s="146" t="n">
        <v>0.108810758892027</v>
      </c>
      <c r="T1082" s="146" t="n">
        <v>0.0288470154717147</v>
      </c>
      <c r="U1082" s="29"/>
      <c r="V1082" s="29"/>
      <c r="W1082" s="29"/>
      <c r="X1082" s="29"/>
      <c r="Y1082" s="29"/>
      <c r="Z1082" s="75"/>
    </row>
    <row r="1083" customFormat="false" ht="12.75" hidden="false" customHeight="true" outlineLevel="0" collapsed="false">
      <c r="A1083" s="2"/>
      <c r="B1083" s="2"/>
      <c r="C1083" s="75"/>
      <c r="D1083" s="75"/>
      <c r="E1083" s="75"/>
      <c r="F1083" s="75"/>
      <c r="G1083" s="75"/>
      <c r="H1083" s="75"/>
      <c r="I1083" s="2"/>
      <c r="J1083" s="83"/>
      <c r="K1083" s="83"/>
      <c r="L1083" s="83"/>
      <c r="M1083" s="83"/>
      <c r="N1083" s="83"/>
      <c r="O1083" s="2"/>
      <c r="P1083" s="75" t="n">
        <v>1080</v>
      </c>
      <c r="Q1083" s="146" t="n">
        <v>24268.745280889</v>
      </c>
      <c r="R1083" s="146" t="n">
        <v>0.265163489162524</v>
      </c>
      <c r="S1083" s="146" t="n">
        <v>0.107306877382994</v>
      </c>
      <c r="T1083" s="146" t="n">
        <v>0.027373015991158</v>
      </c>
      <c r="U1083" s="29"/>
      <c r="V1083" s="29"/>
      <c r="W1083" s="29"/>
      <c r="X1083" s="29"/>
      <c r="Y1083" s="29"/>
      <c r="Z1083" s="75"/>
    </row>
    <row r="1084" customFormat="false" ht="12.75" hidden="false" customHeight="true" outlineLevel="0" collapsed="false">
      <c r="A1084" s="2"/>
      <c r="B1084" s="2"/>
      <c r="C1084" s="75"/>
      <c r="D1084" s="75"/>
      <c r="E1084" s="75"/>
      <c r="F1084" s="75"/>
      <c r="G1084" s="75"/>
      <c r="H1084" s="75"/>
      <c r="I1084" s="2"/>
      <c r="J1084" s="83"/>
      <c r="K1084" s="83"/>
      <c r="L1084" s="83"/>
      <c r="M1084" s="83"/>
      <c r="N1084" s="83"/>
      <c r="O1084" s="2"/>
      <c r="P1084" s="75" t="n">
        <v>1081</v>
      </c>
      <c r="Q1084" s="146" t="n">
        <v>24290.745395453</v>
      </c>
      <c r="R1084" s="146" t="n">
        <v>0.264507774842499</v>
      </c>
      <c r="S1084" s="146" t="n">
        <v>0.107089973040642</v>
      </c>
      <c r="T1084" s="146" t="n">
        <v>0.0253056445742279</v>
      </c>
      <c r="U1084" s="29"/>
      <c r="V1084" s="29"/>
      <c r="W1084" s="29"/>
      <c r="X1084" s="29"/>
      <c r="Y1084" s="29"/>
      <c r="Z1084" s="75"/>
    </row>
    <row r="1085" customFormat="false" ht="12.75" hidden="false" customHeight="true" outlineLevel="0" collapsed="false">
      <c r="A1085" s="2"/>
      <c r="B1085" s="2"/>
      <c r="C1085" s="75"/>
      <c r="D1085" s="75"/>
      <c r="E1085" s="75"/>
      <c r="F1085" s="75"/>
      <c r="G1085" s="75"/>
      <c r="H1085" s="75"/>
      <c r="I1085" s="2"/>
      <c r="J1085" s="83"/>
      <c r="K1085" s="83"/>
      <c r="L1085" s="83"/>
      <c r="M1085" s="83"/>
      <c r="N1085" s="83"/>
      <c r="O1085" s="2"/>
      <c r="P1085" s="75" t="n">
        <v>1082</v>
      </c>
      <c r="Q1085" s="146" t="n">
        <v>24314.00314193</v>
      </c>
      <c r="R1085" s="146" t="n">
        <v>0.264378587990594</v>
      </c>
      <c r="S1085" s="146" t="n">
        <v>0.100368816622301</v>
      </c>
      <c r="T1085" s="146" t="n">
        <v>0.0237821570773494</v>
      </c>
      <c r="U1085" s="29"/>
      <c r="V1085" s="29"/>
      <c r="W1085" s="29"/>
      <c r="X1085" s="29"/>
      <c r="Y1085" s="29"/>
      <c r="Z1085" s="75"/>
    </row>
    <row r="1086" customFormat="false" ht="12.75" hidden="false" customHeight="true" outlineLevel="0" collapsed="false">
      <c r="A1086" s="2"/>
      <c r="B1086" s="2"/>
      <c r="C1086" s="75"/>
      <c r="D1086" s="75"/>
      <c r="E1086" s="75"/>
      <c r="F1086" s="75"/>
      <c r="G1086" s="75"/>
      <c r="H1086" s="75"/>
      <c r="I1086" s="2"/>
      <c r="J1086" s="83"/>
      <c r="K1086" s="83"/>
      <c r="L1086" s="83"/>
      <c r="M1086" s="83"/>
      <c r="N1086" s="83"/>
      <c r="O1086" s="2"/>
      <c r="P1086" s="75" t="n">
        <v>1083</v>
      </c>
      <c r="Q1086" s="146" t="n">
        <v>24336.102470565</v>
      </c>
      <c r="R1086" s="146" t="n">
        <v>0.263740149152991</v>
      </c>
      <c r="S1086" s="146" t="n">
        <v>0.0994952874931912</v>
      </c>
      <c r="T1086" s="146" t="n">
        <v>0.0221375506620786</v>
      </c>
      <c r="U1086" s="29"/>
      <c r="V1086" s="29"/>
      <c r="W1086" s="29"/>
      <c r="X1086" s="29"/>
      <c r="Y1086" s="29"/>
      <c r="Z1086" s="75"/>
    </row>
    <row r="1087" customFormat="false" ht="12.75" hidden="false" customHeight="true" outlineLevel="0" collapsed="false">
      <c r="A1087" s="2"/>
      <c r="B1087" s="2"/>
      <c r="C1087" s="75"/>
      <c r="D1087" s="75"/>
      <c r="E1087" s="75"/>
      <c r="F1087" s="75"/>
      <c r="G1087" s="75"/>
      <c r="H1087" s="75"/>
      <c r="I1087" s="2"/>
      <c r="J1087" s="83"/>
      <c r="K1087" s="83"/>
      <c r="L1087" s="83"/>
      <c r="M1087" s="83"/>
      <c r="N1087" s="83"/>
      <c r="O1087" s="2"/>
      <c r="P1087" s="75" t="n">
        <v>1084</v>
      </c>
      <c r="Q1087" s="146" t="n">
        <v>24359.073399235</v>
      </c>
      <c r="R1087" s="146" t="n">
        <v>0.264077909010753</v>
      </c>
      <c r="S1087" s="146" t="n">
        <v>0.0902358142009708</v>
      </c>
      <c r="T1087" s="146" t="n">
        <v>0.0206275528223917</v>
      </c>
      <c r="U1087" s="29"/>
      <c r="V1087" s="29"/>
      <c r="W1087" s="29"/>
      <c r="X1087" s="29"/>
      <c r="Y1087" s="29"/>
      <c r="Z1087" s="75"/>
    </row>
    <row r="1088" customFormat="false" ht="12.75" hidden="false" customHeight="true" outlineLevel="0" collapsed="false">
      <c r="A1088" s="2"/>
      <c r="B1088" s="2"/>
      <c r="C1088" s="75"/>
      <c r="D1088" s="75"/>
      <c r="E1088" s="75"/>
      <c r="F1088" s="75"/>
      <c r="G1088" s="75"/>
      <c r="H1088" s="75"/>
      <c r="I1088" s="2"/>
      <c r="J1088" s="83"/>
      <c r="K1088" s="83"/>
      <c r="L1088" s="83"/>
      <c r="M1088" s="83"/>
      <c r="N1088" s="83"/>
      <c r="O1088" s="2"/>
      <c r="P1088" s="75" t="n">
        <v>1085</v>
      </c>
      <c r="Q1088" s="146" t="n">
        <v>24381.12799094</v>
      </c>
      <c r="R1088" s="146" t="n">
        <v>0.263919759249742</v>
      </c>
      <c r="S1088" s="146" t="n">
        <v>0.0891232493899741</v>
      </c>
      <c r="T1088" s="146" t="n">
        <v>0.019297926777502</v>
      </c>
      <c r="U1088" s="29"/>
      <c r="V1088" s="29"/>
      <c r="W1088" s="29"/>
      <c r="X1088" s="29"/>
      <c r="Y1088" s="29"/>
      <c r="Z1088" s="75"/>
    </row>
    <row r="1089" customFormat="false" ht="12.75" hidden="false" customHeight="true" outlineLevel="0" collapsed="false">
      <c r="A1089" s="2"/>
      <c r="B1089" s="2"/>
      <c r="C1089" s="75"/>
      <c r="D1089" s="75"/>
      <c r="E1089" s="75"/>
      <c r="F1089" s="75"/>
      <c r="G1089" s="75"/>
      <c r="H1089" s="75"/>
      <c r="I1089" s="2"/>
      <c r="J1089" s="83"/>
      <c r="K1089" s="83"/>
      <c r="L1089" s="83"/>
      <c r="M1089" s="83"/>
      <c r="N1089" s="83"/>
      <c r="O1089" s="2"/>
      <c r="P1089" s="75" t="n">
        <v>1086</v>
      </c>
      <c r="Q1089" s="146" t="n">
        <v>24402.796974055</v>
      </c>
      <c r="R1089" s="146" t="n">
        <v>0.26423542470348</v>
      </c>
      <c r="S1089" s="146" t="n">
        <v>0.0869778082345602</v>
      </c>
      <c r="T1089" s="146" t="n">
        <v>0.0180832700402853</v>
      </c>
      <c r="U1089" s="29"/>
      <c r="V1089" s="29"/>
      <c r="W1089" s="29"/>
      <c r="X1089" s="29"/>
      <c r="Y1089" s="29"/>
      <c r="Z1089" s="75"/>
    </row>
    <row r="1090" customFormat="false" ht="12.75" hidden="false" customHeight="true" outlineLevel="0" collapsed="false">
      <c r="A1090" s="2"/>
      <c r="B1090" s="2"/>
      <c r="C1090" s="75"/>
      <c r="D1090" s="75"/>
      <c r="E1090" s="75"/>
      <c r="F1090" s="75"/>
      <c r="G1090" s="75"/>
      <c r="H1090" s="75"/>
      <c r="I1090" s="2"/>
      <c r="J1090" s="83"/>
      <c r="K1090" s="83"/>
      <c r="L1090" s="83"/>
      <c r="M1090" s="83"/>
      <c r="N1090" s="83"/>
      <c r="O1090" s="2"/>
      <c r="P1090" s="75" t="n">
        <v>1087</v>
      </c>
      <c r="Q1090" s="146" t="n">
        <v>24425.572071893</v>
      </c>
      <c r="R1090" s="146" t="n">
        <v>0.264705595864703</v>
      </c>
      <c r="S1090" s="146" t="n">
        <v>0.0823131199658665</v>
      </c>
      <c r="T1090" s="146" t="n">
        <v>0.0159133894118385</v>
      </c>
      <c r="U1090" s="29"/>
      <c r="V1090" s="29"/>
      <c r="W1090" s="29"/>
      <c r="X1090" s="29"/>
      <c r="Y1090" s="29"/>
      <c r="Z1090" s="75"/>
    </row>
    <row r="1091" customFormat="false" ht="12.75" hidden="false" customHeight="true" outlineLevel="0" collapsed="false">
      <c r="A1091" s="2"/>
      <c r="B1091" s="2"/>
      <c r="C1091" s="75"/>
      <c r="D1091" s="75"/>
      <c r="E1091" s="75"/>
      <c r="F1091" s="75"/>
      <c r="G1091" s="75"/>
      <c r="H1091" s="75"/>
      <c r="I1091" s="2"/>
      <c r="J1091" s="83"/>
      <c r="K1091" s="83"/>
      <c r="L1091" s="83"/>
      <c r="M1091" s="83"/>
      <c r="N1091" s="83"/>
      <c r="O1091" s="2"/>
      <c r="P1091" s="75" t="n">
        <v>1088</v>
      </c>
      <c r="Q1091" s="146" t="n">
        <v>24447.49436821</v>
      </c>
      <c r="R1091" s="146" t="n">
        <v>0.264716930428496</v>
      </c>
      <c r="S1091" s="146" t="n">
        <v>0.0815485398197757</v>
      </c>
      <c r="T1091" s="146" t="n">
        <v>0.0158440104301291</v>
      </c>
      <c r="U1091" s="29"/>
      <c r="V1091" s="29"/>
      <c r="W1091" s="29"/>
      <c r="X1091" s="29"/>
      <c r="Y1091" s="29"/>
      <c r="Z1091" s="75"/>
    </row>
    <row r="1092" customFormat="false" ht="12.75" hidden="false" customHeight="true" outlineLevel="0" collapsed="false">
      <c r="A1092" s="2"/>
      <c r="B1092" s="2"/>
      <c r="C1092" s="75"/>
      <c r="D1092" s="75"/>
      <c r="E1092" s="75"/>
      <c r="F1092" s="75"/>
      <c r="G1092" s="75"/>
      <c r="H1092" s="75"/>
      <c r="I1092" s="2"/>
      <c r="J1092" s="83"/>
      <c r="K1092" s="83"/>
      <c r="L1092" s="83"/>
      <c r="M1092" s="83"/>
      <c r="N1092" s="83"/>
      <c r="O1092" s="2"/>
      <c r="P1092" s="75" t="n">
        <v>1089</v>
      </c>
      <c r="Q1092" s="146" t="n">
        <v>24469.926302318</v>
      </c>
      <c r="R1092" s="146" t="n">
        <v>0.264617746541627</v>
      </c>
      <c r="S1092" s="146" t="n">
        <v>0.0808018703387878</v>
      </c>
      <c r="T1092" s="146" t="n">
        <v>0.0153174398139621</v>
      </c>
      <c r="U1092" s="29"/>
      <c r="V1092" s="29"/>
      <c r="W1092" s="29"/>
      <c r="X1092" s="29"/>
      <c r="Y1092" s="29"/>
      <c r="Z1092" s="75"/>
    </row>
    <row r="1093" customFormat="false" ht="12.75" hidden="false" customHeight="true" outlineLevel="0" collapsed="false">
      <c r="A1093" s="2"/>
      <c r="B1093" s="2"/>
      <c r="C1093" s="75"/>
      <c r="D1093" s="75"/>
      <c r="E1093" s="75"/>
      <c r="F1093" s="75"/>
      <c r="G1093" s="75"/>
      <c r="H1093" s="75"/>
      <c r="I1093" s="2"/>
      <c r="J1093" s="83"/>
      <c r="K1093" s="83"/>
      <c r="L1093" s="83"/>
      <c r="M1093" s="83"/>
      <c r="N1093" s="85"/>
      <c r="O1093" s="2"/>
      <c r="P1093" s="75" t="n">
        <v>1090</v>
      </c>
      <c r="Q1093" s="146" t="n">
        <v>24492.926093522</v>
      </c>
      <c r="R1093" s="146" t="n">
        <v>0.264730477954943</v>
      </c>
      <c r="S1093" s="146" t="n">
        <v>0.0806911330176053</v>
      </c>
      <c r="T1093" s="146" t="n">
        <v>0.0148119300464573</v>
      </c>
      <c r="U1093" s="29"/>
      <c r="V1093" s="29"/>
      <c r="W1093" s="29"/>
      <c r="X1093" s="29"/>
      <c r="Y1093" s="29"/>
      <c r="Z1093" s="75"/>
    </row>
    <row r="1094" customFormat="false" ht="12.75" hidden="false" customHeight="true" outlineLevel="0" collapsed="false">
      <c r="A1094" s="2"/>
      <c r="B1094" s="2"/>
      <c r="C1094" s="75"/>
      <c r="D1094" s="75"/>
      <c r="E1094" s="75"/>
      <c r="F1094" s="75"/>
      <c r="G1094" s="75"/>
      <c r="H1094" s="75"/>
      <c r="I1094" s="2"/>
      <c r="J1094" s="83"/>
      <c r="K1094" s="83"/>
      <c r="L1094" s="83"/>
      <c r="M1094" s="83"/>
      <c r="N1094" s="83"/>
      <c r="O1094" s="2"/>
      <c r="P1094" s="75" t="n">
        <v>1091</v>
      </c>
      <c r="Q1094" s="146" t="n">
        <v>24515.12925326</v>
      </c>
      <c r="R1094" s="146" t="n">
        <v>0.265369493510883</v>
      </c>
      <c r="S1094" s="146" t="n">
        <v>0.0817017221378957</v>
      </c>
      <c r="T1094" s="146" t="n">
        <v>0.0159367211935588</v>
      </c>
      <c r="U1094" s="29"/>
      <c r="V1094" s="29"/>
      <c r="W1094" s="29"/>
      <c r="X1094" s="29"/>
      <c r="Y1094" s="29"/>
      <c r="Z1094" s="75"/>
    </row>
    <row r="1095" customFormat="false" ht="12.75" hidden="false" customHeight="true" outlineLevel="0" collapsed="false">
      <c r="A1095" s="2"/>
      <c r="B1095" s="2"/>
      <c r="C1095" s="75"/>
      <c r="D1095" s="75"/>
      <c r="E1095" s="75"/>
      <c r="F1095" s="75"/>
      <c r="G1095" s="75"/>
      <c r="H1095" s="75"/>
      <c r="I1095" s="2"/>
      <c r="J1095" s="83"/>
      <c r="K1095" s="83"/>
      <c r="L1095" s="83"/>
      <c r="M1095" s="83"/>
      <c r="N1095" s="83"/>
      <c r="O1095" s="2"/>
      <c r="P1095" s="75" t="n">
        <v>1092</v>
      </c>
      <c r="Q1095" s="146" t="n">
        <v>24537.96578571</v>
      </c>
      <c r="R1095" s="146" t="n">
        <v>0.265650224990894</v>
      </c>
      <c r="S1095" s="146" t="n">
        <v>0.0893679375435801</v>
      </c>
      <c r="T1095" s="146" t="n">
        <v>0.0153411776458825</v>
      </c>
      <c r="U1095" s="29"/>
      <c r="V1095" s="29"/>
      <c r="W1095" s="29"/>
      <c r="X1095" s="29"/>
      <c r="Y1095" s="29"/>
      <c r="Z1095" s="75"/>
    </row>
    <row r="1096" customFormat="false" ht="12.75" hidden="false" customHeight="true" outlineLevel="0" collapsed="false">
      <c r="A1096" s="2"/>
      <c r="B1096" s="2"/>
      <c r="C1096" s="75"/>
      <c r="D1096" s="75"/>
      <c r="E1096" s="75"/>
      <c r="F1096" s="75"/>
      <c r="G1096" s="75"/>
      <c r="H1096" s="75"/>
      <c r="I1096" s="2"/>
      <c r="J1096" s="83"/>
      <c r="K1096" s="83"/>
      <c r="L1096" s="83"/>
      <c r="M1096" s="83"/>
      <c r="N1096" s="83"/>
      <c r="O1096" s="2"/>
      <c r="P1096" s="75" t="n">
        <v>1093</v>
      </c>
      <c r="Q1096" s="146" t="n">
        <v>24560.166142369</v>
      </c>
      <c r="R1096" s="146" t="n">
        <v>0.266450778711477</v>
      </c>
      <c r="S1096" s="146" t="n">
        <v>0.0897901617830427</v>
      </c>
      <c r="T1096" s="146" t="n">
        <v>0.0175226314807927</v>
      </c>
      <c r="U1096" s="29"/>
      <c r="V1096" s="29"/>
      <c r="W1096" s="29"/>
      <c r="X1096" s="29"/>
      <c r="Y1096" s="29"/>
      <c r="Z1096" s="75"/>
    </row>
    <row r="1097" customFormat="false" ht="12.75" hidden="false" customHeight="true" outlineLevel="0" collapsed="false">
      <c r="A1097" s="2"/>
      <c r="B1097" s="2"/>
      <c r="C1097" s="75"/>
      <c r="D1097" s="75"/>
      <c r="E1097" s="75"/>
      <c r="F1097" s="75"/>
      <c r="G1097" s="75"/>
      <c r="H1097" s="75"/>
      <c r="I1097" s="2"/>
      <c r="J1097" s="83"/>
      <c r="K1097" s="83"/>
      <c r="L1097" s="83"/>
      <c r="M1097" s="83"/>
      <c r="N1097" s="83"/>
      <c r="O1097" s="2"/>
      <c r="P1097" s="75" t="n">
        <v>1094</v>
      </c>
      <c r="Q1097" s="146" t="n">
        <v>24583.118230295</v>
      </c>
      <c r="R1097" s="146" t="n">
        <v>0.266399529390751</v>
      </c>
      <c r="S1097" s="146" t="n">
        <v>0.0945787204226135</v>
      </c>
      <c r="T1097" s="146" t="n">
        <v>0.018397821801268</v>
      </c>
      <c r="U1097" s="29"/>
      <c r="V1097" s="29"/>
      <c r="W1097" s="29"/>
      <c r="X1097" s="29"/>
      <c r="Y1097" s="29"/>
      <c r="Z1097" s="75"/>
    </row>
    <row r="1098" customFormat="false" ht="12.75" hidden="false" customHeight="true" outlineLevel="0" collapsed="false">
      <c r="A1098" s="2"/>
      <c r="B1098" s="2"/>
      <c r="C1098" s="75"/>
      <c r="D1098" s="75"/>
      <c r="E1098" s="75"/>
      <c r="F1098" s="75"/>
      <c r="G1098" s="75"/>
      <c r="H1098" s="75"/>
      <c r="I1098" s="2"/>
      <c r="J1098" s="83"/>
      <c r="K1098" s="83"/>
      <c r="L1098" s="83"/>
      <c r="M1098" s="83"/>
      <c r="N1098" s="83"/>
      <c r="O1098" s="2"/>
      <c r="P1098" s="75" t="n">
        <v>1095</v>
      </c>
      <c r="Q1098" s="146" t="n">
        <v>24604.957274257</v>
      </c>
      <c r="R1098" s="146" t="n">
        <v>0.266608194113635</v>
      </c>
      <c r="S1098" s="146" t="n">
        <v>0.0952191685349181</v>
      </c>
      <c r="T1098" s="146" t="n">
        <v>0.0191338013313182</v>
      </c>
      <c r="U1098" s="29"/>
      <c r="V1098" s="29"/>
      <c r="W1098" s="29"/>
      <c r="X1098" s="29"/>
      <c r="Y1098" s="29"/>
      <c r="Z1098" s="75"/>
    </row>
    <row r="1099" customFormat="false" ht="12.75" hidden="false" customHeight="true" outlineLevel="0" collapsed="false">
      <c r="A1099" s="2"/>
      <c r="B1099" s="2"/>
      <c r="C1099" s="75"/>
      <c r="D1099" s="75"/>
      <c r="E1099" s="75"/>
      <c r="F1099" s="75"/>
      <c r="G1099" s="75"/>
      <c r="H1099" s="75"/>
      <c r="I1099" s="2"/>
      <c r="J1099" s="83"/>
      <c r="K1099" s="83"/>
      <c r="L1099" s="83"/>
      <c r="M1099" s="83"/>
      <c r="N1099" s="83"/>
      <c r="O1099" s="2"/>
      <c r="P1099" s="75" t="n">
        <v>1096</v>
      </c>
      <c r="Q1099" s="146" t="n">
        <v>24627.789917634</v>
      </c>
      <c r="R1099" s="146" t="n">
        <v>0.266198090005753</v>
      </c>
      <c r="S1099" s="146" t="n">
        <v>0.0973376143698673</v>
      </c>
      <c r="T1099" s="146" t="n">
        <v>0.0195870174191075</v>
      </c>
      <c r="U1099" s="29"/>
      <c r="V1099" s="29"/>
      <c r="W1099" s="29"/>
      <c r="X1099" s="29"/>
      <c r="Y1099" s="29"/>
      <c r="Z1099" s="75"/>
    </row>
    <row r="1100" customFormat="false" ht="12.75" hidden="false" customHeight="true" outlineLevel="0" collapsed="false">
      <c r="A1100" s="2"/>
      <c r="B1100" s="2"/>
      <c r="C1100" s="75"/>
      <c r="D1100" s="75"/>
      <c r="E1100" s="75"/>
      <c r="F1100" s="75"/>
      <c r="G1100" s="75"/>
      <c r="H1100" s="75"/>
      <c r="I1100" s="2"/>
      <c r="J1100" s="83"/>
      <c r="K1100" s="83"/>
      <c r="L1100" s="83"/>
      <c r="M1100" s="83"/>
      <c r="N1100" s="83"/>
      <c r="O1100" s="2"/>
      <c r="P1100" s="75" t="n">
        <v>1097</v>
      </c>
      <c r="Q1100" s="146" t="n">
        <v>24649.921377607</v>
      </c>
      <c r="R1100" s="146" t="n">
        <v>0.266057810586943</v>
      </c>
      <c r="S1100" s="146" t="n">
        <v>0.0968361916535251</v>
      </c>
      <c r="T1100" s="146" t="n">
        <v>0.0197761089337507</v>
      </c>
      <c r="U1100" s="29"/>
      <c r="V1100" s="29"/>
      <c r="W1100" s="29"/>
      <c r="X1100" s="29"/>
      <c r="Y1100" s="29"/>
      <c r="Z1100" s="75"/>
    </row>
    <row r="1101" customFormat="false" ht="12.75" hidden="false" customHeight="true" outlineLevel="0" collapsed="false">
      <c r="A1101" s="2"/>
      <c r="B1101" s="2"/>
      <c r="C1101" s="75"/>
      <c r="D1101" s="75"/>
      <c r="E1101" s="75"/>
      <c r="F1101" s="75"/>
      <c r="G1101" s="75"/>
      <c r="H1101" s="75"/>
      <c r="I1101" s="2"/>
      <c r="J1101" s="83"/>
      <c r="K1101" s="83"/>
      <c r="L1101" s="83"/>
      <c r="M1101" s="83"/>
      <c r="N1101" s="83"/>
      <c r="O1101" s="2"/>
      <c r="P1101" s="75" t="n">
        <v>1098</v>
      </c>
      <c r="Q1101" s="146" t="n">
        <v>24672.828037505</v>
      </c>
      <c r="R1101" s="146" t="n">
        <v>0.265933808492608</v>
      </c>
      <c r="S1101" s="146" t="n">
        <v>0.0942861826324074</v>
      </c>
      <c r="T1101" s="146" t="n">
        <v>0.0206148456242556</v>
      </c>
      <c r="U1101" s="29"/>
      <c r="V1101" s="29"/>
      <c r="W1101" s="29"/>
      <c r="X1101" s="29"/>
      <c r="Y1101" s="29"/>
      <c r="Z1101" s="75"/>
    </row>
    <row r="1102" customFormat="false" ht="12.75" hidden="false" customHeight="true" outlineLevel="0" collapsed="false">
      <c r="A1102" s="2"/>
      <c r="B1102" s="2"/>
      <c r="C1102" s="75"/>
      <c r="D1102" s="75"/>
      <c r="E1102" s="75"/>
      <c r="F1102" s="75"/>
      <c r="G1102" s="75"/>
      <c r="H1102" s="75"/>
      <c r="I1102" s="2"/>
      <c r="J1102" s="83"/>
      <c r="K1102" s="83"/>
      <c r="L1102" s="83"/>
      <c r="M1102" s="83"/>
      <c r="N1102" s="83"/>
      <c r="O1102" s="2"/>
      <c r="P1102" s="75" t="n">
        <v>1099</v>
      </c>
      <c r="Q1102" s="146" t="n">
        <v>24695.252214852</v>
      </c>
      <c r="R1102" s="146" t="n">
        <v>0.266203000258221</v>
      </c>
      <c r="S1102" s="146" t="n">
        <v>0.0917031954839225</v>
      </c>
      <c r="T1102" s="146" t="n">
        <v>0.0212055453930012</v>
      </c>
      <c r="U1102" s="29"/>
      <c r="V1102" s="29"/>
      <c r="W1102" s="29"/>
      <c r="X1102" s="29"/>
      <c r="Y1102" s="29"/>
      <c r="Z1102" s="75"/>
    </row>
    <row r="1103" customFormat="false" ht="12.75" hidden="false" customHeight="true" outlineLevel="0" collapsed="false">
      <c r="A1103" s="2"/>
      <c r="B1103" s="2"/>
      <c r="C1103" s="75"/>
      <c r="D1103" s="75"/>
      <c r="E1103" s="75"/>
      <c r="F1103" s="75"/>
      <c r="G1103" s="75"/>
      <c r="H1103" s="75"/>
      <c r="I1103" s="2"/>
      <c r="J1103" s="83"/>
      <c r="K1103" s="83"/>
      <c r="L1103" s="83"/>
      <c r="M1103" s="83"/>
      <c r="N1103" s="83"/>
      <c r="O1103" s="2"/>
      <c r="P1103" s="75" t="n">
        <v>1100</v>
      </c>
      <c r="Q1103" s="146" t="n">
        <v>24718.132321897</v>
      </c>
      <c r="R1103" s="146" t="n">
        <v>0.266875206312302</v>
      </c>
      <c r="S1103" s="146" t="n">
        <v>0.0845520903317467</v>
      </c>
      <c r="T1103" s="146" t="n">
        <v>0.0222749307406491</v>
      </c>
      <c r="U1103" s="29"/>
      <c r="V1103" s="29"/>
      <c r="W1103" s="29"/>
      <c r="X1103" s="29"/>
      <c r="Y1103" s="29"/>
      <c r="Z1103" s="75"/>
    </row>
    <row r="1104" customFormat="false" ht="12.75" hidden="false" customHeight="true" outlineLevel="0" collapsed="false">
      <c r="A1104" s="2"/>
      <c r="B1104" s="2"/>
      <c r="C1104" s="75"/>
      <c r="D1104" s="75"/>
      <c r="E1104" s="75"/>
      <c r="F1104" s="75"/>
      <c r="G1104" s="75"/>
      <c r="H1104" s="75"/>
      <c r="I1104" s="2"/>
      <c r="J1104" s="83"/>
      <c r="K1104" s="83"/>
      <c r="L1104" s="83"/>
      <c r="M1104" s="83"/>
      <c r="N1104" s="83"/>
      <c r="O1104" s="2"/>
      <c r="P1104" s="75" t="n">
        <v>1101</v>
      </c>
      <c r="Q1104" s="146" t="n">
        <v>24740.50513226</v>
      </c>
      <c r="R1104" s="146" t="n">
        <v>0.267378994210999</v>
      </c>
      <c r="S1104" s="146" t="n">
        <v>0.0816732175743452</v>
      </c>
      <c r="T1104" s="146" t="n">
        <v>0.0224908607587459</v>
      </c>
      <c r="U1104" s="29"/>
      <c r="V1104" s="29"/>
      <c r="W1104" s="29"/>
      <c r="X1104" s="29"/>
      <c r="Y1104" s="29"/>
      <c r="Z1104" s="75"/>
    </row>
    <row r="1105" customFormat="false" ht="12.75" hidden="false" customHeight="true" outlineLevel="0" collapsed="false">
      <c r="A1105" s="2"/>
      <c r="B1105" s="2"/>
      <c r="C1105" s="75"/>
      <c r="D1105" s="75"/>
      <c r="E1105" s="75"/>
      <c r="F1105" s="75"/>
      <c r="G1105" s="75"/>
      <c r="H1105" s="75"/>
      <c r="I1105" s="2"/>
      <c r="J1105" s="83"/>
      <c r="K1105" s="83"/>
      <c r="L1105" s="83"/>
      <c r="M1105" s="83"/>
      <c r="N1105" s="83"/>
      <c r="O1105" s="2"/>
      <c r="P1105" s="75" t="n">
        <v>1102</v>
      </c>
      <c r="Q1105" s="146" t="n">
        <v>24763.6401241</v>
      </c>
      <c r="R1105" s="146" t="n">
        <v>0.268080004455625</v>
      </c>
      <c r="S1105" s="146" t="n">
        <v>0.0756784170151845</v>
      </c>
      <c r="T1105" s="146" t="n">
        <v>0.0223172893966434</v>
      </c>
      <c r="U1105" s="29"/>
      <c r="V1105" s="29"/>
      <c r="W1105" s="29"/>
      <c r="X1105" s="29"/>
      <c r="Y1105" s="29"/>
      <c r="Z1105" s="75"/>
    </row>
    <row r="1106" customFormat="false" ht="12.75" hidden="false" customHeight="true" outlineLevel="0" collapsed="false">
      <c r="A1106" s="2"/>
      <c r="B1106" s="2"/>
      <c r="C1106" s="75"/>
      <c r="D1106" s="75"/>
      <c r="E1106" s="75"/>
      <c r="F1106" s="75"/>
      <c r="G1106" s="75"/>
      <c r="H1106" s="75"/>
      <c r="I1106" s="2"/>
      <c r="J1106" s="83"/>
      <c r="K1106" s="83"/>
      <c r="L1106" s="83"/>
      <c r="M1106" s="83"/>
      <c r="N1106" s="83"/>
      <c r="O1106" s="2"/>
      <c r="P1106" s="75" t="n">
        <v>1103</v>
      </c>
      <c r="Q1106" s="146" t="n">
        <v>24785.672839799</v>
      </c>
      <c r="R1106" s="146" t="n">
        <v>0.268435866553561</v>
      </c>
      <c r="S1106" s="146" t="n">
        <v>0.0747441444051305</v>
      </c>
      <c r="T1106" s="146" t="n">
        <v>0.0221798468715263</v>
      </c>
      <c r="U1106" s="29"/>
      <c r="V1106" s="29"/>
      <c r="W1106" s="29"/>
      <c r="X1106" s="29"/>
      <c r="Y1106" s="29"/>
      <c r="Z1106" s="75"/>
    </row>
    <row r="1107" customFormat="false" ht="12.75" hidden="false" customHeight="true" outlineLevel="0" collapsed="false">
      <c r="A1107" s="2"/>
      <c r="B1107" s="2"/>
      <c r="C1107" s="75"/>
      <c r="D1107" s="75"/>
      <c r="E1107" s="75"/>
      <c r="F1107" s="75"/>
      <c r="G1107" s="75"/>
      <c r="H1107" s="75"/>
      <c r="I1107" s="2"/>
      <c r="J1107" s="83"/>
      <c r="K1107" s="83"/>
      <c r="L1107" s="83"/>
      <c r="M1107" s="83"/>
      <c r="N1107" s="83"/>
      <c r="O1107" s="2"/>
      <c r="P1107" s="75" t="n">
        <v>1104</v>
      </c>
      <c r="Q1107" s="146" t="n">
        <v>24808.573770961</v>
      </c>
      <c r="R1107" s="146" t="n">
        <v>0.268667666720567</v>
      </c>
      <c r="S1107" s="146" t="n">
        <v>0.0765911762623436</v>
      </c>
      <c r="T1107" s="146" t="n">
        <v>0.0213254713562473</v>
      </c>
      <c r="U1107" s="29"/>
      <c r="V1107" s="29"/>
      <c r="W1107" s="29"/>
      <c r="X1107" s="29"/>
      <c r="Y1107" s="29"/>
      <c r="Z1107" s="75"/>
    </row>
    <row r="1108" customFormat="false" ht="12.75" hidden="false" customHeight="true" outlineLevel="0" collapsed="false">
      <c r="A1108" s="2"/>
      <c r="B1108" s="2"/>
      <c r="C1108" s="75"/>
      <c r="D1108" s="75"/>
      <c r="E1108" s="75"/>
      <c r="F1108" s="75"/>
      <c r="G1108" s="75"/>
      <c r="H1108" s="75"/>
      <c r="I1108" s="2"/>
      <c r="J1108" s="83"/>
      <c r="K1108" s="83"/>
      <c r="L1108" s="83"/>
      <c r="M1108" s="83"/>
      <c r="N1108" s="83"/>
      <c r="O1108" s="2"/>
      <c r="P1108" s="75" t="n">
        <v>1105</v>
      </c>
      <c r="Q1108" s="146" t="n">
        <v>24830.584483488</v>
      </c>
      <c r="R1108" s="146" t="n">
        <v>0.268417975039479</v>
      </c>
      <c r="S1108" s="146" t="n">
        <v>0.0779484343173483</v>
      </c>
      <c r="T1108" s="146" t="n">
        <v>0.0196340779756539</v>
      </c>
      <c r="U1108" s="29"/>
      <c r="V1108" s="29"/>
      <c r="W1108" s="29"/>
      <c r="X1108" s="29"/>
      <c r="Y1108" s="29"/>
      <c r="Z1108" s="75"/>
    </row>
    <row r="1109" customFormat="false" ht="12.75" hidden="false" customHeight="true" outlineLevel="0" collapsed="false">
      <c r="A1109" s="2"/>
      <c r="B1109" s="2"/>
      <c r="C1109" s="75"/>
      <c r="D1109" s="75"/>
      <c r="E1109" s="75"/>
      <c r="F1109" s="75"/>
      <c r="G1109" s="75"/>
      <c r="H1109" s="75"/>
      <c r="I1109" s="2"/>
      <c r="J1109" s="83"/>
      <c r="K1109" s="83"/>
      <c r="L1109" s="83"/>
      <c r="M1109" s="83"/>
      <c r="N1109" s="83"/>
      <c r="O1109" s="2"/>
      <c r="P1109" s="75" t="n">
        <v>1106</v>
      </c>
      <c r="Q1109" s="146" t="n">
        <v>24853.741678691</v>
      </c>
      <c r="R1109" s="146" t="n">
        <v>0.267663790663471</v>
      </c>
      <c r="S1109" s="146" t="n">
        <v>0.0903628322469971</v>
      </c>
      <c r="T1109" s="146" t="n">
        <v>0.0171824381769912</v>
      </c>
      <c r="U1109" s="29"/>
      <c r="V1109" s="29"/>
      <c r="W1109" s="29"/>
      <c r="X1109" s="29"/>
      <c r="Y1109" s="29"/>
      <c r="Z1109" s="75"/>
    </row>
    <row r="1110" customFormat="false" ht="12.75" hidden="false" customHeight="true" outlineLevel="0" collapsed="false">
      <c r="A1110" s="2"/>
      <c r="B1110" s="2"/>
      <c r="C1110" s="75"/>
      <c r="D1110" s="75"/>
      <c r="E1110" s="75"/>
      <c r="F1110" s="75"/>
      <c r="G1110" s="75"/>
      <c r="H1110" s="75"/>
      <c r="I1110" s="2"/>
      <c r="J1110" s="83"/>
      <c r="K1110" s="83"/>
      <c r="L1110" s="83"/>
      <c r="M1110" s="83"/>
      <c r="N1110" s="83"/>
      <c r="O1110" s="2"/>
      <c r="P1110" s="75" t="n">
        <v>1107</v>
      </c>
      <c r="Q1110" s="146" t="n">
        <v>24875.95356498</v>
      </c>
      <c r="R1110" s="146" t="n">
        <v>0.267654829168012</v>
      </c>
      <c r="S1110" s="146" t="n">
        <v>0.0919652854629148</v>
      </c>
      <c r="T1110" s="146" t="n">
        <v>0.0155186782397239</v>
      </c>
      <c r="U1110" s="29"/>
      <c r="V1110" s="29"/>
      <c r="W1110" s="29"/>
      <c r="X1110" s="29"/>
      <c r="Y1110" s="29"/>
      <c r="Z1110" s="75"/>
    </row>
    <row r="1111" customFormat="false" ht="12.75" hidden="false" customHeight="true" outlineLevel="0" collapsed="false">
      <c r="A1111" s="2"/>
      <c r="B1111" s="2"/>
      <c r="C1111" s="75"/>
      <c r="D1111" s="75"/>
      <c r="E1111" s="75"/>
      <c r="F1111" s="75"/>
      <c r="G1111" s="75"/>
      <c r="H1111" s="75"/>
      <c r="I1111" s="2"/>
      <c r="J1111" s="83"/>
      <c r="K1111" s="83"/>
      <c r="L1111" s="83"/>
      <c r="M1111" s="83"/>
      <c r="N1111" s="83"/>
      <c r="O1111" s="2"/>
      <c r="P1111" s="75" t="n">
        <v>1108</v>
      </c>
      <c r="Q1111" s="146" t="n">
        <v>24899.202269125</v>
      </c>
      <c r="R1111" s="146" t="n">
        <v>0.267337053857982</v>
      </c>
      <c r="S1111" s="146" t="n">
        <v>0.0986640355996478</v>
      </c>
      <c r="T1111" s="146" t="n">
        <v>0.0151315672967111</v>
      </c>
      <c r="U1111" s="29"/>
      <c r="V1111" s="29"/>
      <c r="W1111" s="29"/>
      <c r="X1111" s="29"/>
      <c r="Y1111" s="29"/>
      <c r="Z1111" s="75"/>
    </row>
    <row r="1112" customFormat="false" ht="12.75" hidden="false" customHeight="true" outlineLevel="0" collapsed="false">
      <c r="A1112" s="2"/>
      <c r="B1112" s="2"/>
      <c r="C1112" s="75"/>
      <c r="D1112" s="75"/>
      <c r="E1112" s="75"/>
      <c r="F1112" s="75"/>
      <c r="G1112" s="75"/>
      <c r="H1112" s="75"/>
      <c r="I1112" s="2"/>
      <c r="J1112" s="83"/>
      <c r="K1112" s="83"/>
      <c r="L1112" s="83"/>
      <c r="M1112" s="83"/>
      <c r="N1112" s="83"/>
      <c r="O1112" s="2"/>
      <c r="P1112" s="75" t="n">
        <v>1109</v>
      </c>
      <c r="Q1112" s="146" t="n">
        <v>24921.300273601</v>
      </c>
      <c r="R1112" s="146" t="n">
        <v>0.266772635224383</v>
      </c>
      <c r="S1112" s="146" t="n">
        <v>0.100534899166168</v>
      </c>
      <c r="T1112" s="146" t="n">
        <v>0.0128573769141683</v>
      </c>
      <c r="U1112" s="29"/>
      <c r="V1112" s="29"/>
      <c r="W1112" s="29"/>
      <c r="X1112" s="29"/>
      <c r="Y1112" s="29"/>
      <c r="Z1112" s="75"/>
    </row>
    <row r="1113" customFormat="false" ht="12.75" hidden="false" customHeight="true" outlineLevel="0" collapsed="false">
      <c r="A1113" s="2"/>
      <c r="B1113" s="2"/>
      <c r="C1113" s="75"/>
      <c r="D1113" s="75"/>
      <c r="E1113" s="75"/>
      <c r="F1113" s="75"/>
      <c r="G1113" s="75"/>
      <c r="H1113" s="75"/>
      <c r="I1113" s="2"/>
      <c r="J1113" s="83"/>
      <c r="K1113" s="83"/>
      <c r="L1113" s="83"/>
      <c r="M1113" s="83"/>
      <c r="N1113" s="83"/>
      <c r="O1113" s="2"/>
      <c r="P1113" s="75" t="n">
        <v>1110</v>
      </c>
      <c r="Q1113" s="146" t="n">
        <v>24944.390925381</v>
      </c>
      <c r="R1113" s="146" t="n">
        <v>0.265914651458229</v>
      </c>
      <c r="S1113" s="146" t="n">
        <v>0.105263013941821</v>
      </c>
      <c r="T1113" s="146" t="n">
        <v>0.0103014071308667</v>
      </c>
      <c r="U1113" s="29"/>
      <c r="V1113" s="29"/>
      <c r="W1113" s="29"/>
      <c r="X1113" s="29"/>
      <c r="Y1113" s="29"/>
      <c r="Z1113" s="75"/>
    </row>
    <row r="1114" customFormat="false" ht="12.75" hidden="false" customHeight="true" outlineLevel="0" collapsed="false">
      <c r="A1114" s="2"/>
      <c r="B1114" s="2"/>
      <c r="C1114" s="75"/>
      <c r="D1114" s="75"/>
      <c r="E1114" s="75"/>
      <c r="F1114" s="75"/>
      <c r="G1114" s="75"/>
      <c r="H1114" s="75"/>
      <c r="I1114" s="2"/>
      <c r="J1114" s="83"/>
      <c r="K1114" s="83"/>
      <c r="L1114" s="83"/>
      <c r="M1114" s="83"/>
      <c r="N1114" s="83"/>
      <c r="O1114" s="2"/>
      <c r="P1114" s="75" t="n">
        <v>1111</v>
      </c>
      <c r="Q1114" s="146" t="n">
        <v>24966.541577436</v>
      </c>
      <c r="R1114" s="146" t="n">
        <v>0.264786060164153</v>
      </c>
      <c r="S1114" s="146" t="n">
        <v>0.106431378366563</v>
      </c>
      <c r="T1114" s="146" t="n">
        <v>0.00876514990471754</v>
      </c>
      <c r="U1114" s="29"/>
      <c r="V1114" s="29"/>
      <c r="W1114" s="29"/>
      <c r="X1114" s="29"/>
      <c r="Y1114" s="29"/>
      <c r="Z1114" s="75"/>
    </row>
    <row r="1115" customFormat="false" ht="12.75" hidden="false" customHeight="true" outlineLevel="0" collapsed="false">
      <c r="A1115" s="2"/>
      <c r="B1115" s="2"/>
      <c r="C1115" s="75"/>
      <c r="D1115" s="75"/>
      <c r="E1115" s="75"/>
      <c r="F1115" s="75"/>
      <c r="G1115" s="75"/>
      <c r="H1115" s="75"/>
      <c r="I1115" s="2"/>
      <c r="J1115" s="83"/>
      <c r="K1115" s="83"/>
      <c r="L1115" s="83"/>
      <c r="M1115" s="83"/>
      <c r="N1115" s="83"/>
      <c r="O1115" s="2"/>
      <c r="P1115" s="75" t="n">
        <v>1112</v>
      </c>
      <c r="Q1115" s="146" t="n">
        <v>24989.340159129</v>
      </c>
      <c r="R1115" s="146" t="n">
        <v>0.264397555884792</v>
      </c>
      <c r="S1115" s="146" t="n">
        <v>0.106643583133151</v>
      </c>
      <c r="T1115" s="146" t="n">
        <v>0.00744723797801149</v>
      </c>
      <c r="U1115" s="29"/>
      <c r="V1115" s="29"/>
      <c r="W1115" s="29"/>
      <c r="X1115" s="29"/>
      <c r="Y1115" s="29"/>
      <c r="Z1115" s="75"/>
    </row>
    <row r="1116" customFormat="false" ht="12.75" hidden="false" customHeight="true" outlineLevel="0" collapsed="false">
      <c r="A1116" s="2"/>
      <c r="B1116" s="2"/>
      <c r="C1116" s="75"/>
      <c r="D1116" s="75"/>
      <c r="E1116" s="75"/>
      <c r="F1116" s="75"/>
      <c r="G1116" s="75"/>
      <c r="H1116" s="75"/>
      <c r="I1116" s="2"/>
      <c r="J1116" s="83"/>
      <c r="K1116" s="83"/>
      <c r="L1116" s="83"/>
      <c r="M1116" s="83"/>
      <c r="N1116" s="83"/>
      <c r="O1116" s="2"/>
      <c r="P1116" s="75" t="n">
        <v>1113</v>
      </c>
      <c r="Q1116" s="146" t="n">
        <v>25011.172009174</v>
      </c>
      <c r="R1116" s="146" t="n">
        <v>0.263588441451528</v>
      </c>
      <c r="S1116" s="146" t="n">
        <v>0.105170082541176</v>
      </c>
      <c r="T1116" s="146" t="n">
        <v>0.00581693191718552</v>
      </c>
      <c r="U1116" s="29"/>
      <c r="V1116" s="29"/>
      <c r="W1116" s="29"/>
      <c r="X1116" s="29"/>
      <c r="Y1116" s="29"/>
      <c r="Z1116" s="75"/>
    </row>
    <row r="1117" customFormat="false" ht="12.75" hidden="false" customHeight="true" outlineLevel="0" collapsed="false">
      <c r="A1117" s="2"/>
      <c r="B1117" s="2"/>
      <c r="C1117" s="75"/>
      <c r="D1117" s="75"/>
      <c r="E1117" s="75"/>
      <c r="F1117" s="75"/>
      <c r="G1117" s="75"/>
      <c r="H1117" s="75"/>
      <c r="I1117" s="2"/>
      <c r="J1117" s="83"/>
      <c r="K1117" s="83"/>
      <c r="L1117" s="83"/>
      <c r="M1117" s="83"/>
      <c r="N1117" s="83"/>
      <c r="O1117" s="2"/>
      <c r="P1117" s="75" t="n">
        <v>1114</v>
      </c>
      <c r="Q1117" s="146" t="n">
        <v>25033.726601447</v>
      </c>
      <c r="R1117" s="146" t="n">
        <v>0.264387535137523</v>
      </c>
      <c r="S1117" s="146" t="n">
        <v>0.0961022005933732</v>
      </c>
      <c r="T1117" s="146" t="n">
        <v>0.00439479786090611</v>
      </c>
      <c r="U1117" s="29"/>
      <c r="V1117" s="29"/>
      <c r="W1117" s="29"/>
      <c r="X1117" s="29"/>
      <c r="Y1117" s="29"/>
      <c r="Z1117" s="75"/>
    </row>
    <row r="1118" customFormat="false" ht="12.75" hidden="false" customHeight="true" outlineLevel="0" collapsed="false">
      <c r="A1118" s="2"/>
      <c r="B1118" s="2"/>
      <c r="C1118" s="75"/>
      <c r="D1118" s="75"/>
      <c r="E1118" s="75"/>
      <c r="F1118" s="75"/>
      <c r="G1118" s="75"/>
      <c r="H1118" s="75"/>
      <c r="I1118" s="2"/>
      <c r="J1118" s="83"/>
      <c r="K1118" s="83"/>
      <c r="L1118" s="83"/>
      <c r="M1118" s="83"/>
      <c r="N1118" s="83"/>
      <c r="O1118" s="2"/>
      <c r="P1118" s="75" t="n">
        <v>1115</v>
      </c>
      <c r="Q1118" s="146" t="n">
        <v>25055.639801066</v>
      </c>
      <c r="R1118" s="146" t="n">
        <v>0.26426011542048</v>
      </c>
      <c r="S1118" s="146" t="n">
        <v>0.0914162025344317</v>
      </c>
      <c r="T1118" s="146" t="n">
        <v>0.00343084654512127</v>
      </c>
      <c r="U1118" s="29"/>
      <c r="V1118" s="29"/>
      <c r="W1118" s="29"/>
      <c r="X1118" s="29"/>
      <c r="Y1118" s="29"/>
      <c r="Z1118" s="75"/>
    </row>
    <row r="1119" customFormat="false" ht="12.75" hidden="false" customHeight="true" outlineLevel="0" collapsed="false">
      <c r="A1119" s="2"/>
      <c r="B1119" s="2"/>
      <c r="C1119" s="75"/>
      <c r="D1119" s="75"/>
      <c r="E1119" s="75"/>
      <c r="F1119" s="75"/>
      <c r="G1119" s="75"/>
      <c r="H1119" s="75"/>
      <c r="I1119" s="2"/>
      <c r="J1119" s="83"/>
      <c r="K1119" s="83"/>
      <c r="L1119" s="83"/>
      <c r="M1119" s="83"/>
      <c r="N1119" s="83"/>
      <c r="O1119" s="2"/>
      <c r="P1119" s="75" t="n">
        <v>1116</v>
      </c>
      <c r="Q1119" s="146" t="n">
        <v>25078.732381498</v>
      </c>
      <c r="R1119" s="146" t="n">
        <v>0.26651405479188</v>
      </c>
      <c r="S1119" s="146" t="n">
        <v>0.067619991301845</v>
      </c>
      <c r="T1119" s="146" t="n">
        <v>0.00346355238154639</v>
      </c>
      <c r="U1119" s="29"/>
      <c r="V1119" s="29"/>
      <c r="W1119" s="29"/>
      <c r="X1119" s="29"/>
      <c r="Y1119" s="29"/>
      <c r="Z1119" s="75"/>
    </row>
    <row r="1120" customFormat="false" ht="12.75" hidden="false" customHeight="true" outlineLevel="0" collapsed="false">
      <c r="A1120" s="2"/>
      <c r="B1120" s="2"/>
      <c r="C1120" s="75"/>
      <c r="D1120" s="75"/>
      <c r="E1120" s="75"/>
      <c r="F1120" s="75"/>
      <c r="G1120" s="75"/>
      <c r="H1120" s="75"/>
      <c r="I1120" s="2"/>
      <c r="J1120" s="83"/>
      <c r="K1120" s="83"/>
      <c r="L1120" s="83"/>
      <c r="M1120" s="83"/>
      <c r="N1120" s="83"/>
      <c r="O1120" s="2"/>
      <c r="P1120" s="75" t="n">
        <v>1117</v>
      </c>
      <c r="Q1120" s="146" t="n">
        <v>25100.849140199</v>
      </c>
      <c r="R1120" s="146" t="n">
        <v>0.266296909364527</v>
      </c>
      <c r="S1120" s="146" t="n">
        <v>0.0631096879225322</v>
      </c>
      <c r="T1120" s="146" t="n">
        <v>0.00302933537144149</v>
      </c>
      <c r="U1120" s="29"/>
      <c r="V1120" s="29"/>
      <c r="W1120" s="29"/>
      <c r="X1120" s="29"/>
      <c r="Y1120" s="29"/>
      <c r="Z1120" s="75"/>
    </row>
    <row r="1121" customFormat="false" ht="12.75" hidden="false" customHeight="true" outlineLevel="0" collapsed="false">
      <c r="A1121" s="2"/>
      <c r="B1121" s="2"/>
      <c r="C1121" s="75"/>
      <c r="D1121" s="75"/>
      <c r="E1121" s="75"/>
      <c r="F1121" s="75"/>
      <c r="G1121" s="75"/>
      <c r="H1121" s="75"/>
      <c r="I1121" s="2"/>
      <c r="J1121" s="83"/>
      <c r="K1121" s="83"/>
      <c r="L1121" s="83"/>
      <c r="M1121" s="83"/>
      <c r="N1121" s="83"/>
      <c r="O1121" s="2"/>
      <c r="P1121" s="75" t="n">
        <v>1118</v>
      </c>
      <c r="Q1121" s="146" t="n">
        <v>25122.81413327</v>
      </c>
      <c r="R1121" s="146" t="n">
        <v>0.267373023824337</v>
      </c>
      <c r="S1121" s="146" t="n">
        <v>0.0587367567318334</v>
      </c>
      <c r="T1121" s="146" t="n">
        <v>0.00359289084669481</v>
      </c>
      <c r="U1121" s="29"/>
      <c r="V1121" s="29"/>
      <c r="W1121" s="29"/>
      <c r="X1121" s="29"/>
      <c r="Y1121" s="29"/>
      <c r="Z1121" s="75"/>
    </row>
    <row r="1122" customFormat="false" ht="12.75" hidden="false" customHeight="true" outlineLevel="0" collapsed="false">
      <c r="A1122" s="2"/>
      <c r="B1122" s="2"/>
      <c r="C1122" s="75"/>
      <c r="D1122" s="75"/>
      <c r="E1122" s="75"/>
      <c r="F1122" s="75"/>
      <c r="G1122" s="75"/>
      <c r="H1122" s="75"/>
      <c r="I1122" s="2"/>
      <c r="J1122" s="83"/>
      <c r="K1122" s="83"/>
      <c r="L1122" s="83"/>
      <c r="M1122" s="83"/>
      <c r="N1122" s="83"/>
      <c r="O1122" s="2"/>
      <c r="P1122" s="75" t="n">
        <v>1119</v>
      </c>
      <c r="Q1122" s="146" t="n">
        <v>25144.864133589</v>
      </c>
      <c r="R1122" s="146" t="n">
        <v>0.268950237540431</v>
      </c>
      <c r="S1122" s="146" t="n">
        <v>0.0548688001682413</v>
      </c>
      <c r="T1122" s="146" t="n">
        <v>0.00481787545358406</v>
      </c>
      <c r="U1122" s="29"/>
      <c r="V1122" s="29"/>
      <c r="W1122" s="29"/>
      <c r="X1122" s="29"/>
      <c r="Y1122" s="29"/>
      <c r="Z1122" s="75"/>
    </row>
    <row r="1123" customFormat="false" ht="12.75" hidden="false" customHeight="true" outlineLevel="0" collapsed="false">
      <c r="A1123" s="2"/>
      <c r="B1123" s="2"/>
      <c r="C1123" s="75"/>
      <c r="D1123" s="75"/>
      <c r="E1123" s="75"/>
      <c r="F1123" s="75"/>
      <c r="G1123" s="75"/>
      <c r="H1123" s="75"/>
      <c r="I1123" s="2"/>
      <c r="J1123" s="83"/>
      <c r="K1123" s="83"/>
      <c r="L1123" s="83"/>
      <c r="M1123" s="83"/>
      <c r="N1123" s="83"/>
      <c r="O1123" s="2"/>
      <c r="P1123" s="75" t="n">
        <v>1120</v>
      </c>
      <c r="Q1123" s="146" t="n">
        <v>25167.214899371</v>
      </c>
      <c r="R1123" s="146" t="n">
        <v>0.270219026276733</v>
      </c>
      <c r="S1123" s="146" t="n">
        <v>0.0527253511378246</v>
      </c>
      <c r="T1123" s="146" t="n">
        <v>0.00624472749560951</v>
      </c>
      <c r="U1123" s="29"/>
      <c r="V1123" s="29"/>
      <c r="W1123" s="29"/>
      <c r="X1123" s="29"/>
      <c r="Y1123" s="29"/>
      <c r="Z1123" s="75"/>
    </row>
    <row r="1124" customFormat="false" ht="12.75" hidden="false" customHeight="true" outlineLevel="0" collapsed="false">
      <c r="A1124" s="2"/>
      <c r="B1124" s="2"/>
      <c r="C1124" s="75"/>
      <c r="D1124" s="75"/>
      <c r="E1124" s="75"/>
      <c r="F1124" s="75"/>
      <c r="G1124" s="75"/>
      <c r="H1124" s="75"/>
      <c r="I1124" s="2"/>
      <c r="J1124" s="83"/>
      <c r="K1124" s="83"/>
      <c r="L1124" s="83"/>
      <c r="M1124" s="83"/>
      <c r="N1124" s="83"/>
      <c r="O1124" s="2"/>
      <c r="P1124" s="75" t="n">
        <v>1121</v>
      </c>
      <c r="Q1124" s="146" t="n">
        <v>25189.333399905</v>
      </c>
      <c r="R1124" s="146" t="n">
        <v>0.271153519361278</v>
      </c>
      <c r="S1124" s="146" t="n">
        <v>0.0530344131250881</v>
      </c>
      <c r="T1124" s="146" t="n">
        <v>0.00844312880395739</v>
      </c>
      <c r="U1124" s="29"/>
      <c r="V1124" s="29"/>
      <c r="W1124" s="29"/>
      <c r="X1124" s="29"/>
      <c r="Y1124" s="29"/>
      <c r="Z1124" s="75"/>
    </row>
    <row r="1125" customFormat="false" ht="12.75" hidden="false" customHeight="true" outlineLevel="0" collapsed="false">
      <c r="A1125" s="2"/>
      <c r="B1125" s="2"/>
      <c r="C1125" s="75"/>
      <c r="D1125" s="75"/>
      <c r="E1125" s="75"/>
      <c r="F1125" s="75"/>
      <c r="G1125" s="75"/>
      <c r="H1125" s="75"/>
      <c r="I1125" s="2"/>
      <c r="J1125" s="83"/>
      <c r="K1125" s="83"/>
      <c r="L1125" s="83"/>
      <c r="M1125" s="83"/>
      <c r="N1125" s="83"/>
      <c r="O1125" s="2"/>
      <c r="P1125" s="75" t="n">
        <v>1122</v>
      </c>
      <c r="Q1125" s="146" t="n">
        <v>25211.774582184</v>
      </c>
      <c r="R1125" s="146" t="n">
        <v>0.272301145497516</v>
      </c>
      <c r="S1125" s="146" t="n">
        <v>0.057734953957832</v>
      </c>
      <c r="T1125" s="146" t="n">
        <v>0.010438983597574</v>
      </c>
      <c r="U1125" s="29"/>
      <c r="V1125" s="29"/>
      <c r="W1125" s="29"/>
      <c r="X1125" s="29"/>
      <c r="Y1125" s="29"/>
      <c r="Z1125" s="75"/>
    </row>
    <row r="1126" customFormat="false" ht="12.75" hidden="false" customHeight="true" outlineLevel="0" collapsed="false">
      <c r="A1126" s="2"/>
      <c r="B1126" s="2"/>
      <c r="C1126" s="75"/>
      <c r="D1126" s="75"/>
      <c r="E1126" s="75"/>
      <c r="F1126" s="75"/>
      <c r="G1126" s="75"/>
      <c r="H1126" s="75"/>
      <c r="I1126" s="2"/>
      <c r="J1126" s="83"/>
      <c r="K1126" s="83"/>
      <c r="L1126" s="83"/>
      <c r="M1126" s="83"/>
      <c r="N1126" s="83"/>
      <c r="O1126" s="2"/>
      <c r="P1126" s="75" t="n">
        <v>1123</v>
      </c>
      <c r="Q1126" s="146" t="n">
        <v>25234.225354444</v>
      </c>
      <c r="R1126" s="146" t="n">
        <v>0.272911250649603</v>
      </c>
      <c r="S1126" s="146" t="n">
        <v>0.0670471073686912</v>
      </c>
      <c r="T1126" s="146" t="n">
        <v>0.0127401378217715</v>
      </c>
      <c r="U1126" s="29"/>
      <c r="V1126" s="29"/>
      <c r="W1126" s="29"/>
      <c r="X1126" s="29"/>
      <c r="Y1126" s="29"/>
      <c r="Z1126" s="75"/>
    </row>
    <row r="1127" customFormat="false" ht="12.75" hidden="false" customHeight="true" outlineLevel="0" collapsed="false">
      <c r="P1127" s="1" t="n">
        <v>1124</v>
      </c>
      <c r="Q1127" s="147" t="n">
        <v>25256.546894293</v>
      </c>
      <c r="R1127" s="147" t="n">
        <v>0.273334333707787</v>
      </c>
      <c r="S1127" s="147" t="n">
        <v>0.0715619768810633</v>
      </c>
      <c r="T1127" s="147" t="n">
        <v>0.015080376686776</v>
      </c>
    </row>
    <row r="1128" customFormat="false" ht="12.75" hidden="false" customHeight="true" outlineLevel="0" collapsed="false">
      <c r="P1128" s="1" t="n">
        <v>1125</v>
      </c>
      <c r="Q1128" s="147" t="n">
        <v>25279.814044394</v>
      </c>
      <c r="R1128" s="147" t="n">
        <v>0.27269938951361</v>
      </c>
      <c r="S1128" s="147" t="n">
        <v>0.0876826006846903</v>
      </c>
      <c r="T1128" s="147" t="n">
        <v>0.015185591961362</v>
      </c>
    </row>
    <row r="1129" customFormat="false" ht="12.75" hidden="false" customHeight="true" outlineLevel="0" collapsed="false">
      <c r="P1129" s="1" t="n">
        <v>1126</v>
      </c>
      <c r="Q1129" s="147" t="n">
        <v>25302.035986483</v>
      </c>
      <c r="R1129" s="147" t="n">
        <v>0.272415793092831</v>
      </c>
      <c r="S1129" s="147" t="n">
        <v>0.0928261266756309</v>
      </c>
      <c r="T1129" s="147" t="n">
        <v>0.0157376055182749</v>
      </c>
    </row>
    <row r="1130" customFormat="false" ht="12.75" hidden="false" customHeight="true" outlineLevel="0" collapsed="false">
      <c r="P1130" s="1" t="n">
        <v>1127</v>
      </c>
      <c r="Q1130" s="147" t="n">
        <v>25324.155031005</v>
      </c>
      <c r="R1130" s="147" t="n">
        <v>0.271765127553096</v>
      </c>
      <c r="S1130" s="147" t="n">
        <v>0.0991563450285385</v>
      </c>
      <c r="T1130" s="147" t="n">
        <v>0.0154888274515239</v>
      </c>
    </row>
    <row r="1131" customFormat="false" ht="12.75" hidden="false" customHeight="true" outlineLevel="0" collapsed="false">
      <c r="P1131" s="1" t="n">
        <v>1128</v>
      </c>
      <c r="Q1131" s="147" t="n">
        <v>25346.730949162</v>
      </c>
      <c r="R1131" s="147" t="n">
        <v>0.270501009402073</v>
      </c>
      <c r="S1131" s="147" t="n">
        <v>0.105800109832072</v>
      </c>
      <c r="T1131" s="147" t="n">
        <v>0.0148544849605039</v>
      </c>
    </row>
    <row r="1132" customFormat="false" ht="12.75" hidden="false" customHeight="true" outlineLevel="0" collapsed="false">
      <c r="P1132" s="1" t="n">
        <v>1129</v>
      </c>
      <c r="Q1132" s="147" t="n">
        <v>25369.059845522</v>
      </c>
      <c r="R1132" s="147" t="n">
        <v>0.269568687492631</v>
      </c>
      <c r="S1132" s="147" t="n">
        <v>0.109461987420797</v>
      </c>
      <c r="T1132" s="147" t="n">
        <v>0.0142783601463543</v>
      </c>
    </row>
    <row r="1133" customFormat="false" ht="12.75" hidden="false" customHeight="true" outlineLevel="0" collapsed="false">
      <c r="P1133" s="1" t="n">
        <v>1130</v>
      </c>
      <c r="Q1133" s="147" t="n">
        <v>25391.556859596</v>
      </c>
      <c r="R1133" s="147" t="n">
        <v>0.268490863526757</v>
      </c>
      <c r="S1133" s="147" t="n">
        <v>0.113732330838452</v>
      </c>
      <c r="T1133" s="147" t="n">
        <v>0.0142439746069017</v>
      </c>
    </row>
    <row r="1134" customFormat="false" ht="12.75" hidden="false" customHeight="true" outlineLevel="0" collapsed="false">
      <c r="P1134" s="1" t="n">
        <v>1131</v>
      </c>
      <c r="Q1134" s="147" t="n">
        <v>25414.310015052</v>
      </c>
      <c r="R1134" s="147" t="n">
        <v>0.267345496010929</v>
      </c>
      <c r="S1134" s="147" t="n">
        <v>0.114032188355135</v>
      </c>
      <c r="T1134" s="147" t="n">
        <v>0.0156677862928573</v>
      </c>
    </row>
    <row r="1135" customFormat="false" ht="12.75" hidden="false" customHeight="true" outlineLevel="0" collapsed="false">
      <c r="P1135" s="1" t="n">
        <v>1132</v>
      </c>
      <c r="Q1135" s="147" t="n">
        <v>25437.208135895</v>
      </c>
      <c r="R1135" s="147" t="n">
        <v>0.267444972692035</v>
      </c>
      <c r="S1135" s="147" t="n">
        <v>0.108665040761924</v>
      </c>
      <c r="T1135" s="147" t="n">
        <v>0.0163525806569312</v>
      </c>
    </row>
    <row r="1136" customFormat="false" ht="12.75" hidden="false" customHeight="true" outlineLevel="0" collapsed="false">
      <c r="P1136" s="1" t="n">
        <v>1133</v>
      </c>
      <c r="Q1136" s="147" t="n">
        <v>25460.058611539</v>
      </c>
      <c r="R1136" s="147" t="n">
        <v>0.267117955109329</v>
      </c>
      <c r="S1136" s="147" t="n">
        <v>0.0991308114669485</v>
      </c>
      <c r="T1136" s="147" t="n">
        <v>0.0174182553066675</v>
      </c>
    </row>
    <row r="1137" customFormat="false" ht="12.75" hidden="false" customHeight="true" outlineLevel="0" collapsed="false">
      <c r="P1137" s="1" t="n">
        <v>1134</v>
      </c>
      <c r="Q1137" s="147" t="n">
        <v>25483.150054356</v>
      </c>
      <c r="R1137" s="147" t="n">
        <v>0.267546968680808</v>
      </c>
      <c r="S1137" s="147" t="n">
        <v>0.0902139377104177</v>
      </c>
      <c r="T1137" s="147" t="n">
        <v>0.0183582657896189</v>
      </c>
    </row>
    <row r="1138" customFormat="false" ht="12.75" hidden="false" customHeight="true" outlineLevel="0" collapsed="false">
      <c r="P1138" s="1" t="n">
        <v>1135</v>
      </c>
      <c r="Q1138" s="147" t="n">
        <v>25505.061396433</v>
      </c>
      <c r="R1138" s="147" t="n">
        <v>0.267381990167633</v>
      </c>
      <c r="S1138" s="147" t="n">
        <v>0.0869058537355723</v>
      </c>
      <c r="T1138" s="147" t="n">
        <v>0.0186210386025338</v>
      </c>
    </row>
    <row r="1139" customFormat="false" ht="12.75" hidden="false" customHeight="true" outlineLevel="0" collapsed="false">
      <c r="P1139" s="1" t="n">
        <v>1136</v>
      </c>
      <c r="Q1139" s="147" t="n">
        <v>25528.255633237</v>
      </c>
      <c r="R1139" s="147" t="n">
        <v>0.266960588895938</v>
      </c>
      <c r="S1139" s="147" t="n">
        <v>0.0752827658390339</v>
      </c>
      <c r="T1139" s="147" t="n">
        <v>0.0190809553954502</v>
      </c>
    </row>
    <row r="1140" customFormat="false" ht="12.75" hidden="false" customHeight="true" outlineLevel="0" collapsed="false">
      <c r="P1140" s="1" t="n">
        <v>1137</v>
      </c>
      <c r="Q1140" s="147" t="n">
        <v>25550.712791751</v>
      </c>
      <c r="R1140" s="147" t="n">
        <v>0.267122138874529</v>
      </c>
      <c r="S1140" s="147" t="n">
        <v>0.0750003852464521</v>
      </c>
      <c r="T1140" s="147" t="n">
        <v>0.0178490270799971</v>
      </c>
    </row>
    <row r="1141" customFormat="false" ht="12.75" hidden="false" customHeight="true" outlineLevel="0" collapsed="false">
      <c r="P1141" s="1" t="n">
        <v>1138</v>
      </c>
      <c r="Q1141" s="147" t="n">
        <v>25573.296337208</v>
      </c>
      <c r="R1141" s="147" t="n">
        <v>0.266580144787203</v>
      </c>
      <c r="S1141" s="147" t="n">
        <v>0.078194537174676</v>
      </c>
      <c r="T1141" s="147" t="n">
        <v>0.0155488718967389</v>
      </c>
    </row>
    <row r="1142" customFormat="false" ht="12.75" hidden="false" customHeight="true" outlineLevel="0" collapsed="false">
      <c r="P1142" s="1" t="n">
        <v>1139</v>
      </c>
      <c r="Q1142" s="147" t="n">
        <v>25596.310944323</v>
      </c>
      <c r="R1142" s="147" t="n">
        <v>0.265889703395821</v>
      </c>
      <c r="S1142" s="147" t="n">
        <v>0.0861090429456244</v>
      </c>
      <c r="T1142" s="147" t="n">
        <v>0.0131017428537939</v>
      </c>
    </row>
    <row r="1143" customFormat="false" ht="12.75" hidden="false" customHeight="true" outlineLevel="0" collapsed="false">
      <c r="P1143" s="1" t="n">
        <v>1140</v>
      </c>
      <c r="Q1143" s="147" t="n">
        <v>25619.695024674</v>
      </c>
      <c r="R1143" s="147" t="n">
        <v>0.265490860677329</v>
      </c>
      <c r="S1143" s="147" t="n">
        <v>0.0996593702138944</v>
      </c>
      <c r="T1143" s="147" t="n">
        <v>0.011165889399847</v>
      </c>
    </row>
    <row r="1144" customFormat="false" ht="12.75" hidden="false" customHeight="true" outlineLevel="0" collapsed="false">
      <c r="P1144" s="1" t="n">
        <v>1141</v>
      </c>
      <c r="Q1144" s="147" t="n">
        <v>25641.813311538</v>
      </c>
      <c r="R1144" s="147" t="n">
        <v>0.264956497817806</v>
      </c>
      <c r="S1144" s="147" t="n">
        <v>0.103991460052902</v>
      </c>
      <c r="T1144" s="147" t="n">
        <v>0.00952971586563015</v>
      </c>
    </row>
    <row r="1145" customFormat="false" ht="12.75" hidden="false" customHeight="true" outlineLevel="0" collapsed="false">
      <c r="P1145" s="1" t="n">
        <v>1142</v>
      </c>
      <c r="Q1145" s="147" t="n">
        <v>25665.01057254</v>
      </c>
      <c r="R1145" s="147" t="n">
        <v>0.265342067682651</v>
      </c>
      <c r="S1145" s="147" t="n">
        <v>0.114505398190854</v>
      </c>
      <c r="T1145" s="147" t="n">
        <v>0.00898781650716267</v>
      </c>
    </row>
    <row r="1146" customFormat="false" ht="12.75" hidden="false" customHeight="true" outlineLevel="0" collapsed="false">
      <c r="P1146" s="1" t="n">
        <v>1143</v>
      </c>
      <c r="Q1146" s="147" t="n">
        <v>25687.421259334</v>
      </c>
      <c r="R1146" s="147" t="n">
        <v>0.264801984145079</v>
      </c>
      <c r="S1146" s="147" t="n">
        <v>0.115714023592244</v>
      </c>
      <c r="T1146" s="147" t="n">
        <v>0.00844195474960769</v>
      </c>
    </row>
    <row r="1147" customFormat="false" ht="12.75" hidden="false" customHeight="true" outlineLevel="0" collapsed="false">
      <c r="P1147" s="1" t="n">
        <v>1144</v>
      </c>
      <c r="Q1147" s="147" t="n">
        <v>25710.132364011</v>
      </c>
      <c r="R1147" s="147" t="n">
        <v>0.265349093307239</v>
      </c>
      <c r="S1147" s="147" t="n">
        <v>0.114716250247566</v>
      </c>
      <c r="T1147" s="147" t="n">
        <v>0.0088236680697158</v>
      </c>
    </row>
    <row r="1148" customFormat="false" ht="12.75" hidden="false" customHeight="true" outlineLevel="0" collapsed="false">
      <c r="P1148" s="1" t="n">
        <v>1145</v>
      </c>
      <c r="Q1148" s="147" t="n">
        <v>25732.870773258</v>
      </c>
      <c r="R1148" s="147" t="n">
        <v>0.266327808798153</v>
      </c>
      <c r="S1148" s="147" t="n">
        <v>0.111688172192403</v>
      </c>
      <c r="T1148" s="147" t="n">
        <v>0.0105867484719912</v>
      </c>
    </row>
    <row r="1149" customFormat="false" ht="12.75" hidden="false" customHeight="true" outlineLevel="0" collapsed="false">
      <c r="P1149" s="1" t="n">
        <v>1146</v>
      </c>
      <c r="Q1149" s="147" t="n">
        <v>25755.840360562</v>
      </c>
      <c r="R1149" s="147" t="n">
        <v>0.267258627661817</v>
      </c>
      <c r="S1149" s="147" t="n">
        <v>0.106355692087044</v>
      </c>
      <c r="T1149" s="147" t="n">
        <v>0.0122625826373874</v>
      </c>
    </row>
    <row r="1150" customFormat="false" ht="12.75" hidden="false" customHeight="true" outlineLevel="0" collapsed="false">
      <c r="P1150" s="1" t="n">
        <v>1147</v>
      </c>
      <c r="Q1150" s="147" t="n">
        <v>25778.753041644</v>
      </c>
      <c r="R1150" s="147" t="n">
        <v>0.268599698575195</v>
      </c>
      <c r="S1150" s="147" t="n">
        <v>0.0993903443326745</v>
      </c>
      <c r="T1150" s="147" t="n">
        <v>0.0142834745303693</v>
      </c>
    </row>
    <row r="1151" customFormat="false" ht="12.75" hidden="false" customHeight="true" outlineLevel="0" collapsed="false">
      <c r="P1151" s="1" t="n">
        <v>1148</v>
      </c>
      <c r="Q1151" s="147" t="n">
        <v>25801.690346047</v>
      </c>
      <c r="R1151" s="147" t="n">
        <v>0.269896184802122</v>
      </c>
      <c r="S1151" s="147" t="n">
        <v>0.0926179422594795</v>
      </c>
      <c r="T1151" s="147" t="n">
        <v>0.0162928954436475</v>
      </c>
    </row>
    <row r="1152" customFormat="false" ht="12.75" hidden="false" customHeight="true" outlineLevel="0" collapsed="false">
      <c r="P1152" s="1" t="n">
        <v>1149</v>
      </c>
      <c r="Q1152" s="147" t="n">
        <v>25824.348692454</v>
      </c>
      <c r="R1152" s="147" t="n">
        <v>0.270879622452852</v>
      </c>
      <c r="S1152" s="147" t="n">
        <v>0.0871991411606992</v>
      </c>
      <c r="T1152" s="147" t="n">
        <v>0.0183475530301107</v>
      </c>
    </row>
    <row r="1153" customFormat="false" ht="12.75" hidden="false" customHeight="true" outlineLevel="0" collapsed="false">
      <c r="P1153" s="1" t="n">
        <v>1150</v>
      </c>
      <c r="Q1153" s="147" t="n">
        <v>25846.673435624</v>
      </c>
      <c r="R1153" s="147" t="n">
        <v>0.271697970267069</v>
      </c>
      <c r="S1153" s="147" t="n">
        <v>0.084147533990911</v>
      </c>
      <c r="T1153" s="147" t="n">
        <v>0.0201015397298365</v>
      </c>
    </row>
    <row r="1154" customFormat="false" ht="12.75" hidden="false" customHeight="true" outlineLevel="0" collapsed="false">
      <c r="P1154" s="1" t="n">
        <v>1151</v>
      </c>
      <c r="Q1154" s="147" t="n">
        <v>25868.948011703</v>
      </c>
      <c r="R1154" s="147" t="n">
        <v>0.271998355353662</v>
      </c>
      <c r="S1154" s="147" t="n">
        <v>0.0831274226492323</v>
      </c>
      <c r="T1154" s="147" t="n">
        <v>0.0216277493264412</v>
      </c>
    </row>
    <row r="1155" customFormat="false" ht="12.75" hidden="false" customHeight="true" outlineLevel="0" collapsed="false">
      <c r="P1155" s="1" t="n">
        <v>1152</v>
      </c>
      <c r="Q1155" s="147" t="n">
        <v>25891.585418364</v>
      </c>
      <c r="R1155" s="147" t="n">
        <v>0.272093982717384</v>
      </c>
      <c r="S1155" s="147" t="n">
        <v>0.0845737536226631</v>
      </c>
      <c r="T1155" s="147" t="n">
        <v>0.0228031201148758</v>
      </c>
    </row>
    <row r="1156" customFormat="false" ht="12.75" hidden="false" customHeight="true" outlineLevel="0" collapsed="false">
      <c r="P1156" s="1" t="n">
        <v>1153</v>
      </c>
      <c r="Q1156" s="147" t="n">
        <v>25913.069166772</v>
      </c>
      <c r="R1156" s="147" t="n">
        <v>0.271986517944708</v>
      </c>
      <c r="S1156" s="147" t="n">
        <v>0.0858648045921176</v>
      </c>
      <c r="T1156" s="147" t="n">
        <v>0.02439135328307</v>
      </c>
    </row>
    <row r="1157" customFormat="false" ht="12.75" hidden="false" customHeight="true" outlineLevel="0" collapsed="false">
      <c r="P1157" s="1" t="n">
        <v>1154</v>
      </c>
      <c r="Q1157" s="147" t="n">
        <v>25935.523928602</v>
      </c>
      <c r="R1157" s="147" t="n">
        <v>0.271940477229893</v>
      </c>
      <c r="S1157" s="147" t="n">
        <v>0.0906489720569536</v>
      </c>
      <c r="T1157" s="147" t="n">
        <v>0.0258281689969803</v>
      </c>
    </row>
    <row r="1158" customFormat="false" ht="12.75" hidden="false" customHeight="true" outlineLevel="0" collapsed="false">
      <c r="P1158" s="1" t="n">
        <v>1155</v>
      </c>
      <c r="Q1158" s="147" t="n">
        <v>25957.457002735</v>
      </c>
      <c r="R1158" s="147" t="n">
        <v>0.27226624862921</v>
      </c>
      <c r="S1158" s="147" t="n">
        <v>0.0927607674932608</v>
      </c>
      <c r="T1158" s="147" t="n">
        <v>0.027174400490976</v>
      </c>
    </row>
    <row r="1159" customFormat="false" ht="12.75" hidden="false" customHeight="true" outlineLevel="0" collapsed="false">
      <c r="P1159" s="1" t="n">
        <v>1156</v>
      </c>
      <c r="Q1159" s="147" t="n">
        <v>25979.977296754</v>
      </c>
      <c r="R1159" s="147" t="n">
        <v>0.272030264112103</v>
      </c>
      <c r="S1159" s="147" t="n">
        <v>0.0961532804155559</v>
      </c>
      <c r="T1159" s="147" t="n">
        <v>0.0284710359416907</v>
      </c>
    </row>
    <row r="1160" customFormat="false" ht="12.75" hidden="false" customHeight="true" outlineLevel="0" collapsed="false">
      <c r="P1160" s="1" t="n">
        <v>1157</v>
      </c>
      <c r="Q1160" s="147" t="n">
        <v>26001.925331437</v>
      </c>
      <c r="R1160" s="147" t="n">
        <v>0.272278494227517</v>
      </c>
      <c r="S1160" s="147" t="n">
        <v>0.0975595117516274</v>
      </c>
      <c r="T1160" s="147" t="n">
        <v>0.0292811646019281</v>
      </c>
    </row>
    <row r="1161" customFormat="false" ht="12.75" hidden="false" customHeight="true" outlineLevel="0" collapsed="false">
      <c r="P1161" s="1" t="n">
        <v>1158</v>
      </c>
      <c r="Q1161" s="147" t="n">
        <v>26024.343788122</v>
      </c>
      <c r="R1161" s="147" t="n">
        <v>0.271940509687437</v>
      </c>
      <c r="S1161" s="147" t="n">
        <v>0.0978708682617438</v>
      </c>
      <c r="T1161" s="147" t="n">
        <v>0.0301201348927239</v>
      </c>
    </row>
    <row r="1162" customFormat="false" ht="12.75" hidden="false" customHeight="true" outlineLevel="0" collapsed="false">
      <c r="P1162" s="1" t="n">
        <v>1159</v>
      </c>
      <c r="Q1162" s="147" t="n">
        <v>26046.414604466</v>
      </c>
      <c r="R1162" s="147" t="n">
        <v>0.272079389610711</v>
      </c>
      <c r="S1162" s="147" t="n">
        <v>0.0982448893293714</v>
      </c>
      <c r="T1162" s="147" t="n">
        <v>0.030340735935338</v>
      </c>
    </row>
    <row r="1163" customFormat="false" ht="12.75" hidden="false" customHeight="true" outlineLevel="0" collapsed="false">
      <c r="P1163" s="1" t="n">
        <v>1160</v>
      </c>
      <c r="Q1163" s="147" t="n">
        <v>26068.536724654</v>
      </c>
      <c r="R1163" s="147" t="n">
        <v>0.271633970828344</v>
      </c>
      <c r="S1163" s="147" t="n">
        <v>0.0973777689708199</v>
      </c>
      <c r="T1163" s="147" t="n">
        <v>0.0305769770259424</v>
      </c>
    </row>
    <row r="1164" customFormat="false" ht="12.75" hidden="false" customHeight="true" outlineLevel="0" collapsed="false">
      <c r="P1164" s="1" t="n">
        <v>1161</v>
      </c>
      <c r="Q1164" s="147" t="n">
        <v>26090.733152456</v>
      </c>
      <c r="R1164" s="147" t="n">
        <v>0.271542528904506</v>
      </c>
      <c r="S1164" s="147" t="n">
        <v>0.0970538977431592</v>
      </c>
      <c r="T1164" s="147" t="n">
        <v>0.0304151992126882</v>
      </c>
    </row>
    <row r="1165" customFormat="false" ht="12.75" hidden="false" customHeight="true" outlineLevel="0" collapsed="false">
      <c r="P1165" s="1" t="n">
        <v>1162</v>
      </c>
      <c r="Q1165" s="147" t="n">
        <v>26113.13186458</v>
      </c>
      <c r="R1165" s="147" t="n">
        <v>0.271150958204625</v>
      </c>
      <c r="S1165" s="147" t="n">
        <v>0.0971448939655276</v>
      </c>
      <c r="T1165" s="147" t="n">
        <v>0.0303141375761149</v>
      </c>
    </row>
    <row r="1166" customFormat="false" ht="12.75" hidden="false" customHeight="true" outlineLevel="0" collapsed="false">
      <c r="P1166" s="1" t="n">
        <v>1163</v>
      </c>
      <c r="Q1166" s="147" t="n">
        <v>26135.545962323</v>
      </c>
      <c r="R1166" s="147" t="n">
        <v>0.270744521273687</v>
      </c>
      <c r="S1166" s="147" t="n">
        <v>0.0989107374460445</v>
      </c>
      <c r="T1166" s="147" t="n">
        <v>0.0301861555496099</v>
      </c>
    </row>
    <row r="1167" customFormat="false" ht="12.75" hidden="false" customHeight="true" outlineLevel="0" collapsed="false">
      <c r="P1167" s="1" t="n">
        <v>1164</v>
      </c>
      <c r="Q1167" s="147" t="n">
        <v>26157.584150696</v>
      </c>
      <c r="R1167" s="147" t="n">
        <v>0.270411286815238</v>
      </c>
      <c r="S1167" s="147" t="n">
        <v>0.0995952832320322</v>
      </c>
      <c r="T1167" s="147" t="n">
        <v>0.0300443585674</v>
      </c>
    </row>
    <row r="1168" customFormat="false" ht="12.75" hidden="false" customHeight="true" outlineLevel="0" collapsed="false">
      <c r="P1168" s="1" t="n">
        <v>1165</v>
      </c>
      <c r="Q1168" s="147" t="n">
        <v>26180.483400291</v>
      </c>
      <c r="R1168" s="147" t="n">
        <v>0.269939037993568</v>
      </c>
      <c r="S1168" s="147" t="n">
        <v>0.107585458657389</v>
      </c>
      <c r="T1168" s="147" t="n">
        <v>0.0308468319156741</v>
      </c>
    </row>
    <row r="1169" customFormat="false" ht="12.75" hidden="false" customHeight="true" outlineLevel="0" collapsed="false">
      <c r="P1169" s="1" t="n">
        <v>1166</v>
      </c>
      <c r="Q1169" s="147" t="n">
        <v>26202.572499282</v>
      </c>
      <c r="R1169" s="147" t="n">
        <v>0.269773146848972</v>
      </c>
      <c r="S1169" s="147" t="n">
        <v>0.107535602623176</v>
      </c>
      <c r="T1169" s="147" t="n">
        <v>0.0308574116577402</v>
      </c>
    </row>
    <row r="1170" customFormat="false" ht="12.75" hidden="false" customHeight="true" outlineLevel="0" collapsed="false">
      <c r="P1170" s="1" t="n">
        <v>1167</v>
      </c>
      <c r="Q1170" s="147" t="n">
        <v>26224.788153067</v>
      </c>
      <c r="R1170" s="147" t="n">
        <v>0.270177032417017</v>
      </c>
      <c r="S1170" s="147" t="n">
        <v>0.107674170282507</v>
      </c>
      <c r="T1170" s="147" t="n">
        <v>0.0321490489703295</v>
      </c>
    </row>
    <row r="1171" customFormat="false" ht="12.75" hidden="false" customHeight="true" outlineLevel="0" collapsed="false">
      <c r="P1171" s="1" t="n">
        <v>1168</v>
      </c>
      <c r="Q1171" s="147" t="n">
        <v>26246.518839318</v>
      </c>
      <c r="R1171" s="147" t="n">
        <v>0.270573647983544</v>
      </c>
      <c r="S1171" s="147" t="n">
        <v>0.108278343973442</v>
      </c>
      <c r="T1171" s="147" t="n">
        <v>0.0337278097262901</v>
      </c>
    </row>
    <row r="1172" customFormat="false" ht="12.75" hidden="false" customHeight="true" outlineLevel="0" collapsed="false">
      <c r="P1172" s="1" t="n">
        <v>1169</v>
      </c>
      <c r="Q1172" s="147" t="n">
        <v>26268.409215932</v>
      </c>
      <c r="R1172" s="147" t="n">
        <v>0.270694653907705</v>
      </c>
      <c r="S1172" s="147" t="n">
        <v>0.10893916692832</v>
      </c>
      <c r="T1172" s="147" t="n">
        <v>0.035036299597554</v>
      </c>
    </row>
    <row r="1173" customFormat="false" ht="12.75" hidden="false" customHeight="true" outlineLevel="0" collapsed="false">
      <c r="P1173" s="1" t="n">
        <v>1170</v>
      </c>
      <c r="Q1173" s="147" t="n">
        <v>26290.51388478</v>
      </c>
      <c r="R1173" s="147" t="n">
        <v>0.270666962064522</v>
      </c>
      <c r="S1173" s="147" t="n">
        <v>0.10958502682306</v>
      </c>
      <c r="T1173" s="147" t="n">
        <v>0.0361202358027407</v>
      </c>
    </row>
    <row r="1174" customFormat="false" ht="12.75" hidden="false" customHeight="true" outlineLevel="0" collapsed="false">
      <c r="P1174" s="1" t="n">
        <v>1171</v>
      </c>
      <c r="Q1174" s="147" t="n">
        <v>26313.033367122</v>
      </c>
      <c r="R1174" s="147" t="n">
        <v>0.270372783969313</v>
      </c>
      <c r="S1174" s="147" t="n">
        <v>0.10915175840406</v>
      </c>
      <c r="T1174" s="147" t="n">
        <v>0.0367755196789872</v>
      </c>
    </row>
    <row r="1175" customFormat="false" ht="12.75" hidden="false" customHeight="true" outlineLevel="0" collapsed="false">
      <c r="P1175" s="1" t="n">
        <v>1172</v>
      </c>
      <c r="Q1175" s="147" t="n">
        <v>26335.865427496</v>
      </c>
      <c r="R1175" s="147" t="n">
        <v>0.270019438514325</v>
      </c>
      <c r="S1175" s="147" t="n">
        <v>0.104984027380082</v>
      </c>
      <c r="T1175" s="147" t="n">
        <v>0.0367954069705173</v>
      </c>
    </row>
    <row r="1176" customFormat="false" ht="12.75" hidden="false" customHeight="true" outlineLevel="0" collapsed="false">
      <c r="P1176" s="1" t="n">
        <v>1173</v>
      </c>
      <c r="Q1176" s="147" t="n">
        <v>26358.050486533</v>
      </c>
      <c r="R1176" s="147" t="n">
        <v>0.269820487991431</v>
      </c>
      <c r="S1176" s="147" t="n">
        <v>0.105665354569267</v>
      </c>
      <c r="T1176" s="147" t="n">
        <v>0.0383595393229801</v>
      </c>
    </row>
    <row r="1177" customFormat="false" ht="12.75" hidden="false" customHeight="true" outlineLevel="0" collapsed="false">
      <c r="P1177" s="1" t="n">
        <v>1174</v>
      </c>
      <c r="Q1177" s="147" t="n">
        <v>26381.175091298</v>
      </c>
      <c r="R1177" s="147" t="n">
        <v>0.269204047605442</v>
      </c>
      <c r="S1177" s="147" t="n">
        <v>0.105089896722506</v>
      </c>
      <c r="T1177" s="147" t="n">
        <v>0.0386168974334733</v>
      </c>
    </row>
    <row r="1178" customFormat="false" ht="12.75" hidden="false" customHeight="true" outlineLevel="0" collapsed="false">
      <c r="P1178" s="1" t="n">
        <v>1175</v>
      </c>
      <c r="Q1178" s="147" t="n">
        <v>26403.476079952</v>
      </c>
      <c r="R1178" s="147" t="n">
        <v>0.268757858283534</v>
      </c>
      <c r="S1178" s="147" t="n">
        <v>0.106992914524996</v>
      </c>
      <c r="T1178" s="147" t="n">
        <v>0.0391098036504563</v>
      </c>
    </row>
    <row r="1179" customFormat="false" ht="12.75" hidden="false" customHeight="true" outlineLevel="0" collapsed="false">
      <c r="P1179" s="1" t="n">
        <v>1176</v>
      </c>
      <c r="Q1179" s="147" t="n">
        <v>26426.581151055</v>
      </c>
      <c r="R1179" s="147" t="n">
        <v>0.268044101653795</v>
      </c>
      <c r="S1179" s="147" t="n">
        <v>0.111106329605381</v>
      </c>
      <c r="T1179" s="147" t="n">
        <v>0.0379377182830806</v>
      </c>
    </row>
    <row r="1180" customFormat="false" ht="12.75" hidden="false" customHeight="true" outlineLevel="0" collapsed="false">
      <c r="P1180" s="1" t="n">
        <v>1177</v>
      </c>
      <c r="Q1180" s="147" t="n">
        <v>26448.401611308</v>
      </c>
      <c r="R1180" s="147" t="n">
        <v>0.267983518048718</v>
      </c>
      <c r="S1180" s="147" t="n">
        <v>0.11284260643705</v>
      </c>
      <c r="T1180" s="147" t="n">
        <v>0.0371896535285207</v>
      </c>
    </row>
    <row r="1181" customFormat="false" ht="12.75" hidden="false" customHeight="true" outlineLevel="0" collapsed="false">
      <c r="P1181" s="1" t="n">
        <v>1178</v>
      </c>
      <c r="Q1181" s="147" t="n">
        <v>26470.665895549</v>
      </c>
      <c r="R1181" s="147" t="n">
        <v>0.268140023983384</v>
      </c>
      <c r="S1181" s="147" t="n">
        <v>0.114146471243415</v>
      </c>
      <c r="T1181" s="147" t="n">
        <v>0.035653863720743</v>
      </c>
    </row>
    <row r="1182" customFormat="false" ht="12.75" hidden="false" customHeight="true" outlineLevel="0" collapsed="false">
      <c r="P1182" s="1" t="n">
        <v>1179</v>
      </c>
      <c r="Q1182" s="147" t="n">
        <v>26493.089566943</v>
      </c>
      <c r="R1182" s="147" t="n">
        <v>0.268705448230891</v>
      </c>
      <c r="S1182" s="147" t="n">
        <v>0.114969765705878</v>
      </c>
      <c r="T1182" s="147" t="n">
        <v>0.0339314497864015</v>
      </c>
    </row>
    <row r="1183" customFormat="false" ht="12.75" hidden="false" customHeight="true" outlineLevel="0" collapsed="false">
      <c r="P1183" s="1" t="n">
        <v>1180</v>
      </c>
      <c r="Q1183" s="147" t="n">
        <v>26515.819174646</v>
      </c>
      <c r="R1183" s="147" t="n">
        <v>0.269740225960312</v>
      </c>
      <c r="S1183" s="147" t="n">
        <v>0.114855239600238</v>
      </c>
      <c r="T1183" s="147" t="n">
        <v>0.0321684239247586</v>
      </c>
    </row>
    <row r="1184" customFormat="false" ht="12.75" hidden="false" customHeight="true" outlineLevel="0" collapsed="false">
      <c r="P1184" s="1" t="n">
        <v>1181</v>
      </c>
      <c r="Q1184" s="147" t="n">
        <v>26538.307598132</v>
      </c>
      <c r="R1184" s="147" t="n">
        <v>0.27092323304936</v>
      </c>
      <c r="S1184" s="147" t="n">
        <v>0.112188803639456</v>
      </c>
      <c r="T1184" s="147" t="n">
        <v>0.0309693217443733</v>
      </c>
    </row>
    <row r="1185" customFormat="false" ht="12.75" hidden="false" customHeight="true" outlineLevel="0" collapsed="false">
      <c r="P1185" s="1" t="n">
        <v>1182</v>
      </c>
      <c r="Q1185" s="147" t="n">
        <v>26560.899567654</v>
      </c>
      <c r="R1185" s="147" t="n">
        <v>0.271753881775802</v>
      </c>
      <c r="S1185" s="147" t="n">
        <v>0.106822489785509</v>
      </c>
      <c r="T1185" s="147" t="n">
        <v>0.0302499929032985</v>
      </c>
    </row>
    <row r="1186" customFormat="false" ht="12.75" hidden="false" customHeight="true" outlineLevel="0" collapsed="false">
      <c r="P1186" s="1" t="n">
        <v>1183</v>
      </c>
      <c r="Q1186" s="147" t="n">
        <v>26583.709808554</v>
      </c>
      <c r="R1186" s="147" t="n">
        <v>0.272348664470949</v>
      </c>
      <c r="S1186" s="147" t="n">
        <v>0.100876310659319</v>
      </c>
      <c r="T1186" s="147" t="n">
        <v>0.0295467534138552</v>
      </c>
    </row>
    <row r="1187" customFormat="false" ht="12.75" hidden="false" customHeight="true" outlineLevel="0" collapsed="false">
      <c r="P1187" s="1" t="n">
        <v>1184</v>
      </c>
      <c r="Q1187" s="147" t="n">
        <v>26606.004452624</v>
      </c>
      <c r="R1187" s="147" t="n">
        <v>0.272432033025974</v>
      </c>
      <c r="S1187" s="147" t="n">
        <v>0.0987635307486034</v>
      </c>
      <c r="T1187" s="147" t="n">
        <v>0.0285858523866762</v>
      </c>
    </row>
    <row r="1188" customFormat="false" ht="12.75" hidden="false" customHeight="true" outlineLevel="0" collapsed="false">
      <c r="P1188" s="1" t="n">
        <v>1185</v>
      </c>
      <c r="Q1188" s="147" t="n">
        <v>26629.036792418</v>
      </c>
      <c r="R1188" s="147" t="n">
        <v>0.271908496461437</v>
      </c>
      <c r="S1188" s="147" t="n">
        <v>0.0943730625811321</v>
      </c>
      <c r="T1188" s="147" t="n">
        <v>0.029192126266319</v>
      </c>
    </row>
    <row r="1189" customFormat="false" ht="12.75" hidden="false" customHeight="true" outlineLevel="0" collapsed="false">
      <c r="P1189" s="1" t="n">
        <v>1186</v>
      </c>
      <c r="Q1189" s="147" t="n">
        <v>26651.221143419</v>
      </c>
      <c r="R1189" s="147" t="n">
        <v>0.270612692776364</v>
      </c>
      <c r="S1189" s="147" t="n">
        <v>0.0945789462919314</v>
      </c>
      <c r="T1189" s="147" t="n">
        <v>0.0285196428533495</v>
      </c>
    </row>
    <row r="1190" customFormat="false" ht="12.75" hidden="false" customHeight="true" outlineLevel="0" collapsed="false">
      <c r="P1190" s="1" t="n">
        <v>1187</v>
      </c>
      <c r="Q1190" s="147" t="n">
        <v>26674.100677112</v>
      </c>
      <c r="R1190" s="147" t="n">
        <v>0.269165826316339</v>
      </c>
      <c r="S1190" s="147" t="n">
        <v>0.0953037139763245</v>
      </c>
      <c r="T1190" s="147" t="n">
        <v>0.0278892538477516</v>
      </c>
    </row>
    <row r="1191" customFormat="false" ht="12.75" hidden="false" customHeight="true" outlineLevel="0" collapsed="false">
      <c r="P1191" s="1" t="n">
        <v>1188</v>
      </c>
      <c r="Q1191" s="147" t="n">
        <v>26696.677679145</v>
      </c>
      <c r="R1191" s="147" t="n">
        <v>0.267102290767226</v>
      </c>
      <c r="S1191" s="147" t="n">
        <v>0.0964600195628137</v>
      </c>
      <c r="T1191" s="147" t="n">
        <v>0.0279749589278165</v>
      </c>
    </row>
    <row r="1192" customFormat="false" ht="12.75" hidden="false" customHeight="true" outlineLevel="0" collapsed="false">
      <c r="P1192" s="1" t="n">
        <v>1189</v>
      </c>
      <c r="Q1192" s="147" t="n">
        <v>26719.358664386</v>
      </c>
      <c r="R1192" s="147" t="n">
        <v>0.26520520585409</v>
      </c>
      <c r="S1192" s="147" t="n">
        <v>0.0986214429910105</v>
      </c>
      <c r="T1192" s="147" t="n">
        <v>0.0271412208335563</v>
      </c>
    </row>
    <row r="1193" customFormat="false" ht="12.75" hidden="false" customHeight="true" outlineLevel="0" collapsed="false">
      <c r="P1193" s="1" t="n">
        <v>1190</v>
      </c>
      <c r="Q1193" s="147" t="n">
        <v>26742.125275891</v>
      </c>
      <c r="R1193" s="147" t="n">
        <v>0.26316111073442</v>
      </c>
      <c r="S1193" s="147" t="n">
        <v>0.0999636957953666</v>
      </c>
      <c r="T1193" s="147" t="n">
        <v>0.0267951161807016</v>
      </c>
    </row>
    <row r="1194" customFormat="false" ht="12.75" hidden="false" customHeight="true" outlineLevel="0" collapsed="false">
      <c r="P1194" s="1" t="n">
        <v>1191</v>
      </c>
      <c r="Q1194" s="147" t="n">
        <v>26764.888624919</v>
      </c>
      <c r="R1194" s="147" t="n">
        <v>0.261273959495351</v>
      </c>
      <c r="S1194" s="147" t="n">
        <v>0.100832457040681</v>
      </c>
      <c r="T1194" s="147" t="n">
        <v>0.0263129258189693</v>
      </c>
    </row>
    <row r="1195" customFormat="false" ht="12.75" hidden="false" customHeight="true" outlineLevel="0" collapsed="false">
      <c r="P1195" s="1" t="n">
        <v>1192</v>
      </c>
      <c r="Q1195" s="147" t="n">
        <v>26787.729181812</v>
      </c>
      <c r="R1195" s="147" t="n">
        <v>0.259785560200638</v>
      </c>
      <c r="S1195" s="147" t="n">
        <v>0.101086340338743</v>
      </c>
      <c r="T1195" s="147" t="n">
        <v>0.0260413685478091</v>
      </c>
    </row>
    <row r="1196" customFormat="false" ht="12.75" hidden="false" customHeight="true" outlineLevel="0" collapsed="false">
      <c r="P1196" s="1" t="n">
        <v>1193</v>
      </c>
      <c r="Q1196" s="147" t="n">
        <v>26809.839139036</v>
      </c>
      <c r="R1196" s="147" t="n">
        <v>0.258497731693471</v>
      </c>
      <c r="S1196" s="147" t="n">
        <v>0.101082933261209</v>
      </c>
      <c r="T1196" s="147" t="n">
        <v>0.0263927807726245</v>
      </c>
    </row>
    <row r="1197" customFormat="false" ht="12.75" hidden="false" customHeight="true" outlineLevel="0" collapsed="false">
      <c r="P1197" s="1" t="n">
        <v>1194</v>
      </c>
      <c r="Q1197" s="147" t="n">
        <v>26832.782588183</v>
      </c>
      <c r="R1197" s="147" t="n">
        <v>0.257504842529755</v>
      </c>
      <c r="S1197" s="147" t="n">
        <v>0.101570514529496</v>
      </c>
      <c r="T1197" s="147" t="n">
        <v>0.0254094954897862</v>
      </c>
    </row>
    <row r="1198" customFormat="false" ht="12.75" hidden="false" customHeight="true" outlineLevel="0" collapsed="false">
      <c r="P1198" s="1" t="n">
        <v>1195</v>
      </c>
      <c r="Q1198" s="147" t="n">
        <v>26855.461074015</v>
      </c>
      <c r="R1198" s="147" t="n">
        <v>0.257128560850819</v>
      </c>
      <c r="S1198" s="147" t="n">
        <v>0.103022441681737</v>
      </c>
      <c r="T1198" s="147" t="n">
        <v>0.0260060113501666</v>
      </c>
    </row>
    <row r="1199" customFormat="false" ht="12.75" hidden="false" customHeight="true" outlineLevel="0" collapsed="false">
      <c r="P1199" s="1" t="n">
        <v>1196</v>
      </c>
      <c r="Q1199" s="147" t="n">
        <v>26878.088876127</v>
      </c>
      <c r="R1199" s="147" t="n">
        <v>0.25736010201504</v>
      </c>
      <c r="S1199" s="147" t="n">
        <v>0.104131309594223</v>
      </c>
      <c r="T1199" s="147" t="n">
        <v>0.0262886792854838</v>
      </c>
    </row>
    <row r="1200" customFormat="false" ht="12.75" hidden="false" customHeight="true" outlineLevel="0" collapsed="false">
      <c r="P1200" s="1" t="n">
        <v>1197</v>
      </c>
      <c r="Q1200" s="147" t="n">
        <v>26901.061910189</v>
      </c>
      <c r="R1200" s="147" t="n">
        <v>0.257493766582058</v>
      </c>
      <c r="S1200" s="147" t="n">
        <v>0.104390680146097</v>
      </c>
      <c r="T1200" s="147" t="n">
        <v>0.0267653862798552</v>
      </c>
    </row>
    <row r="1201" customFormat="false" ht="12.75" hidden="false" customHeight="true" outlineLevel="0" collapsed="false">
      <c r="P1201" s="1" t="n">
        <v>1198</v>
      </c>
      <c r="Q1201" s="147" t="n">
        <v>26923.796839237</v>
      </c>
      <c r="R1201" s="147" t="n">
        <v>0.258249445670808</v>
      </c>
      <c r="S1201" s="147" t="n">
        <v>0.103417587371007</v>
      </c>
      <c r="T1201" s="147" t="n">
        <v>0.0269559578143871</v>
      </c>
    </row>
    <row r="1202" customFormat="false" ht="12.75" hidden="false" customHeight="true" outlineLevel="0" collapsed="false">
      <c r="P1202" s="1" t="n">
        <v>1199</v>
      </c>
      <c r="Q1202" s="147" t="n">
        <v>26946.442587219</v>
      </c>
      <c r="R1202" s="147" t="n">
        <v>0.259049851853591</v>
      </c>
      <c r="S1202" s="147" t="n">
        <v>0.100785440319733</v>
      </c>
      <c r="T1202" s="147" t="n">
        <v>0.0272427966583144</v>
      </c>
    </row>
    <row r="1203" customFormat="false" ht="12.75" hidden="false" customHeight="true" outlineLevel="0" collapsed="false">
      <c r="P1203" s="1" t="n">
        <v>1200</v>
      </c>
      <c r="Q1203" s="147" t="n">
        <v>26969.128049513</v>
      </c>
      <c r="R1203" s="147" t="n">
        <v>0.259816143833962</v>
      </c>
      <c r="S1203" s="147" t="n">
        <v>0.0969624856531117</v>
      </c>
      <c r="T1203" s="147" t="n">
        <v>0.0274354035227448</v>
      </c>
    </row>
    <row r="1204" customFormat="false" ht="12.75" hidden="false" customHeight="true" outlineLevel="0" collapsed="false">
      <c r="P1204" s="1" t="n">
        <v>1201</v>
      </c>
      <c r="Q1204" s="147" t="n">
        <v>26992.179272786</v>
      </c>
      <c r="R1204" s="147" t="n">
        <v>0.260663272214969</v>
      </c>
      <c r="S1204" s="147" t="n">
        <v>0.0923801075158367</v>
      </c>
      <c r="T1204" s="147" t="n">
        <v>0.0268581191974854</v>
      </c>
    </row>
    <row r="1205" customFormat="false" ht="12.75" hidden="false" customHeight="true" outlineLevel="0" collapsed="false">
      <c r="P1205" s="1" t="n">
        <v>1202</v>
      </c>
      <c r="Q1205" s="147" t="n">
        <v>27014.124687608</v>
      </c>
      <c r="R1205" s="147" t="n">
        <v>0.261249479184018</v>
      </c>
      <c r="S1205" s="147" t="n">
        <v>0.0902678823113515</v>
      </c>
      <c r="T1205" s="147" t="n">
        <v>0.0261661829349748</v>
      </c>
    </row>
    <row r="1206" customFormat="false" ht="12.75" hidden="false" customHeight="true" outlineLevel="0" collapsed="false">
      <c r="P1206" s="1" t="n">
        <v>1203</v>
      </c>
      <c r="Q1206" s="147" t="n">
        <v>27036.995900801</v>
      </c>
      <c r="R1206" s="147" t="n">
        <v>0.261468984928928</v>
      </c>
      <c r="S1206" s="147" t="n">
        <v>0.0825888381071379</v>
      </c>
      <c r="T1206" s="147" t="n">
        <v>0.02455922980905</v>
      </c>
    </row>
    <row r="1207" customFormat="false" ht="12.75" hidden="false" customHeight="true" outlineLevel="0" collapsed="false">
      <c r="P1207" s="1" t="n">
        <v>1204</v>
      </c>
      <c r="Q1207" s="147" t="n">
        <v>27059.078361733</v>
      </c>
      <c r="R1207" s="147" t="n">
        <v>0.26159019819646</v>
      </c>
      <c r="S1207" s="147" t="n">
        <v>0.0827539671741235</v>
      </c>
      <c r="T1207" s="147" t="n">
        <v>0.0237784166511387</v>
      </c>
    </row>
    <row r="1208" customFormat="false" ht="12.75" hidden="false" customHeight="true" outlineLevel="0" collapsed="false">
      <c r="P1208" s="1" t="n">
        <v>1205</v>
      </c>
      <c r="Q1208" s="147" t="n">
        <v>27082.105167062</v>
      </c>
      <c r="R1208" s="147" t="n">
        <v>0.260957434545841</v>
      </c>
      <c r="S1208" s="147" t="n">
        <v>0.0837767077971824</v>
      </c>
      <c r="T1208" s="147" t="n">
        <v>0.0220577818186879</v>
      </c>
    </row>
    <row r="1209" customFormat="false" ht="12.75" hidden="false" customHeight="true" outlineLevel="0" collapsed="false">
      <c r="P1209" s="1" t="n">
        <v>1206</v>
      </c>
      <c r="Q1209" s="147" t="n">
        <v>27104.68824659</v>
      </c>
      <c r="R1209" s="147" t="n">
        <v>0.260461548639042</v>
      </c>
      <c r="S1209" s="147" t="n">
        <v>0.08457442618658</v>
      </c>
      <c r="T1209" s="147" t="n">
        <v>0.0199349131259229</v>
      </c>
    </row>
    <row r="1210" customFormat="false" ht="12.75" hidden="false" customHeight="true" outlineLevel="0" collapsed="false">
      <c r="P1210" s="1" t="n">
        <v>1207</v>
      </c>
      <c r="Q1210" s="147" t="n">
        <v>27127.333234874</v>
      </c>
      <c r="R1210" s="147" t="n">
        <v>0.259452986066247</v>
      </c>
      <c r="S1210" s="147" t="n">
        <v>0.0858941936291468</v>
      </c>
      <c r="T1210" s="147" t="n">
        <v>0.0180628708211712</v>
      </c>
    </row>
    <row r="1211" customFormat="false" ht="12.75" hidden="false" customHeight="true" outlineLevel="0" collapsed="false">
      <c r="P1211" s="1" t="n">
        <v>1208</v>
      </c>
      <c r="Q1211" s="147" t="n">
        <v>27149.928000777</v>
      </c>
      <c r="R1211" s="147" t="n">
        <v>0.258483236677</v>
      </c>
      <c r="S1211" s="147" t="n">
        <v>0.0856463969398343</v>
      </c>
      <c r="T1211" s="147" t="n">
        <v>0.0162965964774793</v>
      </c>
    </row>
    <row r="1212" customFormat="false" ht="12.75" hidden="false" customHeight="true" outlineLevel="0" collapsed="false">
      <c r="P1212" s="1" t="n">
        <v>1209</v>
      </c>
      <c r="Q1212" s="147" t="n">
        <v>27172.551625286</v>
      </c>
      <c r="R1212" s="147" t="n">
        <v>0.25716589706813</v>
      </c>
      <c r="S1212" s="147" t="n">
        <v>0.0849010745980338</v>
      </c>
      <c r="T1212" s="147" t="n">
        <v>0.0148350382035194</v>
      </c>
    </row>
    <row r="1213" customFormat="false" ht="12.75" hidden="false" customHeight="true" outlineLevel="0" collapsed="false">
      <c r="P1213" s="1" t="n">
        <v>1210</v>
      </c>
      <c r="Q1213" s="147" t="n">
        <v>27195.227294559</v>
      </c>
      <c r="R1213" s="147" t="n">
        <v>0.256087687730949</v>
      </c>
      <c r="S1213" s="147" t="n">
        <v>0.0831349175886337</v>
      </c>
      <c r="T1213" s="147" t="n">
        <v>0.01337260861375</v>
      </c>
    </row>
    <row r="1214" customFormat="false" ht="12.75" hidden="false" customHeight="true" outlineLevel="0" collapsed="false">
      <c r="P1214" s="1" t="n">
        <v>1211</v>
      </c>
      <c r="Q1214" s="147" t="n">
        <v>27217.722145145</v>
      </c>
      <c r="R1214" s="147" t="n">
        <v>0.255205365092119</v>
      </c>
      <c r="S1214" s="147" t="n">
        <v>0.0811104756393243</v>
      </c>
      <c r="T1214" s="147" t="n">
        <v>0.0119830511249912</v>
      </c>
    </row>
    <row r="1215" customFormat="false" ht="12.75" hidden="false" customHeight="true" outlineLevel="0" collapsed="false">
      <c r="P1215" s="1" t="n">
        <v>1212</v>
      </c>
      <c r="Q1215" s="147" t="n">
        <v>27240.083808607</v>
      </c>
      <c r="R1215" s="147" t="n">
        <v>0.254598702667343</v>
      </c>
      <c r="S1215" s="147" t="n">
        <v>0.0780110560728375</v>
      </c>
      <c r="T1215" s="147" t="n">
        <v>0.0105788918588684</v>
      </c>
    </row>
    <row r="1216" customFormat="false" ht="12.75" hidden="false" customHeight="true" outlineLevel="0" collapsed="false">
      <c r="P1216" s="1" t="n">
        <v>1213</v>
      </c>
      <c r="Q1216" s="147" t="n">
        <v>27262.214942696</v>
      </c>
      <c r="R1216" s="147" t="n">
        <v>0.254516044116031</v>
      </c>
      <c r="S1216" s="147" t="n">
        <v>0.0742419194498197</v>
      </c>
      <c r="T1216" s="147" t="n">
        <v>0.00912398476280593</v>
      </c>
    </row>
    <row r="1217" customFormat="false" ht="12.75" hidden="false" customHeight="true" outlineLevel="0" collapsed="false">
      <c r="P1217" s="1" t="n">
        <v>1214</v>
      </c>
      <c r="Q1217" s="147" t="n">
        <v>27284.436809869</v>
      </c>
      <c r="R1217" s="147" t="n">
        <v>0.254984369389274</v>
      </c>
      <c r="S1217" s="147" t="n">
        <v>0.0703961946024869</v>
      </c>
      <c r="T1217" s="147" t="n">
        <v>0.00781993125737139</v>
      </c>
    </row>
    <row r="1218" customFormat="false" ht="12.75" hidden="false" customHeight="true" outlineLevel="0" collapsed="false">
      <c r="P1218" s="1" t="n">
        <v>1215</v>
      </c>
      <c r="Q1218" s="147" t="n">
        <v>27307.269721672</v>
      </c>
      <c r="R1218" s="147" t="n">
        <v>0.255791263528655</v>
      </c>
      <c r="S1218" s="147" t="n">
        <v>0.0693195704771692</v>
      </c>
      <c r="T1218" s="147" t="n">
        <v>0.00704017413901607</v>
      </c>
    </row>
    <row r="1219" customFormat="false" ht="12.75" hidden="false" customHeight="true" outlineLevel="0" collapsed="false">
      <c r="P1219" s="1" t="n">
        <v>1216</v>
      </c>
      <c r="Q1219" s="147" t="n">
        <v>27329.557807044</v>
      </c>
      <c r="R1219" s="147" t="n">
        <v>0.256663894233706</v>
      </c>
      <c r="S1219" s="147" t="n">
        <v>0.0692588866244302</v>
      </c>
      <c r="T1219" s="147" t="n">
        <v>0.00593988994269026</v>
      </c>
    </row>
    <row r="1220" customFormat="false" ht="12.75" hidden="false" customHeight="true" outlineLevel="0" collapsed="false">
      <c r="P1220" s="1" t="n">
        <v>1217</v>
      </c>
      <c r="Q1220" s="147" t="n">
        <v>27352.054405804</v>
      </c>
      <c r="R1220" s="147" t="n">
        <v>0.257869200430883</v>
      </c>
      <c r="S1220" s="147" t="n">
        <v>0.0683756689573555</v>
      </c>
      <c r="T1220" s="147" t="n">
        <v>0.00484640531179125</v>
      </c>
    </row>
    <row r="1221" customFormat="false" ht="12.75" hidden="false" customHeight="true" outlineLevel="0" collapsed="false">
      <c r="P1221" s="1" t="n">
        <v>1218</v>
      </c>
      <c r="Q1221" s="147" t="n">
        <v>27374.758573125</v>
      </c>
      <c r="R1221" s="147" t="n">
        <v>0.259544444139594</v>
      </c>
      <c r="S1221" s="147" t="n">
        <v>0.0674359517194393</v>
      </c>
      <c r="T1221" s="147" t="n">
        <v>0.00416920720571033</v>
      </c>
    </row>
    <row r="1222" customFormat="false" ht="12.75" hidden="false" customHeight="true" outlineLevel="0" collapsed="false">
      <c r="P1222" s="1" t="n">
        <v>1219</v>
      </c>
      <c r="Q1222" s="147" t="n">
        <v>27397.140339607</v>
      </c>
      <c r="R1222" s="147" t="n">
        <v>0.261225539251797</v>
      </c>
      <c r="S1222" s="147" t="n">
        <v>0.0670156022650646</v>
      </c>
      <c r="T1222" s="147" t="n">
        <v>0.00395595125966099</v>
      </c>
    </row>
    <row r="1223" customFormat="false" ht="12.75" hidden="false" customHeight="true" outlineLevel="0" collapsed="false">
      <c r="P1223" s="1" t="n">
        <v>1220</v>
      </c>
      <c r="Q1223" s="147" t="n">
        <v>27419.421590225</v>
      </c>
      <c r="R1223" s="147" t="n">
        <v>0.262832513338095</v>
      </c>
      <c r="S1223" s="147" t="n">
        <v>0.0668756678796208</v>
      </c>
      <c r="T1223" s="147" t="n">
        <v>0.00458963765137522</v>
      </c>
    </row>
    <row r="1224" customFormat="false" ht="12.75" hidden="false" customHeight="true" outlineLevel="0" collapsed="false">
      <c r="P1224" s="1" t="n">
        <v>1221</v>
      </c>
      <c r="Q1224" s="147" t="n">
        <v>27441.651960914</v>
      </c>
      <c r="R1224" s="147" t="n">
        <v>0.264487280762624</v>
      </c>
      <c r="S1224" s="147" t="n">
        <v>0.0676252335515524</v>
      </c>
      <c r="T1224" s="147" t="n">
        <v>0.00624812244681469</v>
      </c>
    </row>
    <row r="1225" customFormat="false" ht="12.75" hidden="false" customHeight="true" outlineLevel="0" collapsed="false">
      <c r="P1225" s="1" t="n">
        <v>1222</v>
      </c>
      <c r="Q1225" s="147" t="n">
        <v>27463.364571074</v>
      </c>
      <c r="R1225" s="147" t="n">
        <v>0.265685093925824</v>
      </c>
      <c r="S1225" s="147" t="n">
        <v>0.0685682598917042</v>
      </c>
      <c r="T1225" s="147" t="n">
        <v>0.00851643023915159</v>
      </c>
    </row>
    <row r="1226" customFormat="false" ht="12.75" hidden="false" customHeight="true" outlineLevel="0" collapsed="false">
      <c r="P1226" s="1" t="n">
        <v>1223</v>
      </c>
      <c r="Q1226" s="147" t="n">
        <v>27485.616155649</v>
      </c>
      <c r="R1226" s="147" t="n">
        <v>0.266323148054244</v>
      </c>
      <c r="S1226" s="147" t="n">
        <v>0.0703125501177094</v>
      </c>
      <c r="T1226" s="147" t="n">
        <v>0.0109345176640926</v>
      </c>
    </row>
    <row r="1227" customFormat="false" ht="12.75" hidden="false" customHeight="true" outlineLevel="0" collapsed="false">
      <c r="P1227" s="1" t="n">
        <v>1224</v>
      </c>
      <c r="Q1227" s="147" t="n">
        <v>27507.974559833</v>
      </c>
      <c r="R1227" s="147" t="n">
        <v>0.266521006533534</v>
      </c>
      <c r="S1227" s="147" t="n">
        <v>0.070990281413581</v>
      </c>
      <c r="T1227" s="147" t="n">
        <v>0.0128454666027911</v>
      </c>
    </row>
    <row r="1228" customFormat="false" ht="12.75" hidden="false" customHeight="true" outlineLevel="0" collapsed="false">
      <c r="P1228" s="1" t="n">
        <v>1225</v>
      </c>
      <c r="Q1228" s="147" t="n">
        <v>27530.510668626</v>
      </c>
      <c r="R1228" s="147" t="n">
        <v>0.266370414523423</v>
      </c>
      <c r="S1228" s="147" t="n">
        <v>0.0700761059060746</v>
      </c>
      <c r="T1228" s="147" t="n">
        <v>0.014325267105957</v>
      </c>
    </row>
    <row r="1229" customFormat="false" ht="12.75" hidden="false" customHeight="true" outlineLevel="0" collapsed="false">
      <c r="P1229" s="1" t="n">
        <v>1226</v>
      </c>
      <c r="Q1229" s="147" t="n">
        <v>27553.070419497</v>
      </c>
      <c r="R1229" s="147" t="n">
        <v>0.265505518422808</v>
      </c>
      <c r="S1229" s="147" t="n">
        <v>0.0709617288808354</v>
      </c>
      <c r="T1229" s="147" t="n">
        <v>0.0156548886973082</v>
      </c>
    </row>
    <row r="1230" customFormat="false" ht="12.75" hidden="false" customHeight="true" outlineLevel="0" collapsed="false">
      <c r="P1230" s="1" t="n">
        <v>1227</v>
      </c>
      <c r="Q1230" s="147" t="n">
        <v>27575.585878194</v>
      </c>
      <c r="R1230" s="147" t="n">
        <v>0.264295398105033</v>
      </c>
      <c r="S1230" s="147" t="n">
        <v>0.0717725349356255</v>
      </c>
      <c r="T1230" s="147" t="n">
        <v>0.0163583991006811</v>
      </c>
    </row>
    <row r="1231" customFormat="false" ht="12.75" hidden="false" customHeight="true" outlineLevel="0" collapsed="false">
      <c r="P1231" s="1" t="n">
        <v>1228</v>
      </c>
      <c r="Q1231" s="147" t="n">
        <v>27598.063737977</v>
      </c>
      <c r="R1231" s="147" t="n">
        <v>0.263032212188042</v>
      </c>
      <c r="S1231" s="147" t="n">
        <v>0.0716995315238236</v>
      </c>
      <c r="T1231" s="147" t="n">
        <v>0.0170849179150927</v>
      </c>
    </row>
    <row r="1232" customFormat="false" ht="12.75" hidden="false" customHeight="true" outlineLevel="0" collapsed="false">
      <c r="P1232" s="1" t="n">
        <v>1229</v>
      </c>
      <c r="Q1232" s="147" t="n">
        <v>27620.476436637</v>
      </c>
      <c r="R1232" s="147" t="n">
        <v>0.261935859045777</v>
      </c>
      <c r="S1232" s="147" t="n">
        <v>0.0705891926051693</v>
      </c>
      <c r="T1232" s="147" t="n">
        <v>0.0176457421192685</v>
      </c>
    </row>
    <row r="1233" customFormat="false" ht="12.75" hidden="false" customHeight="true" outlineLevel="0" collapsed="false">
      <c r="P1233" s="1" t="n">
        <v>1230</v>
      </c>
      <c r="Q1233" s="147" t="n">
        <v>27642.844382444</v>
      </c>
      <c r="R1233" s="147" t="n">
        <v>0.261357027303678</v>
      </c>
      <c r="S1233" s="147" t="n">
        <v>0.0686050635055434</v>
      </c>
      <c r="T1233" s="147" t="n">
        <v>0.0178453403239428</v>
      </c>
    </row>
    <row r="1234" customFormat="false" ht="12.75" hidden="false" customHeight="true" outlineLevel="0" collapsed="false">
      <c r="P1234" s="1" t="n">
        <v>1231</v>
      </c>
      <c r="Q1234" s="147" t="n">
        <v>27665.367816527</v>
      </c>
      <c r="R1234" s="147" t="n">
        <v>0.261427184470195</v>
      </c>
      <c r="S1234" s="147" t="n">
        <v>0.0666268610592735</v>
      </c>
      <c r="T1234" s="147" t="n">
        <v>0.0182653423511931</v>
      </c>
    </row>
    <row r="1235" customFormat="false" ht="12.75" hidden="false" customHeight="true" outlineLevel="0" collapsed="false">
      <c r="P1235" s="1" t="n">
        <v>1232</v>
      </c>
      <c r="Q1235" s="147" t="n">
        <v>27687.923970042</v>
      </c>
      <c r="R1235" s="147" t="n">
        <v>0.262155676350954</v>
      </c>
      <c r="S1235" s="147" t="n">
        <v>0.0657652922659108</v>
      </c>
      <c r="T1235" s="147" t="n">
        <v>0.0188923920419825</v>
      </c>
    </row>
    <row r="1236" customFormat="false" ht="12.75" hidden="false" customHeight="true" outlineLevel="0" collapsed="false">
      <c r="P1236" s="1" t="n">
        <v>1233</v>
      </c>
      <c r="Q1236" s="147" t="n">
        <v>27710.602779462</v>
      </c>
      <c r="R1236" s="147" t="n">
        <v>0.26319358329814</v>
      </c>
      <c r="S1236" s="147" t="n">
        <v>0.0669707850648402</v>
      </c>
      <c r="T1236" s="147" t="n">
        <v>0.0197389915010004</v>
      </c>
    </row>
    <row r="1237" customFormat="false" ht="12.75" hidden="false" customHeight="true" outlineLevel="0" collapsed="false">
      <c r="P1237" s="1" t="n">
        <v>1234</v>
      </c>
      <c r="Q1237" s="147" t="n">
        <v>27733.243548013</v>
      </c>
      <c r="R1237" s="147" t="n">
        <v>0.264755175853025</v>
      </c>
      <c r="S1237" s="147" t="n">
        <v>0.0695386144785928</v>
      </c>
      <c r="T1237" s="147" t="n">
        <v>0.020522944289598</v>
      </c>
    </row>
    <row r="1238" customFormat="false" ht="12.75" hidden="false" customHeight="true" outlineLevel="0" collapsed="false">
      <c r="P1238" s="1" t="n">
        <v>1235</v>
      </c>
      <c r="Q1238" s="147" t="n">
        <v>27755.997795198</v>
      </c>
      <c r="R1238" s="147" t="n">
        <v>0.266380249534391</v>
      </c>
      <c r="S1238" s="147" t="n">
        <v>0.0745007797370224</v>
      </c>
      <c r="T1238" s="147" t="n">
        <v>0.0213982950325529</v>
      </c>
    </row>
    <row r="1239" customFormat="false" ht="12.75" hidden="false" customHeight="true" outlineLevel="0" collapsed="false">
      <c r="P1239" s="1" t="n">
        <v>1236</v>
      </c>
      <c r="Q1239" s="147" t="n">
        <v>27778.702928847</v>
      </c>
      <c r="R1239" s="147" t="n">
        <v>0.268455845255935</v>
      </c>
      <c r="S1239" s="147" t="n">
        <v>0.0791766813878398</v>
      </c>
      <c r="T1239" s="147" t="n">
        <v>0.0222584668687717</v>
      </c>
    </row>
    <row r="1240" customFormat="false" ht="12.75" hidden="false" customHeight="true" outlineLevel="0" collapsed="false">
      <c r="P1240" s="1" t="n">
        <v>1237</v>
      </c>
      <c r="Q1240" s="147" t="n">
        <v>27801.46807186</v>
      </c>
      <c r="R1240" s="147" t="n">
        <v>0.270018782458483</v>
      </c>
      <c r="S1240" s="147" t="n">
        <v>0.0860597032902669</v>
      </c>
      <c r="T1240" s="147" t="n">
        <v>0.023808880247643</v>
      </c>
    </row>
    <row r="1241" customFormat="false" ht="12.75" hidden="false" customHeight="true" outlineLevel="0" collapsed="false">
      <c r="P1241" s="1" t="n">
        <v>1238</v>
      </c>
      <c r="Q1241" s="147" t="n">
        <v>27823.92008031</v>
      </c>
      <c r="R1241" s="147" t="n">
        <v>0.272089227542405</v>
      </c>
      <c r="S1241" s="147" t="n">
        <v>0.0911964974729667</v>
      </c>
      <c r="T1241" s="147" t="n">
        <v>0.0250361260405463</v>
      </c>
    </row>
    <row r="1242" customFormat="false" ht="12.75" hidden="false" customHeight="true" outlineLevel="0" collapsed="false">
      <c r="P1242" s="1" t="n">
        <v>1239</v>
      </c>
      <c r="Q1242" s="147" t="n">
        <v>27846.527457815</v>
      </c>
      <c r="R1242" s="147" t="n">
        <v>0.272772684948257</v>
      </c>
      <c r="S1242" s="147" t="n">
        <v>0.0972946801363026</v>
      </c>
      <c r="T1242" s="147" t="n">
        <v>0.0275632319498175</v>
      </c>
    </row>
    <row r="1243" customFormat="false" ht="12.75" hidden="false" customHeight="true" outlineLevel="0" collapsed="false">
      <c r="P1243" s="1" t="n">
        <v>1240</v>
      </c>
      <c r="Q1243" s="147" t="n">
        <v>27868.553264528</v>
      </c>
      <c r="R1243" s="147" t="n">
        <v>0.273777881228807</v>
      </c>
      <c r="S1243" s="147" t="n">
        <v>0.100638571054783</v>
      </c>
      <c r="T1243" s="147" t="n">
        <v>0.0291484476564992</v>
      </c>
    </row>
    <row r="1244" customFormat="false" ht="12.75" hidden="false" customHeight="true" outlineLevel="0" collapsed="false">
      <c r="P1244" s="1" t="n">
        <v>1241</v>
      </c>
      <c r="Q1244" s="147" t="n">
        <v>27891.193288145</v>
      </c>
      <c r="R1244" s="147" t="n">
        <v>0.273655955078551</v>
      </c>
      <c r="S1244" s="147" t="n">
        <v>0.106425383412068</v>
      </c>
      <c r="T1244" s="147" t="n">
        <v>0.0320428064862866</v>
      </c>
    </row>
    <row r="1245" customFormat="false" ht="12.75" hidden="false" customHeight="true" outlineLevel="0" collapsed="false">
      <c r="P1245" s="1" t="n">
        <v>1242</v>
      </c>
      <c r="Q1245" s="147" t="n">
        <v>27913.651496959</v>
      </c>
      <c r="R1245" s="147" t="n">
        <v>0.272645819619969</v>
      </c>
      <c r="S1245" s="147" t="n">
        <v>0.109902765143329</v>
      </c>
      <c r="T1245" s="147" t="n">
        <v>0.0340373888408208</v>
      </c>
    </row>
    <row r="1246" customFormat="false" ht="12.75" hidden="false" customHeight="true" outlineLevel="0" collapsed="false">
      <c r="P1246" s="1" t="n">
        <v>1243</v>
      </c>
      <c r="Q1246" s="147" t="n">
        <v>27936.122207404</v>
      </c>
      <c r="R1246" s="147" t="n">
        <v>0.271676410487417</v>
      </c>
      <c r="S1246" s="147" t="n">
        <v>0.110295628260708</v>
      </c>
      <c r="T1246" s="147" t="n">
        <v>0.0349998036171032</v>
      </c>
    </row>
    <row r="1247" customFormat="false" ht="12.75" hidden="false" customHeight="true" outlineLevel="0" collapsed="false">
      <c r="P1247" s="1" t="n">
        <v>1244</v>
      </c>
      <c r="Q1247" s="147" t="n">
        <v>27959.282674694</v>
      </c>
      <c r="R1247" s="147" t="n">
        <v>0.269925319452212</v>
      </c>
      <c r="S1247" s="147" t="n">
        <v>0.109845976059442</v>
      </c>
      <c r="T1247" s="147" t="n">
        <v>0.0354809962092921</v>
      </c>
    </row>
    <row r="1248" customFormat="false" ht="12.75" hidden="false" customHeight="true" outlineLevel="0" collapsed="false">
      <c r="P1248" s="1" t="n">
        <v>1245</v>
      </c>
      <c r="Q1248" s="147" t="n">
        <v>27981.807307806</v>
      </c>
      <c r="R1248" s="147" t="n">
        <v>0.26811099011986</v>
      </c>
      <c r="S1248" s="147" t="n">
        <v>0.108835625345916</v>
      </c>
      <c r="T1248" s="147" t="n">
        <v>0.0352425029411961</v>
      </c>
    </row>
    <row r="1249" customFormat="false" ht="12.75" hidden="false" customHeight="true" outlineLevel="0" collapsed="false">
      <c r="P1249" s="1" t="n">
        <v>1246</v>
      </c>
      <c r="Q1249" s="147" t="n">
        <v>28004.147802956</v>
      </c>
      <c r="R1249" s="147" t="n">
        <v>0.26596386593167</v>
      </c>
      <c r="S1249" s="147" t="n">
        <v>0.106300154435249</v>
      </c>
      <c r="T1249" s="147" t="n">
        <v>0.0346849654732713</v>
      </c>
    </row>
    <row r="1250" customFormat="false" ht="12.75" hidden="false" customHeight="true" outlineLevel="0" collapsed="false">
      <c r="P1250" s="1" t="n">
        <v>1247</v>
      </c>
      <c r="Q1250" s="147" t="n">
        <v>28026.796539838</v>
      </c>
      <c r="R1250" s="147" t="n">
        <v>0.264336100304328</v>
      </c>
      <c r="S1250" s="147" t="n">
        <v>0.102464075192899</v>
      </c>
      <c r="T1250" s="147" t="n">
        <v>0.033815876675137</v>
      </c>
    </row>
    <row r="1251" customFormat="false" ht="12.75" hidden="false" customHeight="true" outlineLevel="0" collapsed="false">
      <c r="P1251" s="1" t="n">
        <v>1248</v>
      </c>
      <c r="Q1251" s="147" t="n">
        <v>28049.338534872</v>
      </c>
      <c r="R1251" s="147" t="n">
        <v>0.262991819195844</v>
      </c>
      <c r="S1251" s="147" t="n">
        <v>0.0990671551209729</v>
      </c>
      <c r="T1251" s="147" t="n">
        <v>0.0330936607483291</v>
      </c>
    </row>
    <row r="1252" customFormat="false" ht="12.75" hidden="false" customHeight="true" outlineLevel="0" collapsed="false">
      <c r="P1252" s="1" t="n">
        <v>1249</v>
      </c>
      <c r="Q1252" s="147" t="n">
        <v>28072.151043806</v>
      </c>
      <c r="R1252" s="147" t="n">
        <v>0.262494342430043</v>
      </c>
      <c r="S1252" s="147" t="n">
        <v>0.0940033835920437</v>
      </c>
      <c r="T1252" s="147" t="n">
        <v>0.032087394498707</v>
      </c>
    </row>
    <row r="1253" customFormat="false" ht="12.75" hidden="false" customHeight="true" outlineLevel="0" collapsed="false">
      <c r="P1253" s="1" t="n">
        <v>1250</v>
      </c>
      <c r="Q1253" s="147" t="n">
        <v>28094.728635209</v>
      </c>
      <c r="R1253" s="147" t="n">
        <v>0.262251508474982</v>
      </c>
      <c r="S1253" s="147" t="n">
        <v>0.0893355665525602</v>
      </c>
      <c r="T1253" s="147" t="n">
        <v>0.0311120446643785</v>
      </c>
    </row>
    <row r="1254" customFormat="false" ht="12.75" hidden="false" customHeight="true" outlineLevel="0" collapsed="false">
      <c r="P1254" s="1" t="n">
        <v>1251</v>
      </c>
      <c r="Q1254" s="147" t="n">
        <v>28117.246405699</v>
      </c>
      <c r="R1254" s="147" t="n">
        <v>0.263047657473788</v>
      </c>
      <c r="S1254" s="147" t="n">
        <v>0.0835086294481698</v>
      </c>
      <c r="T1254" s="147" t="n">
        <v>0.0302006533483538</v>
      </c>
    </row>
    <row r="1255" customFormat="false" ht="12.75" hidden="false" customHeight="true" outlineLevel="0" collapsed="false">
      <c r="P1255" s="1" t="n">
        <v>1252</v>
      </c>
      <c r="Q1255" s="147" t="n">
        <v>28140.125290781</v>
      </c>
      <c r="R1255" s="147" t="n">
        <v>0.263920024368023</v>
      </c>
      <c r="S1255" s="147" t="n">
        <v>0.0792466317142324</v>
      </c>
      <c r="T1255" s="147" t="n">
        <v>0.0296131256272696</v>
      </c>
    </row>
    <row r="1256" customFormat="false" ht="12.75" hidden="false" customHeight="true" outlineLevel="0" collapsed="false">
      <c r="P1256" s="1" t="n">
        <v>1253</v>
      </c>
      <c r="Q1256" s="147" t="n">
        <v>28163.081040519</v>
      </c>
      <c r="R1256" s="147" t="n">
        <v>0.26528334250644</v>
      </c>
      <c r="S1256" s="147" t="n">
        <v>0.076652049750215</v>
      </c>
      <c r="T1256" s="147" t="n">
        <v>0.0286985533046632</v>
      </c>
    </row>
    <row r="1257" customFormat="false" ht="12.75" hidden="false" customHeight="true" outlineLevel="0" collapsed="false">
      <c r="P1257" s="1" t="n">
        <v>1254</v>
      </c>
      <c r="Q1257" s="147" t="n">
        <v>28186.128336266</v>
      </c>
      <c r="R1257" s="147" t="n">
        <v>0.26713895662005</v>
      </c>
      <c r="S1257" s="147" t="n">
        <v>0.0749558166217445</v>
      </c>
      <c r="T1257" s="147" t="n">
        <v>0.0282262752160006</v>
      </c>
    </row>
    <row r="1258" customFormat="false" ht="12.75" hidden="false" customHeight="true" outlineLevel="0" collapsed="false">
      <c r="P1258" s="1" t="n">
        <v>1255</v>
      </c>
      <c r="Q1258" s="147" t="n">
        <v>28208.910068632</v>
      </c>
      <c r="R1258" s="147" t="n">
        <v>0.268931423068628</v>
      </c>
      <c r="S1258" s="147" t="n">
        <v>0.074566719306193</v>
      </c>
      <c r="T1258" s="147" t="n">
        <v>0.0277692125275486</v>
      </c>
    </row>
    <row r="1259" customFormat="false" ht="12.75" hidden="false" customHeight="true" outlineLevel="0" collapsed="false">
      <c r="P1259" s="1" t="n">
        <v>1256</v>
      </c>
      <c r="Q1259" s="147" t="n">
        <v>28231.473616713</v>
      </c>
      <c r="R1259" s="147" t="n">
        <v>0.270615071739006</v>
      </c>
      <c r="S1259" s="147" t="n">
        <v>0.0748009099366806</v>
      </c>
      <c r="T1259" s="147" t="n">
        <v>0.0276612311588386</v>
      </c>
    </row>
    <row r="1260" customFormat="false" ht="12.75" hidden="false" customHeight="true" outlineLevel="0" collapsed="false">
      <c r="P1260" s="1" t="n">
        <v>1257</v>
      </c>
      <c r="Q1260" s="147" t="n">
        <v>28254.16921317</v>
      </c>
      <c r="R1260" s="147" t="n">
        <v>0.271847631346031</v>
      </c>
      <c r="S1260" s="147" t="n">
        <v>0.0757276058456142</v>
      </c>
      <c r="T1260" s="147" t="n">
        <v>0.0279901794478263</v>
      </c>
    </row>
    <row r="1261" customFormat="false" ht="12.75" hidden="false" customHeight="true" outlineLevel="0" collapsed="false">
      <c r="P1261" s="1" t="n">
        <v>1258</v>
      </c>
      <c r="Q1261" s="147" t="n">
        <v>28276.514904079</v>
      </c>
      <c r="R1261" s="147" t="n">
        <v>0.272569001519773</v>
      </c>
      <c r="S1261" s="147" t="n">
        <v>0.0776765609379678</v>
      </c>
      <c r="T1261" s="147" t="n">
        <v>0.0285782693479452</v>
      </c>
    </row>
    <row r="1262" customFormat="false" ht="12.75" hidden="false" customHeight="true" outlineLevel="0" collapsed="false">
      <c r="P1262" s="1" t="n">
        <v>1259</v>
      </c>
      <c r="Q1262" s="147" t="n">
        <v>28299.273332668</v>
      </c>
      <c r="R1262" s="147" t="n">
        <v>0.272298351107674</v>
      </c>
      <c r="S1262" s="147" t="n">
        <v>0.0820226394711967</v>
      </c>
      <c r="T1262" s="147" t="n">
        <v>0.0295672093285166</v>
      </c>
    </row>
    <row r="1263" customFormat="false" ht="12.75" hidden="false" customHeight="true" outlineLevel="0" collapsed="false">
      <c r="P1263" s="1" t="n">
        <v>1260</v>
      </c>
      <c r="Q1263" s="147" t="n">
        <v>28322.149465911</v>
      </c>
      <c r="R1263" s="147" t="n">
        <v>0.271490742796401</v>
      </c>
      <c r="S1263" s="147" t="n">
        <v>0.0910488092457249</v>
      </c>
      <c r="T1263" s="147" t="n">
        <v>0.0303665525774964</v>
      </c>
    </row>
    <row r="1264" customFormat="false" ht="12.75" hidden="false" customHeight="true" outlineLevel="0" collapsed="false">
      <c r="P1264" s="1" t="n">
        <v>1261</v>
      </c>
      <c r="Q1264" s="147" t="n">
        <v>28345.287683678</v>
      </c>
      <c r="R1264" s="147" t="n">
        <v>0.270705589783047</v>
      </c>
      <c r="S1264" s="147" t="n">
        <v>0.100671365973387</v>
      </c>
      <c r="T1264" s="147" t="n">
        <v>0.0305348786624059</v>
      </c>
    </row>
    <row r="1265" customFormat="false" ht="12.75" hidden="false" customHeight="true" outlineLevel="0" collapsed="false">
      <c r="P1265" s="1" t="n">
        <v>1262</v>
      </c>
      <c r="Q1265" s="147" t="n">
        <v>28368.127266216</v>
      </c>
      <c r="R1265" s="147" t="n">
        <v>0.269926563208839</v>
      </c>
      <c r="S1265" s="147" t="n">
        <v>0.106689046923696</v>
      </c>
      <c r="T1265" s="147" t="n">
        <v>0.0311179867081911</v>
      </c>
    </row>
    <row r="1266" customFormat="false" ht="12.75" hidden="false" customHeight="true" outlineLevel="0" collapsed="false">
      <c r="P1266" s="1" t="n">
        <v>1263</v>
      </c>
      <c r="Q1266" s="147" t="n">
        <v>28390.809266756</v>
      </c>
      <c r="R1266" s="147" t="n">
        <v>0.268715572288361</v>
      </c>
      <c r="S1266" s="147" t="n">
        <v>0.112746367193677</v>
      </c>
      <c r="T1266" s="147" t="n">
        <v>0.0309421658987672</v>
      </c>
    </row>
    <row r="1267" customFormat="false" ht="12.75" hidden="false" customHeight="true" outlineLevel="0" collapsed="false">
      <c r="P1267" s="1" t="n">
        <v>1264</v>
      </c>
      <c r="Q1267" s="147" t="n">
        <v>28413.516762535</v>
      </c>
      <c r="R1267" s="147" t="n">
        <v>0.268225910981139</v>
      </c>
      <c r="S1267" s="147" t="n">
        <v>0.115520243738246</v>
      </c>
      <c r="T1267" s="147" t="n">
        <v>0.0313588900485276</v>
      </c>
    </row>
    <row r="1268" customFormat="false" ht="12.75" hidden="false" customHeight="true" outlineLevel="0" collapsed="false">
      <c r="P1268" s="1" t="n">
        <v>1265</v>
      </c>
      <c r="Q1268" s="147" t="n">
        <v>28436.495303815</v>
      </c>
      <c r="R1268" s="147" t="n">
        <v>0.267978433707472</v>
      </c>
      <c r="S1268" s="147" t="n">
        <v>0.115659171048091</v>
      </c>
      <c r="T1268" s="147" t="n">
        <v>0.0308532984856919</v>
      </c>
    </row>
    <row r="1269" customFormat="false" ht="12.75" hidden="false" customHeight="true" outlineLevel="0" collapsed="false">
      <c r="P1269" s="1" t="n">
        <v>1266</v>
      </c>
      <c r="Q1269" s="147" t="n">
        <v>28459.437546067</v>
      </c>
      <c r="R1269" s="147" t="n">
        <v>0.268385665588197</v>
      </c>
      <c r="S1269" s="147" t="n">
        <v>0.110211112763065</v>
      </c>
      <c r="T1269" s="147" t="n">
        <v>0.0296965316416746</v>
      </c>
    </row>
    <row r="1270" customFormat="false" ht="12.75" hidden="false" customHeight="true" outlineLevel="0" collapsed="false">
      <c r="P1270" s="1" t="n">
        <v>1267</v>
      </c>
      <c r="Q1270" s="147" t="n">
        <v>28482.697404544</v>
      </c>
      <c r="R1270" s="147" t="n">
        <v>0.268825584662843</v>
      </c>
      <c r="S1270" s="147" t="n">
        <v>0.101463214020701</v>
      </c>
      <c r="T1270" s="147" t="n">
        <v>0.0288081078943771</v>
      </c>
    </row>
    <row r="1271" customFormat="false" ht="12.75" hidden="false" customHeight="true" outlineLevel="0" collapsed="false">
      <c r="P1271" s="1" t="n">
        <v>1268</v>
      </c>
      <c r="Q1271" s="147" t="n">
        <v>28505.729297672</v>
      </c>
      <c r="R1271" s="147" t="n">
        <v>0.26931888358248</v>
      </c>
      <c r="S1271" s="147" t="n">
        <v>0.0944642004420073</v>
      </c>
      <c r="T1271" s="147" t="n">
        <v>0.0275313576182715</v>
      </c>
    </row>
    <row r="1272" customFormat="false" ht="12.75" hidden="false" customHeight="true" outlineLevel="0" collapsed="false">
      <c r="P1272" s="1" t="n">
        <v>1269</v>
      </c>
      <c r="Q1272" s="147" t="n">
        <v>28528.678804225</v>
      </c>
      <c r="R1272" s="147" t="n">
        <v>0.269715864143865</v>
      </c>
      <c r="S1272" s="147" t="n">
        <v>0.0897308077020513</v>
      </c>
      <c r="T1272" s="147" t="n">
        <v>0.025828147425538</v>
      </c>
    </row>
    <row r="1273" customFormat="false" ht="12.75" hidden="false" customHeight="true" outlineLevel="0" collapsed="false">
      <c r="P1273" s="1" t="n">
        <v>1270</v>
      </c>
      <c r="Q1273" s="147" t="n">
        <v>28551.805338998</v>
      </c>
      <c r="R1273" s="147" t="n">
        <v>0.270327400940413</v>
      </c>
      <c r="S1273" s="147" t="n">
        <v>0.0833108966496078</v>
      </c>
      <c r="T1273" s="147" t="n">
        <v>0.023260108724999</v>
      </c>
    </row>
    <row r="1274" customFormat="false" ht="12.75" hidden="false" customHeight="true" outlineLevel="0" collapsed="false">
      <c r="P1274" s="1" t="n">
        <v>1271</v>
      </c>
      <c r="Q1274" s="147" t="n">
        <v>28573.940873218</v>
      </c>
      <c r="R1274" s="147" t="n">
        <v>0.270189747375334</v>
      </c>
      <c r="S1274" s="147" t="n">
        <v>0.079980025519975</v>
      </c>
      <c r="T1274" s="147" t="n">
        <v>0.021662920101675</v>
      </c>
    </row>
    <row r="1275" customFormat="false" ht="12.75" hidden="false" customHeight="true" outlineLevel="0" collapsed="false">
      <c r="P1275" s="1" t="n">
        <v>1272</v>
      </c>
      <c r="Q1275" s="147" t="n">
        <v>28596.930785251</v>
      </c>
      <c r="R1275" s="147" t="n">
        <v>0.270142234606331</v>
      </c>
      <c r="S1275" s="147" t="n">
        <v>0.0760075526863638</v>
      </c>
      <c r="T1275" s="147" t="n">
        <v>0.0208777786517079</v>
      </c>
    </row>
    <row r="1276" customFormat="false" ht="12.75" hidden="false" customHeight="true" outlineLevel="0" collapsed="false">
      <c r="P1276" s="1" t="n">
        <v>1273</v>
      </c>
      <c r="Q1276" s="147" t="n">
        <v>28619.729504731</v>
      </c>
      <c r="R1276" s="147" t="n">
        <v>0.269925583881972</v>
      </c>
      <c r="S1276" s="147" t="n">
        <v>0.0752108221428527</v>
      </c>
      <c r="T1276" s="147" t="n">
        <v>0.019024632107883</v>
      </c>
    </row>
    <row r="1277" customFormat="false" ht="12.75" hidden="false" customHeight="true" outlineLevel="0" collapsed="false">
      <c r="P1277" s="1" t="n">
        <v>1274</v>
      </c>
      <c r="Q1277" s="147" t="n">
        <v>28642.503659467</v>
      </c>
      <c r="R1277" s="147" t="n">
        <v>0.269935132158903</v>
      </c>
      <c r="S1277" s="147" t="n">
        <v>0.076390632818432</v>
      </c>
      <c r="T1277" s="147" t="n">
        <v>0.017893366394345</v>
      </c>
    </row>
    <row r="1278" customFormat="false" ht="12.75" hidden="false" customHeight="true" outlineLevel="0" collapsed="false">
      <c r="P1278" s="1" t="n">
        <v>1275</v>
      </c>
      <c r="Q1278" s="147" t="n">
        <v>28665.096430892</v>
      </c>
      <c r="R1278" s="147" t="n">
        <v>0.270023906366166</v>
      </c>
      <c r="S1278" s="147" t="n">
        <v>0.0791457688056783</v>
      </c>
      <c r="T1278" s="147" t="n">
        <v>0.0167040660512397</v>
      </c>
    </row>
    <row r="1279" customFormat="false" ht="12.75" hidden="false" customHeight="true" outlineLevel="0" collapsed="false">
      <c r="P1279" s="1" t="n">
        <v>1276</v>
      </c>
      <c r="Q1279" s="147" t="n">
        <v>28687.90056101</v>
      </c>
      <c r="R1279" s="147" t="n">
        <v>0.270314239231301</v>
      </c>
      <c r="S1279" s="147" t="n">
        <v>0.0827502357005398</v>
      </c>
      <c r="T1279" s="147" t="n">
        <v>0.0155646735169072</v>
      </c>
    </row>
    <row r="1280" customFormat="false" ht="12.75" hidden="false" customHeight="true" outlineLevel="0" collapsed="false">
      <c r="P1280" s="1" t="n">
        <v>1277</v>
      </c>
      <c r="Q1280" s="147" t="n">
        <v>28710.54462057</v>
      </c>
      <c r="R1280" s="147" t="n">
        <v>0.270582839566597</v>
      </c>
      <c r="S1280" s="147" t="n">
        <v>0.0865813595045734</v>
      </c>
      <c r="T1280" s="147" t="n">
        <v>0.0149172556091285</v>
      </c>
    </row>
    <row r="1281" customFormat="false" ht="12.75" hidden="false" customHeight="true" outlineLevel="0" collapsed="false">
      <c r="P1281" s="1" t="n">
        <v>1278</v>
      </c>
      <c r="Q1281" s="147" t="n">
        <v>28732.885911237</v>
      </c>
      <c r="R1281" s="147" t="n">
        <v>0.27069288368859</v>
      </c>
      <c r="S1281" s="147" t="n">
        <v>0.089134704769573</v>
      </c>
      <c r="T1281" s="147" t="n">
        <v>0.014137839467759</v>
      </c>
    </row>
    <row r="1282" customFormat="false" ht="12.75" hidden="false" customHeight="true" outlineLevel="0" collapsed="false">
      <c r="P1282" s="1" t="n">
        <v>1279</v>
      </c>
      <c r="Q1282" s="147" t="n">
        <v>28755.478893459</v>
      </c>
      <c r="R1282" s="147" t="n">
        <v>0.270540069912961</v>
      </c>
      <c r="S1282" s="147" t="n">
        <v>0.0915402655513795</v>
      </c>
      <c r="T1282" s="147" t="n">
        <v>0.0144620609294885</v>
      </c>
    </row>
    <row r="1283" customFormat="false" ht="12.75" hidden="false" customHeight="true" outlineLevel="0" collapsed="false">
      <c r="P1283" s="1" t="n">
        <v>1280</v>
      </c>
      <c r="Q1283" s="147" t="n">
        <v>28777.467944208</v>
      </c>
      <c r="R1283" s="147" t="n">
        <v>0.270516690928309</v>
      </c>
      <c r="S1283" s="147" t="n">
        <v>0.0927529073600909</v>
      </c>
      <c r="T1283" s="147" t="n">
        <v>0.0144477126479522</v>
      </c>
    </row>
    <row r="1284" customFormat="false" ht="12.75" hidden="false" customHeight="true" outlineLevel="0" collapsed="false">
      <c r="P1284" s="1" t="n">
        <v>1281</v>
      </c>
      <c r="Q1284" s="147" t="n">
        <v>28800.187795715</v>
      </c>
      <c r="R1284" s="147" t="n">
        <v>0.270624536024195</v>
      </c>
      <c r="S1284" s="147" t="n">
        <v>0.0916303387615087</v>
      </c>
      <c r="T1284" s="147" t="n">
        <v>0.0149015587845946</v>
      </c>
    </row>
    <row r="1285" customFormat="false" ht="12.75" hidden="false" customHeight="true" outlineLevel="0" collapsed="false">
      <c r="P1285" s="1" t="n">
        <v>1282</v>
      </c>
      <c r="Q1285" s="147" t="n">
        <v>28822.214284011</v>
      </c>
      <c r="R1285" s="147" t="n">
        <v>0.270804702237203</v>
      </c>
      <c r="S1285" s="147" t="n">
        <v>0.0905142299238867</v>
      </c>
      <c r="T1285" s="147" t="n">
        <v>0.0158919424851185</v>
      </c>
    </row>
    <row r="1286" customFormat="false" ht="12.75" hidden="false" customHeight="true" outlineLevel="0" collapsed="false">
      <c r="P1286" s="1" t="n">
        <v>1283</v>
      </c>
      <c r="Q1286" s="147" t="n">
        <v>28845.100555514</v>
      </c>
      <c r="R1286" s="147" t="n">
        <v>0.271081920603354</v>
      </c>
      <c r="S1286" s="147" t="n">
        <v>0.0853940168829232</v>
      </c>
      <c r="T1286" s="147" t="n">
        <v>0.0149751889412874</v>
      </c>
    </row>
    <row r="1287" customFormat="false" ht="12.75" hidden="false" customHeight="true" outlineLevel="0" collapsed="false">
      <c r="P1287" s="1" t="n">
        <v>1284</v>
      </c>
      <c r="Q1287" s="147" t="n">
        <v>28866.769191859</v>
      </c>
      <c r="R1287" s="147" t="n">
        <v>0.271410983256275</v>
      </c>
      <c r="S1287" s="147" t="n">
        <v>0.0823056599597912</v>
      </c>
      <c r="T1287" s="147" t="n">
        <v>0.0169181971252592</v>
      </c>
    </row>
    <row r="1288" customFormat="false" ht="12.75" hidden="false" customHeight="true" outlineLevel="0" collapsed="false">
      <c r="P1288" s="1" t="n">
        <v>1285</v>
      </c>
      <c r="Q1288" s="147" t="n">
        <v>28889.634112697</v>
      </c>
      <c r="R1288" s="147" t="n">
        <v>0.271943147498044</v>
      </c>
      <c r="S1288" s="147" t="n">
        <v>0.0733558101675827</v>
      </c>
      <c r="T1288" s="147" t="n">
        <v>0.0159274527897484</v>
      </c>
    </row>
    <row r="1289" customFormat="false" ht="12.75" hidden="false" customHeight="true" outlineLevel="0" collapsed="false">
      <c r="P1289" s="1" t="n">
        <v>1286</v>
      </c>
      <c r="Q1289" s="147" t="n">
        <v>28911.33061362</v>
      </c>
      <c r="R1289" s="147" t="n">
        <v>0.272398779862757</v>
      </c>
      <c r="S1289" s="147" t="n">
        <v>0.069192201764791</v>
      </c>
      <c r="T1289" s="147" t="n">
        <v>0.0175148429234721</v>
      </c>
    </row>
    <row r="1290" customFormat="false" ht="12.75" hidden="false" customHeight="true" outlineLevel="0" collapsed="false">
      <c r="P1290" s="1" t="n">
        <v>1287</v>
      </c>
      <c r="Q1290" s="147" t="n">
        <v>28934.111397544</v>
      </c>
      <c r="R1290" s="147" t="n">
        <v>0.273232885581494</v>
      </c>
      <c r="S1290" s="147" t="n">
        <v>0.0602451912218092</v>
      </c>
      <c r="T1290" s="147" t="n">
        <v>0.0161875626061362</v>
      </c>
    </row>
    <row r="1291" customFormat="false" ht="12.75" hidden="false" customHeight="true" outlineLevel="0" collapsed="false">
      <c r="P1291" s="1" t="n">
        <v>1288</v>
      </c>
      <c r="Q1291" s="147" t="n">
        <v>28955.95001092</v>
      </c>
      <c r="R1291" s="147" t="n">
        <v>0.273914145603362</v>
      </c>
      <c r="S1291" s="147" t="n">
        <v>0.0569636309276937</v>
      </c>
      <c r="T1291" s="147" t="n">
        <v>0.0163988497333175</v>
      </c>
    </row>
    <row r="1292" customFormat="false" ht="12.75" hidden="false" customHeight="true" outlineLevel="0" collapsed="false">
      <c r="P1292" s="1" t="n">
        <v>1289</v>
      </c>
      <c r="Q1292" s="147" t="n">
        <v>28978.393021623</v>
      </c>
      <c r="R1292" s="147" t="n">
        <v>0.275072130454136</v>
      </c>
      <c r="S1292" s="147" t="n">
        <v>0.0528451001626867</v>
      </c>
      <c r="T1292" s="147" t="n">
        <v>0.0153995730741624</v>
      </c>
    </row>
    <row r="1293" customFormat="false" ht="12.75" hidden="false" customHeight="true" outlineLevel="0" collapsed="false">
      <c r="P1293" s="1" t="n">
        <v>1290</v>
      </c>
      <c r="Q1293" s="147" t="n">
        <v>29000.255383474</v>
      </c>
      <c r="R1293" s="147" t="n">
        <v>0.27569207654968</v>
      </c>
      <c r="S1293" s="147" t="n">
        <v>0.0519632555566388</v>
      </c>
      <c r="T1293" s="147" t="n">
        <v>0.0137804267583575</v>
      </c>
    </row>
    <row r="1294" customFormat="false" ht="12.75" hidden="false" customHeight="true" outlineLevel="0" collapsed="false">
      <c r="P1294" s="1" t="n">
        <v>1291</v>
      </c>
      <c r="Q1294" s="147" t="n">
        <v>29023.035514991</v>
      </c>
      <c r="R1294" s="147" t="n">
        <v>0.276432923384978</v>
      </c>
      <c r="S1294" s="147" t="n">
        <v>0.0536137029671781</v>
      </c>
      <c r="T1294" s="147" t="n">
        <v>0.0133550691282218</v>
      </c>
    </row>
    <row r="1295" customFormat="false" ht="12.75" hidden="false" customHeight="true" outlineLevel="0" collapsed="false">
      <c r="P1295" s="1" t="n">
        <v>1292</v>
      </c>
      <c r="Q1295" s="147" t="n">
        <v>29044.935389453</v>
      </c>
      <c r="R1295" s="147" t="n">
        <v>0.276488418339737</v>
      </c>
      <c r="S1295" s="147" t="n">
        <v>0.0543402191517152</v>
      </c>
      <c r="T1295" s="147" t="n">
        <v>0.0106558604412593</v>
      </c>
    </row>
    <row r="1296" customFormat="false" ht="12.75" hidden="false" customHeight="true" outlineLevel="0" collapsed="false">
      <c r="P1296" s="1" t="n">
        <v>1293</v>
      </c>
      <c r="Q1296" s="147" t="n">
        <v>29067.640479789</v>
      </c>
      <c r="R1296" s="147" t="n">
        <v>0.276477522356678</v>
      </c>
      <c r="S1296" s="147" t="n">
        <v>0.0568968714888758</v>
      </c>
      <c r="T1296" s="147" t="n">
        <v>0.0101465233853491</v>
      </c>
    </row>
    <row r="1297" customFormat="false" ht="12.75" hidden="false" customHeight="true" outlineLevel="0" collapsed="false">
      <c r="P1297" s="1" t="n">
        <v>1294</v>
      </c>
      <c r="Q1297" s="147" t="n">
        <v>29089.54056798</v>
      </c>
      <c r="R1297" s="147" t="n">
        <v>0.276551768845848</v>
      </c>
      <c r="S1297" s="147" t="n">
        <v>0.0577957681701076</v>
      </c>
      <c r="T1297" s="147" t="n">
        <v>0.00767780427604771</v>
      </c>
    </row>
    <row r="1298" customFormat="false" ht="12.75" hidden="false" customHeight="true" outlineLevel="0" collapsed="false">
      <c r="P1298" s="1" t="n">
        <v>1295</v>
      </c>
      <c r="Q1298" s="147" t="n">
        <v>29112.037416328</v>
      </c>
      <c r="R1298" s="147" t="n">
        <v>0.276444747642315</v>
      </c>
      <c r="S1298" s="147" t="n">
        <v>0.0581446776102743</v>
      </c>
      <c r="T1298" s="147" t="n">
        <v>0.0069766059871675</v>
      </c>
    </row>
    <row r="1299" customFormat="false" ht="12.75" hidden="false" customHeight="true" outlineLevel="0" collapsed="false">
      <c r="P1299" s="1" t="n">
        <v>1296</v>
      </c>
      <c r="Q1299" s="147" t="n">
        <v>29133.886478812</v>
      </c>
      <c r="R1299" s="147" t="n">
        <v>0.276727079029619</v>
      </c>
      <c r="S1299" s="147" t="n">
        <v>0.0581162363604654</v>
      </c>
      <c r="T1299" s="147" t="n">
        <v>0.00562187499669626</v>
      </c>
    </row>
    <row r="1300" customFormat="false" ht="12.75" hidden="false" customHeight="true" outlineLevel="0" collapsed="false">
      <c r="P1300" s="1" t="n">
        <v>1297</v>
      </c>
      <c r="Q1300" s="147" t="n">
        <v>29156.861029852</v>
      </c>
      <c r="R1300" s="147" t="n">
        <v>0.27697390080821</v>
      </c>
      <c r="S1300" s="147" t="n">
        <v>0.0542251482453362</v>
      </c>
      <c r="T1300" s="147" t="n">
        <v>0.00492495500992817</v>
      </c>
    </row>
    <row r="1301" customFormat="false" ht="12.75" hidden="false" customHeight="true" outlineLevel="0" collapsed="false">
      <c r="P1301" s="1" t="n">
        <v>1298</v>
      </c>
      <c r="Q1301" s="147" t="n">
        <v>29178.978480275</v>
      </c>
      <c r="R1301" s="147" t="n">
        <v>0.276908078790736</v>
      </c>
      <c r="S1301" s="147" t="n">
        <v>0.0521940733016237</v>
      </c>
      <c r="T1301" s="147" t="n">
        <v>0.00398795701302589</v>
      </c>
    </row>
    <row r="1302" customFormat="false" ht="12.75" hidden="false" customHeight="true" outlineLevel="0" collapsed="false">
      <c r="P1302" s="1" t="n">
        <v>1299</v>
      </c>
      <c r="Q1302" s="147" t="n">
        <v>29201.675841532</v>
      </c>
      <c r="R1302" s="147" t="n">
        <v>0.276759419970145</v>
      </c>
      <c r="S1302" s="147" t="n">
        <v>0.0424999594809445</v>
      </c>
      <c r="T1302" s="147" t="n">
        <v>0.00301373914994369</v>
      </c>
    </row>
    <row r="1303" customFormat="false" ht="12.75" hidden="false" customHeight="true" outlineLevel="0" collapsed="false">
      <c r="P1303" s="1" t="n">
        <v>1300</v>
      </c>
      <c r="Q1303" s="147" t="n">
        <v>29223.812536468</v>
      </c>
      <c r="R1303" s="147" t="n">
        <v>0.276456244596899</v>
      </c>
      <c r="S1303" s="147" t="n">
        <v>0.0407866452230748</v>
      </c>
      <c r="T1303" s="147" t="n">
        <v>0.0041449545282082</v>
      </c>
    </row>
    <row r="1304" customFormat="false" ht="12.75" hidden="false" customHeight="true" outlineLevel="0" collapsed="false">
      <c r="P1304" s="1" t="n">
        <v>1301</v>
      </c>
      <c r="Q1304" s="147" t="n">
        <v>29246.801199291</v>
      </c>
      <c r="R1304" s="147" t="n">
        <v>0.276106643701433</v>
      </c>
      <c r="S1304" s="147" t="n">
        <v>0.0372345503179122</v>
      </c>
      <c r="T1304" s="147" t="n">
        <v>0.0051120050564765</v>
      </c>
    </row>
    <row r="1305" customFormat="false" ht="12.75" hidden="false" customHeight="true" outlineLevel="0" collapsed="false">
      <c r="P1305" s="1" t="n">
        <v>1302</v>
      </c>
      <c r="Q1305" s="147" t="n">
        <v>29268.78450171</v>
      </c>
      <c r="R1305" s="147" t="n">
        <v>0.275787221188683</v>
      </c>
      <c r="S1305" s="147" t="n">
        <v>0.0364000952673028</v>
      </c>
      <c r="T1305" s="147" t="n">
        <v>0.00688496933776083</v>
      </c>
    </row>
    <row r="1306" customFormat="false" ht="12.75" hidden="false" customHeight="true" outlineLevel="0" collapsed="false">
      <c r="P1306" s="1" t="n">
        <v>1303</v>
      </c>
      <c r="Q1306" s="147" t="n">
        <v>29291.974619299</v>
      </c>
      <c r="R1306" s="147" t="n">
        <v>0.275317277800468</v>
      </c>
      <c r="S1306" s="147" t="n">
        <v>0.0378077394075767</v>
      </c>
      <c r="T1306" s="147" t="n">
        <v>0.0066794014121978</v>
      </c>
    </row>
    <row r="1307" customFormat="false" ht="12.75" hidden="false" customHeight="true" outlineLevel="0" collapsed="false">
      <c r="P1307" s="1" t="n">
        <v>1304</v>
      </c>
      <c r="Q1307" s="147" t="n">
        <v>29314.08738287</v>
      </c>
      <c r="R1307" s="147" t="n">
        <v>0.275169211920438</v>
      </c>
      <c r="S1307" s="147" t="n">
        <v>0.0392259209888406</v>
      </c>
      <c r="T1307" s="147" t="n">
        <v>0.00912018136808519</v>
      </c>
    </row>
    <row r="1308" customFormat="false" ht="12.75" hidden="false" customHeight="true" outlineLevel="0" collapsed="false">
      <c r="P1308" s="1" t="n">
        <v>1305</v>
      </c>
      <c r="Q1308" s="147" t="n">
        <v>29337.247836938</v>
      </c>
      <c r="R1308" s="147" t="n">
        <v>0.274451127824052</v>
      </c>
      <c r="S1308" s="147" t="n">
        <v>0.0515371809960234</v>
      </c>
      <c r="T1308" s="147" t="n">
        <v>0.00872257056112534</v>
      </c>
    </row>
    <row r="1309" customFormat="false" ht="12.75" hidden="false" customHeight="true" outlineLevel="0" collapsed="false">
      <c r="P1309" s="1" t="n">
        <v>1306</v>
      </c>
      <c r="Q1309" s="147" t="n">
        <v>29359.548036421</v>
      </c>
      <c r="R1309" s="147" t="n">
        <v>0.274330595912291</v>
      </c>
      <c r="S1309" s="147" t="n">
        <v>0.0553686766763997</v>
      </c>
      <c r="T1309" s="147" t="n">
        <v>0.011429468491681</v>
      </c>
    </row>
    <row r="1310" customFormat="false" ht="12.75" hidden="false" customHeight="true" outlineLevel="0" collapsed="false">
      <c r="P1310" s="1" t="n">
        <v>1307</v>
      </c>
      <c r="Q1310" s="147" t="n">
        <v>29383.027000917</v>
      </c>
      <c r="R1310" s="147" t="n">
        <v>0.272669024413403</v>
      </c>
      <c r="S1310" s="147" t="n">
        <v>0.0782820903909896</v>
      </c>
      <c r="T1310" s="147" t="n">
        <v>0.0119194661552116</v>
      </c>
    </row>
    <row r="1311" customFormat="false" ht="12.75" hidden="false" customHeight="true" outlineLevel="0" collapsed="false">
      <c r="P1311" s="1" t="n">
        <v>1308</v>
      </c>
      <c r="Q1311" s="147" t="n">
        <v>29405.112567057</v>
      </c>
      <c r="R1311" s="147" t="n">
        <v>0.272920593758278</v>
      </c>
      <c r="S1311" s="147" t="n">
        <v>0.0808445092382727</v>
      </c>
      <c r="T1311" s="147" t="n">
        <v>0.0137569581899959</v>
      </c>
    </row>
    <row r="1312" customFormat="false" ht="12.75" hidden="false" customHeight="true" outlineLevel="0" collapsed="false">
      <c r="P1312" s="1" t="n">
        <v>1309</v>
      </c>
      <c r="Q1312" s="147" t="n">
        <v>29427.306307615</v>
      </c>
      <c r="R1312" s="147" t="n">
        <v>0.272433406688353</v>
      </c>
      <c r="S1312" s="147" t="n">
        <v>0.0850996654637578</v>
      </c>
      <c r="T1312" s="147" t="n">
        <v>0.0147721454193267</v>
      </c>
    </row>
    <row r="1313" customFormat="false" ht="12.75" hidden="false" customHeight="true" outlineLevel="0" collapsed="false">
      <c r="P1313" s="1" t="n">
        <v>1310</v>
      </c>
      <c r="Q1313" s="147" t="n">
        <v>29449.612973692</v>
      </c>
      <c r="R1313" s="147" t="n">
        <v>0.27158177761954</v>
      </c>
      <c r="S1313" s="147" t="n">
        <v>0.091428423474596</v>
      </c>
      <c r="T1313" s="147" t="n">
        <v>0.0160072503069171</v>
      </c>
    </row>
    <row r="1314" customFormat="false" ht="12.75" hidden="false" customHeight="true" outlineLevel="0" collapsed="false">
      <c r="P1314" s="1" t="n">
        <v>1311</v>
      </c>
      <c r="Q1314" s="147" t="n">
        <v>29472.09729584</v>
      </c>
      <c r="R1314" s="147" t="n">
        <v>0.271232783749718</v>
      </c>
      <c r="S1314" s="147" t="n">
        <v>0.0971145581471661</v>
      </c>
      <c r="T1314" s="147" t="n">
        <v>0.0170851260723089</v>
      </c>
    </row>
    <row r="1315" customFormat="false" ht="12.75" hidden="false" customHeight="true" outlineLevel="0" collapsed="false">
      <c r="P1315" s="1" t="n">
        <v>1312</v>
      </c>
      <c r="Q1315" s="147" t="n">
        <v>29494.612783603</v>
      </c>
      <c r="R1315" s="147" t="n">
        <v>0.270707440769849</v>
      </c>
      <c r="S1315" s="147" t="n">
        <v>0.101815274634213</v>
      </c>
      <c r="T1315" s="147" t="n">
        <v>0.0176341556136786</v>
      </c>
    </row>
    <row r="1316" customFormat="false" ht="12.75" hidden="false" customHeight="true" outlineLevel="0" collapsed="false">
      <c r="P1316" s="1" t="n">
        <v>1313</v>
      </c>
      <c r="Q1316" s="147" t="n">
        <v>29517.181244785</v>
      </c>
      <c r="R1316" s="147" t="n">
        <v>0.269966310461006</v>
      </c>
      <c r="S1316" s="147" t="n">
        <v>0.104506665142304</v>
      </c>
      <c r="T1316" s="147" t="n">
        <v>0.0187131971473049</v>
      </c>
    </row>
    <row r="1317" customFormat="false" ht="12.75" hidden="false" customHeight="true" outlineLevel="0" collapsed="false">
      <c r="P1317" s="1" t="n">
        <v>1314</v>
      </c>
      <c r="Q1317" s="147" t="n">
        <v>29539.88681678</v>
      </c>
      <c r="R1317" s="147" t="n">
        <v>0.268846158367519</v>
      </c>
      <c r="S1317" s="147" t="n">
        <v>0.10516100705878</v>
      </c>
      <c r="T1317" s="147" t="n">
        <v>0.0194608008764727</v>
      </c>
    </row>
    <row r="1318" customFormat="false" ht="12.75" hidden="false" customHeight="true" outlineLevel="0" collapsed="false">
      <c r="P1318" s="1" t="n">
        <v>1315</v>
      </c>
      <c r="Q1318" s="147" t="n">
        <v>29562.18255706</v>
      </c>
      <c r="R1318" s="147" t="n">
        <v>0.267391796280944</v>
      </c>
      <c r="S1318" s="147" t="n">
        <v>0.102940993514847</v>
      </c>
      <c r="T1318" s="147" t="n">
        <v>0.0209410253713938</v>
      </c>
    </row>
    <row r="1319" customFormat="false" ht="12.75" hidden="false" customHeight="true" outlineLevel="0" collapsed="false">
      <c r="P1319" s="1" t="n">
        <v>1316</v>
      </c>
      <c r="Q1319" s="147" t="n">
        <v>29584.742929074</v>
      </c>
      <c r="R1319" s="147" t="n">
        <v>0.265885228147673</v>
      </c>
      <c r="S1319" s="147" t="n">
        <v>0.100632851473126</v>
      </c>
      <c r="T1319" s="147" t="n">
        <v>0.0220685281470487</v>
      </c>
    </row>
    <row r="1320" customFormat="false" ht="12.75" hidden="false" customHeight="true" outlineLevel="0" collapsed="false">
      <c r="P1320" s="1" t="n">
        <v>1317</v>
      </c>
      <c r="Q1320" s="147" t="n">
        <v>29607.246135236</v>
      </c>
      <c r="R1320" s="147" t="n">
        <v>0.264131086274248</v>
      </c>
      <c r="S1320" s="147" t="n">
        <v>0.0971091775091634</v>
      </c>
      <c r="T1320" s="147" t="n">
        <v>0.0232055370135269</v>
      </c>
    </row>
    <row r="1321" customFormat="false" ht="12.75" hidden="false" customHeight="true" outlineLevel="0" collapsed="false">
      <c r="P1321" s="1" t="n">
        <v>1318</v>
      </c>
      <c r="Q1321" s="147" t="n">
        <v>29629.346616317</v>
      </c>
      <c r="R1321" s="147" t="n">
        <v>0.262937280065939</v>
      </c>
      <c r="S1321" s="147" t="n">
        <v>0.0952627181389829</v>
      </c>
      <c r="T1321" s="147" t="n">
        <v>0.0238286902894385</v>
      </c>
    </row>
    <row r="1322" customFormat="false" ht="12.75" hidden="false" customHeight="true" outlineLevel="0" collapsed="false">
      <c r="P1322" s="1" t="n">
        <v>1319</v>
      </c>
      <c r="Q1322" s="147" t="n">
        <v>29651.782610938</v>
      </c>
      <c r="R1322" s="147" t="n">
        <v>0.261510448877956</v>
      </c>
      <c r="S1322" s="147" t="n">
        <v>0.0916813212063606</v>
      </c>
      <c r="T1322" s="147" t="n">
        <v>0.0251282705199575</v>
      </c>
    </row>
    <row r="1323" customFormat="false" ht="12.75" hidden="false" customHeight="true" outlineLevel="0" collapsed="false">
      <c r="P1323" s="1" t="n">
        <v>1320</v>
      </c>
      <c r="Q1323" s="147" t="n">
        <v>29673.710684227</v>
      </c>
      <c r="R1323" s="147" t="n">
        <v>0.261337827858965</v>
      </c>
      <c r="S1323" s="147" t="n">
        <v>0.0910812263585653</v>
      </c>
      <c r="T1323" s="147" t="n">
        <v>0.0254310182727003</v>
      </c>
    </row>
    <row r="1324" customFormat="false" ht="12.75" hidden="false" customHeight="true" outlineLevel="0" collapsed="false">
      <c r="P1324" s="1" t="n">
        <v>1321</v>
      </c>
      <c r="Q1324" s="147" t="n">
        <v>29696.125361292</v>
      </c>
      <c r="R1324" s="147" t="n">
        <v>0.260766392551343</v>
      </c>
      <c r="S1324" s="147" t="n">
        <v>0.0918248629021138</v>
      </c>
      <c r="T1324" s="147" t="n">
        <v>0.0253048651886755</v>
      </c>
    </row>
    <row r="1325" customFormat="false" ht="12.75" hidden="false" customHeight="true" outlineLevel="0" collapsed="false">
      <c r="P1325" s="1" t="n">
        <v>1322</v>
      </c>
      <c r="Q1325" s="147" t="n">
        <v>29718.667840258</v>
      </c>
      <c r="R1325" s="147" t="n">
        <v>0.261129050317365</v>
      </c>
      <c r="S1325" s="147" t="n">
        <v>0.0957358050198414</v>
      </c>
      <c r="T1325" s="147" t="n">
        <v>0.0248151199765154</v>
      </c>
    </row>
    <row r="1326" customFormat="false" ht="12.75" hidden="false" customHeight="true" outlineLevel="0" collapsed="false">
      <c r="P1326" s="1" t="n">
        <v>1323</v>
      </c>
      <c r="Q1326" s="147" t="n">
        <v>29741.340559083</v>
      </c>
      <c r="R1326" s="147" t="n">
        <v>0.261347501302536</v>
      </c>
      <c r="S1326" s="147" t="n">
        <v>0.102706182573244</v>
      </c>
      <c r="T1326" s="147" t="n">
        <v>0.0243636214144534</v>
      </c>
    </row>
    <row r="1327" customFormat="false" ht="12.75" hidden="false" customHeight="true" outlineLevel="0" collapsed="false">
      <c r="P1327" s="1" t="n">
        <v>1324</v>
      </c>
      <c r="Q1327" s="147" t="n">
        <v>29763.157948644</v>
      </c>
      <c r="R1327" s="147" t="n">
        <v>0.262088920485027</v>
      </c>
      <c r="S1327" s="147" t="n">
        <v>0.105511971841416</v>
      </c>
      <c r="T1327" s="147" t="n">
        <v>0.0251918101123375</v>
      </c>
    </row>
    <row r="1328" customFormat="false" ht="12.75" hidden="false" customHeight="true" outlineLevel="0" collapsed="false">
      <c r="P1328" s="1" t="n">
        <v>1325</v>
      </c>
      <c r="Q1328" s="147" t="n">
        <v>29786.004475735</v>
      </c>
      <c r="R1328" s="147" t="n">
        <v>0.261890574179373</v>
      </c>
      <c r="S1328" s="147" t="n">
        <v>0.116782049404982</v>
      </c>
      <c r="T1328" s="147" t="n">
        <v>0.0234430079652334</v>
      </c>
    </row>
    <row r="1329" customFormat="false" ht="12.75" hidden="false" customHeight="true" outlineLevel="0" collapsed="false">
      <c r="P1329" s="1" t="n">
        <v>1326</v>
      </c>
      <c r="Q1329" s="147" t="n">
        <v>29808.042964443</v>
      </c>
      <c r="R1329" s="147" t="n">
        <v>0.262471824151467</v>
      </c>
      <c r="S1329" s="147" t="n">
        <v>0.118946943015096</v>
      </c>
      <c r="T1329" s="147" t="n">
        <v>0.0248188242943896</v>
      </c>
    </row>
    <row r="1330" customFormat="false" ht="12.75" hidden="false" customHeight="true" outlineLevel="0" collapsed="false">
      <c r="P1330" s="1" t="n">
        <v>1327</v>
      </c>
      <c r="Q1330" s="147" t="n">
        <v>29830.123022596</v>
      </c>
      <c r="R1330" s="147" t="n">
        <v>0.262340270717565</v>
      </c>
      <c r="S1330" s="147" t="n">
        <v>0.121410212849648</v>
      </c>
      <c r="T1330" s="147" t="n">
        <v>0.0254526162036762</v>
      </c>
    </row>
    <row r="1331" customFormat="false" ht="12.75" hidden="false" customHeight="true" outlineLevel="0" collapsed="false">
      <c r="P1331" s="1" t="n">
        <v>1328</v>
      </c>
      <c r="Q1331" s="147" t="n">
        <v>29852.480876622</v>
      </c>
      <c r="R1331" s="147" t="n">
        <v>0.261720021647348</v>
      </c>
      <c r="S1331" s="147" t="n">
        <v>0.1243564303674</v>
      </c>
      <c r="T1331" s="147" t="n">
        <v>0.0253596435949671</v>
      </c>
    </row>
    <row r="1332" customFormat="false" ht="12.75" hidden="false" customHeight="true" outlineLevel="0" collapsed="false">
      <c r="P1332" s="1" t="n">
        <v>1329</v>
      </c>
      <c r="Q1332" s="147" t="n">
        <v>29874.946099108</v>
      </c>
      <c r="R1332" s="147" t="n">
        <v>0.261608353461193</v>
      </c>
      <c r="S1332" s="147" t="n">
        <v>0.125353506904999</v>
      </c>
      <c r="T1332" s="147" t="n">
        <v>0.025452656395231</v>
      </c>
    </row>
    <row r="1333" customFormat="false" ht="12.75" hidden="false" customHeight="true" outlineLevel="0" collapsed="false">
      <c r="P1333" s="1" t="n">
        <v>1330</v>
      </c>
      <c r="Q1333" s="147" t="n">
        <v>29897.358148777</v>
      </c>
      <c r="R1333" s="147" t="n">
        <v>0.261658861880108</v>
      </c>
      <c r="S1333" s="147" t="n">
        <v>0.124290964017798</v>
      </c>
      <c r="T1333" s="147" t="n">
        <v>0.0254486050270844</v>
      </c>
    </row>
    <row r="1334" customFormat="false" ht="12.75" hidden="false" customHeight="true" outlineLevel="0" collapsed="false">
      <c r="P1334" s="1" t="n">
        <v>1331</v>
      </c>
      <c r="Q1334" s="147" t="n">
        <v>29920.014002432</v>
      </c>
      <c r="R1334" s="147" t="n">
        <v>0.261944301589616</v>
      </c>
      <c r="S1334" s="147" t="n">
        <v>0.118857016160421</v>
      </c>
      <c r="T1334" s="147" t="n">
        <v>0.0265000882848192</v>
      </c>
    </row>
    <row r="1335" customFormat="false" ht="12.75" hidden="false" customHeight="true" outlineLevel="0" collapsed="false">
      <c r="P1335" s="1" t="n">
        <v>1332</v>
      </c>
      <c r="Q1335" s="147" t="n">
        <v>29942.987584528</v>
      </c>
      <c r="R1335" s="147" t="n">
        <v>0.262482452472716</v>
      </c>
      <c r="S1335" s="147" t="n">
        <v>0.108339336369038</v>
      </c>
      <c r="T1335" s="147" t="n">
        <v>0.0278122067198098</v>
      </c>
    </row>
    <row r="1336" customFormat="false" ht="12.75" hidden="false" customHeight="true" outlineLevel="0" collapsed="false">
      <c r="P1336" s="1" t="n">
        <v>1333</v>
      </c>
      <c r="Q1336" s="147" t="n">
        <v>29965.643165974</v>
      </c>
      <c r="R1336" s="147" t="n">
        <v>0.262553242897911</v>
      </c>
      <c r="S1336" s="147" t="n">
        <v>0.0999546235546381</v>
      </c>
      <c r="T1336" s="147" t="n">
        <v>0.027510153674574</v>
      </c>
    </row>
    <row r="1337" customFormat="false" ht="12.75" hidden="false" customHeight="true" outlineLevel="0" collapsed="false">
      <c r="P1337" s="1" t="n">
        <v>1334</v>
      </c>
      <c r="Q1337" s="147" t="n">
        <v>29988.156808927</v>
      </c>
      <c r="R1337" s="147" t="n">
        <v>0.262922942807991</v>
      </c>
      <c r="S1337" s="147" t="n">
        <v>0.0920816276735183</v>
      </c>
      <c r="T1337" s="147" t="n">
        <v>0.028632118177974</v>
      </c>
    </row>
    <row r="1338" customFormat="false" ht="12.75" hidden="false" customHeight="true" outlineLevel="0" collapsed="false">
      <c r="P1338" s="1" t="n">
        <v>1335</v>
      </c>
      <c r="Q1338" s="147" t="n">
        <v>30010.694935382</v>
      </c>
      <c r="R1338" s="147" t="n">
        <v>0.263295458097795</v>
      </c>
      <c r="S1338" s="147" t="n">
        <v>0.08442114501192</v>
      </c>
      <c r="T1338" s="147" t="n">
        <v>0.0298922551926605</v>
      </c>
    </row>
    <row r="1339" customFormat="false" ht="12.75" hidden="false" customHeight="true" outlineLevel="0" collapsed="false">
      <c r="P1339" s="1" t="n">
        <v>1336</v>
      </c>
      <c r="Q1339" s="147" t="n">
        <v>30032.709910718</v>
      </c>
      <c r="R1339" s="147" t="n">
        <v>0.263435474917553</v>
      </c>
      <c r="S1339" s="147" t="n">
        <v>0.0795033958395355</v>
      </c>
      <c r="T1339" s="147" t="n">
        <v>0.0302374959466599</v>
      </c>
    </row>
    <row r="1340" customFormat="false" ht="12.75" hidden="false" customHeight="true" outlineLevel="0" collapsed="false">
      <c r="P1340" s="1" t="n">
        <v>1337</v>
      </c>
      <c r="Q1340" s="147" t="n">
        <v>30055.241852188</v>
      </c>
      <c r="R1340" s="147" t="n">
        <v>0.264022754381213</v>
      </c>
      <c r="S1340" s="147" t="n">
        <v>0.0734494100460041</v>
      </c>
      <c r="T1340" s="147" t="n">
        <v>0.0315042345618922</v>
      </c>
    </row>
    <row r="1341" customFormat="false" ht="12.75" hidden="false" customHeight="true" outlineLevel="0" collapsed="false">
      <c r="P1341" s="1" t="n">
        <v>1338</v>
      </c>
      <c r="Q1341" s="147" t="n">
        <v>30077.439082805</v>
      </c>
      <c r="R1341" s="147" t="n">
        <v>0.264298139498633</v>
      </c>
      <c r="S1341" s="147" t="n">
        <v>0.0698440698705199</v>
      </c>
      <c r="T1341" s="147" t="n">
        <v>0.0316805795907611</v>
      </c>
    </row>
    <row r="1342" customFormat="false" ht="12.75" hidden="false" customHeight="true" outlineLevel="0" collapsed="false">
      <c r="P1342" s="1" t="n">
        <v>1339</v>
      </c>
      <c r="Q1342" s="147" t="n">
        <v>30100.136799153</v>
      </c>
      <c r="R1342" s="147" t="n">
        <v>0.264802237815696</v>
      </c>
      <c r="S1342" s="147" t="n">
        <v>0.0675495385551295</v>
      </c>
      <c r="T1342" s="147" t="n">
        <v>0.03170583499549</v>
      </c>
    </row>
    <row r="1343" customFormat="false" ht="12.75" hidden="false" customHeight="true" outlineLevel="0" collapsed="false">
      <c r="P1343" s="1" t="n">
        <v>1340</v>
      </c>
      <c r="Q1343" s="147" t="n">
        <v>30122.848777723</v>
      </c>
      <c r="R1343" s="147" t="n">
        <v>0.26519593096962</v>
      </c>
      <c r="S1343" s="147" t="n">
        <v>0.0685624442646749</v>
      </c>
      <c r="T1343" s="147" t="n">
        <v>0.0312108228288828</v>
      </c>
    </row>
    <row r="1344" customFormat="false" ht="12.75" hidden="false" customHeight="true" outlineLevel="0" collapsed="false">
      <c r="P1344" s="1" t="n">
        <v>1341</v>
      </c>
      <c r="Q1344" s="147" t="n">
        <v>30146.393030349</v>
      </c>
      <c r="R1344" s="147" t="n">
        <v>0.265699752340019</v>
      </c>
      <c r="S1344" s="147" t="n">
        <v>0.0767618129833423</v>
      </c>
      <c r="T1344" s="147" t="n">
        <v>0.0303434857782314</v>
      </c>
    </row>
    <row r="1345" customFormat="false" ht="12.75" hidden="false" customHeight="true" outlineLevel="0" collapsed="false">
      <c r="P1345" s="1" t="n">
        <v>1342</v>
      </c>
      <c r="Q1345" s="147" t="n">
        <v>30169.006118494</v>
      </c>
      <c r="R1345" s="147" t="n">
        <v>0.26637714103523</v>
      </c>
      <c r="S1345" s="147" t="n">
        <v>0.0782220036906328</v>
      </c>
      <c r="T1345" s="147" t="n">
        <v>0.0317979106473851</v>
      </c>
    </row>
    <row r="1346" customFormat="false" ht="12.75" hidden="false" customHeight="true" outlineLevel="0" collapsed="false">
      <c r="P1346" s="1" t="n">
        <v>1343</v>
      </c>
      <c r="Q1346" s="147" t="n">
        <v>30192.353628245</v>
      </c>
      <c r="R1346" s="147" t="n">
        <v>0.266628992985171</v>
      </c>
      <c r="S1346" s="147" t="n">
        <v>0.0892577143739209</v>
      </c>
      <c r="T1346" s="147" t="n">
        <v>0.0321994729577675</v>
      </c>
    </row>
    <row r="1347" customFormat="false" ht="12.75" hidden="false" customHeight="true" outlineLevel="0" collapsed="false">
      <c r="P1347" s="1" t="n">
        <v>1344</v>
      </c>
      <c r="Q1347" s="147" t="n">
        <v>30214.452487756</v>
      </c>
      <c r="R1347" s="147" t="n">
        <v>0.267345989819427</v>
      </c>
      <c r="S1347" s="147" t="n">
        <v>0.0898828636271206</v>
      </c>
      <c r="T1347" s="147" t="n">
        <v>0.0348172401077723</v>
      </c>
    </row>
    <row r="1348" customFormat="false" ht="12.75" hidden="false" customHeight="true" outlineLevel="0" collapsed="false">
      <c r="P1348" s="1" t="n">
        <v>1345</v>
      </c>
      <c r="Q1348" s="147" t="n">
        <v>30236.916200679</v>
      </c>
      <c r="R1348" s="147" t="n">
        <v>0.26782132860461</v>
      </c>
      <c r="S1348" s="147" t="n">
        <v>0.0929277851338284</v>
      </c>
      <c r="T1348" s="147" t="n">
        <v>0.0364342117963087</v>
      </c>
    </row>
    <row r="1349" customFormat="false" ht="12.75" hidden="false" customHeight="true" outlineLevel="0" collapsed="false">
      <c r="P1349" s="1" t="n">
        <v>1346</v>
      </c>
      <c r="Q1349" s="147" t="n">
        <v>30259.380972877</v>
      </c>
      <c r="R1349" s="147" t="n">
        <v>0.268006014369526</v>
      </c>
      <c r="S1349" s="147" t="n">
        <v>0.0956822757298265</v>
      </c>
      <c r="T1349" s="147" t="n">
        <v>0.0376363857749795</v>
      </c>
    </row>
    <row r="1350" customFormat="false" ht="12.75" hidden="false" customHeight="true" outlineLevel="0" collapsed="false">
      <c r="P1350" s="1" t="n">
        <v>1347</v>
      </c>
      <c r="Q1350" s="147" t="n">
        <v>30282.05723577</v>
      </c>
      <c r="R1350" s="147" t="n">
        <v>0.268589123288796</v>
      </c>
      <c r="S1350" s="147" t="n">
        <v>0.0971775448405355</v>
      </c>
      <c r="T1350" s="147" t="n">
        <v>0.0393559191568877</v>
      </c>
    </row>
    <row r="1351" customFormat="false" ht="12.75" hidden="false" customHeight="true" outlineLevel="0" collapsed="false">
      <c r="P1351" s="1" t="n">
        <v>1348</v>
      </c>
      <c r="Q1351" s="147" t="n">
        <v>30304.420117676</v>
      </c>
      <c r="R1351" s="147" t="n">
        <v>0.269136493912097</v>
      </c>
      <c r="S1351" s="147" t="n">
        <v>0.0979066510241167</v>
      </c>
      <c r="T1351" s="147" t="n">
        <v>0.0407598791741796</v>
      </c>
    </row>
    <row r="1352" customFormat="false" ht="12.75" hidden="false" customHeight="true" outlineLevel="0" collapsed="false">
      <c r="P1352" s="1" t="n">
        <v>1349</v>
      </c>
      <c r="Q1352" s="147" t="n">
        <v>30327.187695714</v>
      </c>
      <c r="R1352" s="147" t="n">
        <v>0.270163230827029</v>
      </c>
      <c r="S1352" s="147" t="n">
        <v>0.0980001259157654</v>
      </c>
      <c r="T1352" s="147" t="n">
        <v>0.0423770877850922</v>
      </c>
    </row>
    <row r="1353" customFormat="false" ht="12.75" hidden="false" customHeight="true" outlineLevel="0" collapsed="false">
      <c r="P1353" s="1" t="n">
        <v>1350</v>
      </c>
      <c r="Q1353" s="147" t="n">
        <v>30349.865507111</v>
      </c>
      <c r="R1353" s="147" t="n">
        <v>0.27124809461274</v>
      </c>
      <c r="S1353" s="147" t="n">
        <v>0.0972831428077533</v>
      </c>
      <c r="T1353" s="147" t="n">
        <v>0.0437496559064651</v>
      </c>
    </row>
    <row r="1354" customFormat="false" ht="12.75" hidden="false" customHeight="true" outlineLevel="0" collapsed="false">
      <c r="P1354" s="1" t="n">
        <v>1351</v>
      </c>
      <c r="Q1354" s="147" t="n">
        <v>30372.646596456</v>
      </c>
      <c r="R1354" s="147" t="n">
        <v>0.272440947303494</v>
      </c>
      <c r="S1354" s="147" t="n">
        <v>0.0962944605542705</v>
      </c>
      <c r="T1354" s="147" t="n">
        <v>0.0450981268757873</v>
      </c>
    </row>
    <row r="1355" customFormat="false" ht="12.75" hidden="false" customHeight="true" outlineLevel="0" collapsed="false">
      <c r="P1355" s="1" t="n">
        <v>1352</v>
      </c>
      <c r="Q1355" s="147" t="n">
        <v>30394.960235018</v>
      </c>
      <c r="R1355" s="147" t="n">
        <v>0.273237676486612</v>
      </c>
      <c r="S1355" s="147" t="n">
        <v>0.0960976988713071</v>
      </c>
      <c r="T1355" s="147" t="n">
        <v>0.0462658603856988</v>
      </c>
    </row>
    <row r="1356" customFormat="false" ht="12.75" hidden="false" customHeight="true" outlineLevel="0" collapsed="false">
      <c r="P1356" s="1" t="n">
        <v>1353</v>
      </c>
      <c r="Q1356" s="147" t="n">
        <v>30417.431076692</v>
      </c>
      <c r="R1356" s="147" t="n">
        <v>0.274459145585883</v>
      </c>
      <c r="S1356" s="147" t="n">
        <v>0.0962970219906815</v>
      </c>
      <c r="T1356" s="147" t="n">
        <v>0.0469000965662048</v>
      </c>
    </row>
    <row r="1357" customFormat="false" ht="12.75" hidden="false" customHeight="true" outlineLevel="0" collapsed="false">
      <c r="P1357" s="1" t="n">
        <v>1354</v>
      </c>
      <c r="Q1357" s="147" t="n">
        <v>30440.631640211</v>
      </c>
      <c r="R1357" s="147" t="n">
        <v>0.274872252286328</v>
      </c>
      <c r="S1357" s="147" t="n">
        <v>0.0942635146694836</v>
      </c>
      <c r="T1357" s="147" t="n">
        <v>0.0464606184844272</v>
      </c>
    </row>
    <row r="1358" customFormat="false" ht="12.75" hidden="false" customHeight="true" outlineLevel="0" collapsed="false">
      <c r="P1358" s="1" t="n">
        <v>1355</v>
      </c>
      <c r="Q1358" s="147" t="n">
        <v>30463.445454694</v>
      </c>
      <c r="R1358" s="147" t="n">
        <v>0.275830120878476</v>
      </c>
      <c r="S1358" s="147" t="n">
        <v>0.0944108896167857</v>
      </c>
      <c r="T1358" s="147" t="n">
        <v>0.0463338881979878</v>
      </c>
    </row>
    <row r="1359" customFormat="false" ht="12.75" hidden="false" customHeight="true" outlineLevel="0" collapsed="false">
      <c r="P1359" s="1" t="n">
        <v>1356</v>
      </c>
      <c r="Q1359" s="147" t="n">
        <v>30486.646010853</v>
      </c>
      <c r="R1359" s="147" t="n">
        <v>0.276155479651028</v>
      </c>
      <c r="S1359" s="147" t="n">
        <v>0.0956144296395587</v>
      </c>
      <c r="T1359" s="147" t="n">
        <v>0.0452104674881326</v>
      </c>
    </row>
    <row r="1360" customFormat="false" ht="12.75" hidden="false" customHeight="true" outlineLevel="0" collapsed="false">
      <c r="P1360" s="1" t="n">
        <v>1357</v>
      </c>
      <c r="Q1360" s="147" t="n">
        <v>30509.584627888</v>
      </c>
      <c r="R1360" s="147" t="n">
        <v>0.276739497877908</v>
      </c>
      <c r="S1360" s="147" t="n">
        <v>0.0965422749259772</v>
      </c>
      <c r="T1360" s="147" t="n">
        <v>0.0437056563599283</v>
      </c>
    </row>
    <row r="1361" customFormat="false" ht="12.75" hidden="false" customHeight="true" outlineLevel="0" collapsed="false">
      <c r="P1361" s="1" t="n">
        <v>1358</v>
      </c>
      <c r="Q1361" s="147" t="n">
        <v>30532.432817464</v>
      </c>
      <c r="R1361" s="147" t="n">
        <v>0.276778043541569</v>
      </c>
      <c r="S1361" s="147" t="n">
        <v>0.0968156039356892</v>
      </c>
      <c r="T1361" s="147" t="n">
        <v>0.041862177626625</v>
      </c>
    </row>
    <row r="1362" customFormat="false" ht="12.75" hidden="false" customHeight="true" outlineLevel="0" collapsed="false">
      <c r="P1362" s="1" t="n">
        <v>1359</v>
      </c>
      <c r="Q1362" s="147" t="n">
        <v>30555.212663944</v>
      </c>
      <c r="R1362" s="147" t="n">
        <v>0.276639268642537</v>
      </c>
      <c r="S1362" s="147" t="n">
        <v>0.0958043381246533</v>
      </c>
      <c r="T1362" s="147" t="n">
        <v>0.0397451430736876</v>
      </c>
    </row>
    <row r="1363" customFormat="false" ht="12.75" hidden="false" customHeight="true" outlineLevel="0" collapsed="false">
      <c r="P1363" s="1" t="n">
        <v>1360</v>
      </c>
      <c r="Q1363" s="147" t="n">
        <v>30577.871466287</v>
      </c>
      <c r="R1363" s="147" t="n">
        <v>0.27606525947395</v>
      </c>
      <c r="S1363" s="147" t="n">
        <v>0.0945343036996172</v>
      </c>
      <c r="T1363" s="147" t="n">
        <v>0.0374640030199327</v>
      </c>
    </row>
    <row r="1364" customFormat="false" ht="12.75" hidden="false" customHeight="true" outlineLevel="0" collapsed="false">
      <c r="P1364" s="1" t="n">
        <v>1361</v>
      </c>
      <c r="Q1364" s="147" t="n">
        <v>30600.408391438</v>
      </c>
      <c r="R1364" s="147" t="n">
        <v>0.275077444123621</v>
      </c>
      <c r="S1364" s="147" t="n">
        <v>0.0933528896527158</v>
      </c>
      <c r="T1364" s="147" t="n">
        <v>0.0352509562442525</v>
      </c>
    </row>
    <row r="1365" customFormat="false" ht="12.75" hidden="false" customHeight="true" outlineLevel="0" collapsed="false">
      <c r="P1365" s="1" t="n">
        <v>1362</v>
      </c>
      <c r="Q1365" s="147" t="n">
        <v>30623.103662375</v>
      </c>
      <c r="R1365" s="147" t="n">
        <v>0.274105359062551</v>
      </c>
      <c r="S1365" s="147" t="n">
        <v>0.0905170411852401</v>
      </c>
      <c r="T1365" s="147" t="n">
        <v>0.0329345406419625</v>
      </c>
    </row>
    <row r="1366" customFormat="false" ht="12.75" hidden="false" customHeight="true" outlineLevel="0" collapsed="false">
      <c r="P1366" s="1" t="n">
        <v>1363</v>
      </c>
      <c r="Q1366" s="147" t="n">
        <v>30645.056886647</v>
      </c>
      <c r="R1366" s="147" t="n">
        <v>0.273384752547067</v>
      </c>
      <c r="S1366" s="147" t="n">
        <v>0.0877706258070778</v>
      </c>
      <c r="T1366" s="147" t="n">
        <v>0.031190946441187</v>
      </c>
    </row>
    <row r="1367" customFormat="false" ht="12.75" hidden="false" customHeight="true" outlineLevel="0" collapsed="false">
      <c r="P1367" s="1" t="n">
        <v>1364</v>
      </c>
      <c r="Q1367" s="147" t="n">
        <v>30667.529934123</v>
      </c>
      <c r="R1367" s="147" t="n">
        <v>0.273279123854528</v>
      </c>
      <c r="S1367" s="147" t="n">
        <v>0.0835782686581088</v>
      </c>
      <c r="T1367" s="147" t="n">
        <v>0.03001021559777</v>
      </c>
    </row>
    <row r="1368" customFormat="false" ht="12.75" hidden="false" customHeight="true" outlineLevel="0" collapsed="false">
      <c r="P1368" s="1" t="n">
        <v>1365</v>
      </c>
      <c r="Q1368" s="147" t="n">
        <v>30690.520358211</v>
      </c>
      <c r="R1368" s="147" t="n">
        <v>0.273775267946447</v>
      </c>
      <c r="S1368" s="147" t="n">
        <v>0.0796907231832563</v>
      </c>
      <c r="T1368" s="147" t="n">
        <v>0.0299754079980397</v>
      </c>
    </row>
    <row r="1369" customFormat="false" ht="12.75" hidden="false" customHeight="true" outlineLevel="0" collapsed="false">
      <c r="P1369" s="1" t="n">
        <v>1366</v>
      </c>
      <c r="Q1369" s="147" t="n">
        <v>30713.636605346</v>
      </c>
      <c r="R1369" s="147" t="n">
        <v>0.273690174236838</v>
      </c>
      <c r="S1369" s="147" t="n">
        <v>0.0750406984594732</v>
      </c>
      <c r="T1369" s="147" t="n">
        <v>0.0307732350040284</v>
      </c>
    </row>
    <row r="1370" customFormat="false" ht="12.75" hidden="false" customHeight="true" outlineLevel="0" collapsed="false">
      <c r="P1370" s="1" t="n">
        <v>1367</v>
      </c>
      <c r="Q1370" s="147" t="n">
        <v>30736.543477548</v>
      </c>
      <c r="R1370" s="147" t="n">
        <v>0.274605306910671</v>
      </c>
      <c r="S1370" s="147" t="n">
        <v>0.0695989864127211</v>
      </c>
      <c r="T1370" s="147" t="n">
        <v>0.0319452839842739</v>
      </c>
    </row>
    <row r="1371" customFormat="false" ht="12.75" hidden="false" customHeight="true" outlineLevel="0" collapsed="false">
      <c r="P1371" s="1" t="n">
        <v>1368</v>
      </c>
      <c r="Q1371" s="147" t="n">
        <v>30759.934594845</v>
      </c>
      <c r="R1371" s="147" t="n">
        <v>0.275796767440336</v>
      </c>
      <c r="S1371" s="147" t="n">
        <v>0.0653067433014662</v>
      </c>
      <c r="T1371" s="147" t="n">
        <v>0.033113928785517</v>
      </c>
    </row>
    <row r="1372" customFormat="false" ht="12.75" hidden="false" customHeight="true" outlineLevel="0" collapsed="false">
      <c r="P1372" s="1" t="n">
        <v>1369</v>
      </c>
      <c r="Q1372" s="147" t="n">
        <v>30782.142915538</v>
      </c>
      <c r="R1372" s="147" t="n">
        <v>0.27691517508746</v>
      </c>
      <c r="S1372" s="147" t="n">
        <v>0.0631858821235238</v>
      </c>
      <c r="T1372" s="147" t="n">
        <v>0.0339788306346755</v>
      </c>
    </row>
    <row r="1373" customFormat="false" ht="12.75" hidden="false" customHeight="true" outlineLevel="0" collapsed="false">
      <c r="P1373" s="1" t="n">
        <v>1370</v>
      </c>
      <c r="Q1373" s="147" t="n">
        <v>30805.282087712</v>
      </c>
      <c r="R1373" s="147" t="n">
        <v>0.277935654424495</v>
      </c>
      <c r="S1373" s="147" t="n">
        <v>0.0648647663884055</v>
      </c>
      <c r="T1373" s="147" t="n">
        <v>0.0346823470881986</v>
      </c>
    </row>
    <row r="1374" customFormat="false" ht="12.75" hidden="false" customHeight="true" outlineLevel="0" collapsed="false">
      <c r="P1374" s="1" t="n">
        <v>1371</v>
      </c>
      <c r="Q1374" s="147" t="n">
        <v>30827.412562776</v>
      </c>
      <c r="R1374" s="147" t="n">
        <v>0.278894048766235</v>
      </c>
      <c r="S1374" s="147" t="n">
        <v>0.0661539593263223</v>
      </c>
      <c r="T1374" s="147" t="n">
        <v>0.0344331034856196</v>
      </c>
    </row>
    <row r="1375" customFormat="false" ht="12.75" hidden="false" customHeight="true" outlineLevel="0" collapsed="false">
      <c r="P1375" s="1" t="n">
        <v>1372</v>
      </c>
      <c r="Q1375" s="147" t="n">
        <v>30850.278471341</v>
      </c>
      <c r="R1375" s="147" t="n">
        <v>0.278734656377321</v>
      </c>
      <c r="S1375" s="147" t="n">
        <v>0.072939127808578</v>
      </c>
      <c r="T1375" s="147" t="n">
        <v>0.0342819346249143</v>
      </c>
    </row>
    <row r="1376" customFormat="false" ht="12.75" hidden="false" customHeight="true" outlineLevel="0" collapsed="false">
      <c r="P1376" s="1" t="n">
        <v>1373</v>
      </c>
      <c r="Q1376" s="147" t="n">
        <v>30872.621232025</v>
      </c>
      <c r="R1376" s="147" t="n">
        <v>0.278951379781837</v>
      </c>
      <c r="S1376" s="147" t="n">
        <v>0.0771639359572434</v>
      </c>
      <c r="T1376" s="147" t="n">
        <v>0.0332884630642933</v>
      </c>
    </row>
    <row r="1377" customFormat="false" ht="12.75" hidden="false" customHeight="true" outlineLevel="0" collapsed="false">
      <c r="P1377" s="1" t="n">
        <v>1374</v>
      </c>
      <c r="Q1377" s="147" t="n">
        <v>30895.25329844</v>
      </c>
      <c r="R1377" s="147" t="n">
        <v>0.277879172077885</v>
      </c>
      <c r="S1377" s="147" t="n">
        <v>0.0837967280820746</v>
      </c>
      <c r="T1377" s="147" t="n">
        <v>0.0324667355316273</v>
      </c>
    </row>
    <row r="1378" customFormat="false" ht="12.75" hidden="false" customHeight="true" outlineLevel="0" collapsed="false">
      <c r="P1378" s="1" t="n">
        <v>1375</v>
      </c>
      <c r="Q1378" s="147" t="n">
        <v>30917.805165476</v>
      </c>
      <c r="R1378" s="147" t="n">
        <v>0.276793829083793</v>
      </c>
      <c r="S1378" s="147" t="n">
        <v>0.0871142948956746</v>
      </c>
      <c r="T1378" s="147" t="n">
        <v>0.0314008580681119</v>
      </c>
    </row>
    <row r="1379" customFormat="false" ht="12.75" hidden="false" customHeight="true" outlineLevel="0" collapsed="false">
      <c r="P1379" s="1" t="n">
        <v>1376</v>
      </c>
      <c r="Q1379" s="147" t="n">
        <v>30940.512756669</v>
      </c>
      <c r="R1379" s="147" t="n">
        <v>0.275064338459053</v>
      </c>
      <c r="S1379" s="147" t="n">
        <v>0.0904447372767652</v>
      </c>
      <c r="T1379" s="147" t="n">
        <v>0.0305903507789896</v>
      </c>
    </row>
    <row r="1380" customFormat="false" ht="12.75" hidden="false" customHeight="true" outlineLevel="0" collapsed="false">
      <c r="P1380" s="1" t="n">
        <v>1377</v>
      </c>
      <c r="Q1380" s="147" t="n">
        <v>30962.48222151</v>
      </c>
      <c r="R1380" s="147" t="n">
        <v>0.273680707523024</v>
      </c>
      <c r="S1380" s="147" t="n">
        <v>0.0921201119404538</v>
      </c>
      <c r="T1380" s="147" t="n">
        <v>0.0298728228304989</v>
      </c>
    </row>
    <row r="1381" customFormat="false" ht="12.75" hidden="false" customHeight="true" outlineLevel="0" collapsed="false">
      <c r="P1381" s="1" t="n">
        <v>1378</v>
      </c>
      <c r="Q1381" s="147" t="n">
        <v>30985.100266761</v>
      </c>
      <c r="R1381" s="147" t="n">
        <v>0.271932382049456</v>
      </c>
      <c r="S1381" s="147" t="n">
        <v>0.0916021811398905</v>
      </c>
      <c r="T1381" s="147" t="n">
        <v>0.0291722150229676</v>
      </c>
    </row>
    <row r="1382" customFormat="false" ht="12.75" hidden="false" customHeight="true" outlineLevel="0" collapsed="false">
      <c r="P1382" s="1" t="n">
        <v>1379</v>
      </c>
      <c r="Q1382" s="147" t="n">
        <v>31007.747524075</v>
      </c>
      <c r="R1382" s="147" t="n">
        <v>0.270417747590083</v>
      </c>
      <c r="S1382" s="147" t="n">
        <v>0.0914936561940159</v>
      </c>
      <c r="T1382" s="147" t="n">
        <v>0.0287205183975225</v>
      </c>
    </row>
    <row r="1383" customFormat="false" ht="12.75" hidden="false" customHeight="true" outlineLevel="0" collapsed="false">
      <c r="P1383" s="1" t="n">
        <v>1380</v>
      </c>
      <c r="Q1383" s="147" t="n">
        <v>31030.358340295</v>
      </c>
      <c r="R1383" s="147" t="n">
        <v>0.269547269692859</v>
      </c>
      <c r="S1383" s="147" t="n">
        <v>0.090601282493359</v>
      </c>
      <c r="T1383" s="147" t="n">
        <v>0.0279146617305545</v>
      </c>
    </row>
    <row r="1384" customFormat="false" ht="12.75" hidden="false" customHeight="true" outlineLevel="0" collapsed="false">
      <c r="P1384" s="1" t="n">
        <v>1381</v>
      </c>
      <c r="Q1384" s="147" t="n">
        <v>31053.167863341</v>
      </c>
      <c r="R1384" s="147" t="n">
        <v>0.268891630546637</v>
      </c>
      <c r="S1384" s="147" t="n">
        <v>0.0889570055656161</v>
      </c>
      <c r="T1384" s="147" t="n">
        <v>0.0272756660191922</v>
      </c>
    </row>
    <row r="1385" customFormat="false" ht="12.75" hidden="false" customHeight="true" outlineLevel="0" collapsed="false">
      <c r="P1385" s="1" t="n">
        <v>1382</v>
      </c>
      <c r="Q1385" s="147" t="n">
        <v>31076.110104817</v>
      </c>
      <c r="R1385" s="147" t="n">
        <v>0.268521937875165</v>
      </c>
      <c r="S1385" s="147" t="n">
        <v>0.0857593851714577</v>
      </c>
      <c r="T1385" s="147" t="n">
        <v>0.0270455798264493</v>
      </c>
    </row>
    <row r="1386" customFormat="false" ht="12.75" hidden="false" customHeight="true" outlineLevel="0" collapsed="false">
      <c r="P1386" s="1" t="n">
        <v>1383</v>
      </c>
      <c r="Q1386" s="147" t="n">
        <v>31098.694634721</v>
      </c>
      <c r="R1386" s="147" t="n">
        <v>0.268406570279869</v>
      </c>
      <c r="S1386" s="147" t="n">
        <v>0.0816269086874905</v>
      </c>
      <c r="T1386" s="147" t="n">
        <v>0.0272511712269576</v>
      </c>
    </row>
    <row r="1387" customFormat="false" ht="12.75" hidden="false" customHeight="true" outlineLevel="0" collapsed="false">
      <c r="P1387" s="1" t="n">
        <v>1384</v>
      </c>
      <c r="Q1387" s="147" t="n">
        <v>31121.184289395</v>
      </c>
      <c r="R1387" s="147" t="n">
        <v>0.268764008624272</v>
      </c>
      <c r="S1387" s="147" t="n">
        <v>0.0780106657237874</v>
      </c>
      <c r="T1387" s="147" t="n">
        <v>0.0276215081511766</v>
      </c>
    </row>
    <row r="1388" customFormat="false" ht="12.75" hidden="false" customHeight="true" outlineLevel="0" collapsed="false">
      <c r="P1388" s="1" t="n">
        <v>1385</v>
      </c>
      <c r="Q1388" s="147" t="n">
        <v>31143.497148605</v>
      </c>
      <c r="R1388" s="147" t="n">
        <v>0.268791744886038</v>
      </c>
      <c r="S1388" s="147" t="n">
        <v>0.0756656869264757</v>
      </c>
      <c r="T1388" s="147" t="n">
        <v>0.0280760063833639</v>
      </c>
    </row>
    <row r="1389" customFormat="false" ht="12.75" hidden="false" customHeight="true" outlineLevel="0" collapsed="false">
      <c r="P1389" s="1" t="n">
        <v>1386</v>
      </c>
      <c r="Q1389" s="147" t="n">
        <v>31166.103391463</v>
      </c>
      <c r="R1389" s="147" t="n">
        <v>0.268634386142271</v>
      </c>
      <c r="S1389" s="147" t="n">
        <v>0.0753354092875618</v>
      </c>
      <c r="T1389" s="147" t="n">
        <v>0.0291322099334487</v>
      </c>
    </row>
    <row r="1390" customFormat="false" ht="12.75" hidden="false" customHeight="true" outlineLevel="0" collapsed="false">
      <c r="P1390" s="1" t="n">
        <v>1387</v>
      </c>
      <c r="Q1390" s="147" t="n">
        <v>31188.364634178</v>
      </c>
      <c r="R1390" s="147" t="n">
        <v>0.26812824217305</v>
      </c>
      <c r="S1390" s="147" t="n">
        <v>0.0772069698314406</v>
      </c>
      <c r="T1390" s="147" t="n">
        <v>0.0298298169652216</v>
      </c>
    </row>
    <row r="1391" customFormat="false" ht="12.75" hidden="false" customHeight="true" outlineLevel="0" collapsed="false">
      <c r="P1391" s="1" t="n">
        <v>1388</v>
      </c>
      <c r="Q1391" s="147" t="n">
        <v>31211.028965544</v>
      </c>
      <c r="R1391" s="147" t="n">
        <v>0.267166336834929</v>
      </c>
      <c r="S1391" s="147" t="n">
        <v>0.0825136243076242</v>
      </c>
      <c r="T1391" s="147" t="n">
        <v>0.0306859218702237</v>
      </c>
    </row>
    <row r="1392" customFormat="false" ht="12.75" hidden="false" customHeight="true" outlineLevel="0" collapsed="false">
      <c r="P1392" s="1" t="n">
        <v>1389</v>
      </c>
      <c r="Q1392" s="147" t="n">
        <v>31234.125397025</v>
      </c>
      <c r="R1392" s="147" t="n">
        <v>0.266372981023872</v>
      </c>
      <c r="S1392" s="147" t="n">
        <v>0.0916071938578892</v>
      </c>
      <c r="T1392" s="147" t="n">
        <v>0.0308313014779351</v>
      </c>
    </row>
    <row r="1393" customFormat="false" ht="12.75" hidden="false" customHeight="true" outlineLevel="0" collapsed="false">
      <c r="P1393" s="1" t="n">
        <v>1390</v>
      </c>
      <c r="Q1393" s="147" t="n">
        <v>31257.225072892</v>
      </c>
      <c r="R1393" s="147" t="n">
        <v>0.265266427018556</v>
      </c>
      <c r="S1393" s="147" t="n">
        <v>0.101091159951764</v>
      </c>
      <c r="T1393" s="147" t="n">
        <v>0.030555210699185</v>
      </c>
    </row>
    <row r="1394" customFormat="false" ht="12.75" hidden="false" customHeight="true" outlineLevel="0" collapsed="false">
      <c r="P1394" s="1" t="n">
        <v>1391</v>
      </c>
      <c r="Q1394" s="147" t="n">
        <v>31279.345176751</v>
      </c>
      <c r="R1394" s="147" t="n">
        <v>0.264054871413259</v>
      </c>
      <c r="S1394" s="147" t="n">
        <v>0.107279140941814</v>
      </c>
      <c r="T1394" s="147" t="n">
        <v>0.0305028871751573</v>
      </c>
    </row>
    <row r="1395" customFormat="false" ht="12.75" hidden="false" customHeight="true" outlineLevel="0" collapsed="false">
      <c r="P1395" s="1" t="n">
        <v>1392</v>
      </c>
      <c r="Q1395" s="147" t="n">
        <v>31301.885389913</v>
      </c>
      <c r="R1395" s="147" t="n">
        <v>0.262497582685456</v>
      </c>
      <c r="S1395" s="147" t="n">
        <v>0.111711347218817</v>
      </c>
      <c r="T1395" s="147" t="n">
        <v>0.030828663829341</v>
      </c>
    </row>
    <row r="1396" customFormat="false" ht="12.75" hidden="false" customHeight="true" outlineLevel="0" collapsed="false">
      <c r="P1396" s="1" t="n">
        <v>1393</v>
      </c>
      <c r="Q1396" s="147" t="n">
        <v>31324.18135016</v>
      </c>
      <c r="R1396" s="147" t="n">
        <v>0.261997503932816</v>
      </c>
      <c r="S1396" s="147" t="n">
        <v>0.113930555371464</v>
      </c>
      <c r="T1396" s="147" t="n">
        <v>0.0311978989463631</v>
      </c>
    </row>
    <row r="1397" customFormat="false" ht="12.75" hidden="false" customHeight="true" outlineLevel="0" collapsed="false">
      <c r="P1397" s="1" t="n">
        <v>1394</v>
      </c>
      <c r="Q1397" s="147" t="n">
        <v>31346.610221787</v>
      </c>
      <c r="R1397" s="147" t="n">
        <v>0.261512277417946</v>
      </c>
      <c r="S1397" s="147" t="n">
        <v>0.114496118501912</v>
      </c>
      <c r="T1397" s="147" t="n">
        <v>0.0311483826572927</v>
      </c>
    </row>
    <row r="1398" customFormat="false" ht="12.75" hidden="false" customHeight="true" outlineLevel="0" collapsed="false">
      <c r="P1398" s="1" t="n">
        <v>1395</v>
      </c>
      <c r="Q1398" s="147" t="n">
        <v>31369.282990679</v>
      </c>
      <c r="R1398" s="147" t="n">
        <v>0.261750374908384</v>
      </c>
      <c r="S1398" s="147" t="n">
        <v>0.113621148554297</v>
      </c>
      <c r="T1398" s="147" t="n">
        <v>0.03152420880722</v>
      </c>
    </row>
    <row r="1399" customFormat="false" ht="12.75" hidden="false" customHeight="true" outlineLevel="0" collapsed="false">
      <c r="P1399" s="1" t="n">
        <v>1396</v>
      </c>
      <c r="Q1399" s="147" t="n">
        <v>31392.195956262</v>
      </c>
      <c r="R1399" s="147" t="n">
        <v>0.262500209507703</v>
      </c>
      <c r="S1399" s="147" t="n">
        <v>0.109848877525337</v>
      </c>
      <c r="T1399" s="147" t="n">
        <v>0.0314378372479255</v>
      </c>
    </row>
    <row r="1400" customFormat="false" ht="12.75" hidden="false" customHeight="true" outlineLevel="0" collapsed="false">
      <c r="P1400" s="1" t="n">
        <v>1397</v>
      </c>
      <c r="Q1400" s="147" t="n">
        <v>31414.813847213</v>
      </c>
      <c r="R1400" s="147" t="n">
        <v>0.263404909616244</v>
      </c>
      <c r="S1400" s="147" t="n">
        <v>0.104386992677578</v>
      </c>
      <c r="T1400" s="147" t="n">
        <v>0.0314573890813803</v>
      </c>
    </row>
    <row r="1401" customFormat="false" ht="12.75" hidden="false" customHeight="true" outlineLevel="0" collapsed="false">
      <c r="P1401" s="1" t="n">
        <v>1398</v>
      </c>
      <c r="Q1401" s="147" t="n">
        <v>31437.562337933</v>
      </c>
      <c r="R1401" s="147" t="n">
        <v>0.264462240040086</v>
      </c>
      <c r="S1401" s="147" t="n">
        <v>0.100345371399028</v>
      </c>
      <c r="T1401" s="147" t="n">
        <v>0.0315386344159187</v>
      </c>
    </row>
    <row r="1402" customFormat="false" ht="12.75" hidden="false" customHeight="true" outlineLevel="0" collapsed="false">
      <c r="P1402" s="1" t="n">
        <v>1399</v>
      </c>
      <c r="Q1402" s="147" t="n">
        <v>31460.296477761</v>
      </c>
      <c r="R1402" s="147" t="n">
        <v>0.265649498591227</v>
      </c>
      <c r="S1402" s="147" t="n">
        <v>0.0971662456879656</v>
      </c>
      <c r="T1402" s="147" t="n">
        <v>0.0312546131222664</v>
      </c>
    </row>
    <row r="1403" customFormat="false" ht="12.75" hidden="false" customHeight="true" outlineLevel="0" collapsed="false">
      <c r="P1403" s="1" t="n">
        <v>1400</v>
      </c>
      <c r="Q1403" s="147" t="n">
        <v>31482.639196771</v>
      </c>
      <c r="R1403" s="147" t="n">
        <v>0.26666614063068</v>
      </c>
      <c r="S1403" s="147" t="n">
        <v>0.0951504275888833</v>
      </c>
      <c r="T1403" s="147" t="n">
        <v>0.0311214835673165</v>
      </c>
    </row>
    <row r="1404" customFormat="false" ht="12.75" hidden="false" customHeight="true" outlineLevel="0" collapsed="false">
      <c r="P1404" s="1" t="n">
        <v>1401</v>
      </c>
      <c r="Q1404" s="147" t="n">
        <v>31505.136387284</v>
      </c>
      <c r="R1404" s="147" t="n">
        <v>0.267526634686128</v>
      </c>
      <c r="S1404" s="147" t="n">
        <v>0.0939361324894242</v>
      </c>
      <c r="T1404" s="147" t="n">
        <v>0.0312175583178396</v>
      </c>
    </row>
    <row r="1405" customFormat="false" ht="12.75" hidden="false" customHeight="true" outlineLevel="0" collapsed="false">
      <c r="P1405" s="1" t="n">
        <v>1402</v>
      </c>
      <c r="Q1405" s="147" t="n">
        <v>31527.706114338</v>
      </c>
      <c r="R1405" s="147" t="n">
        <v>0.268248756205458</v>
      </c>
      <c r="S1405" s="147" t="n">
        <v>0.0934908465162363</v>
      </c>
      <c r="T1405" s="147" t="n">
        <v>0.0313859333908385</v>
      </c>
    </row>
    <row r="1406" customFormat="false" ht="12.75" hidden="false" customHeight="true" outlineLevel="0" collapsed="false">
      <c r="P1406" s="1" t="n">
        <v>1403</v>
      </c>
      <c r="Q1406" s="147" t="n">
        <v>31550.140773821</v>
      </c>
      <c r="R1406" s="147" t="n">
        <v>0.268974699962785</v>
      </c>
      <c r="S1406" s="147" t="n">
        <v>0.0933850497976181</v>
      </c>
      <c r="T1406" s="147" t="n">
        <v>0.0313110725463594</v>
      </c>
    </row>
    <row r="1407" customFormat="false" ht="12.75" hidden="false" customHeight="true" outlineLevel="0" collapsed="false">
      <c r="P1407" s="1" t="n">
        <v>1404</v>
      </c>
      <c r="Q1407" s="147" t="n">
        <v>31572.792253879</v>
      </c>
      <c r="R1407" s="147" t="n">
        <v>0.269892339319293</v>
      </c>
      <c r="S1407" s="147" t="n">
        <v>0.0935479663230601</v>
      </c>
      <c r="T1407" s="147" t="n">
        <v>0.0318178803678375</v>
      </c>
    </row>
    <row r="1408" customFormat="false" ht="12.75" hidden="false" customHeight="true" outlineLevel="0" collapsed="false">
      <c r="P1408" s="1" t="n">
        <v>1405</v>
      </c>
      <c r="Q1408" s="147" t="n">
        <v>31595.587089814</v>
      </c>
      <c r="R1408" s="147" t="n">
        <v>0.27097862883145</v>
      </c>
      <c r="S1408" s="147" t="n">
        <v>0.094567905864767</v>
      </c>
      <c r="T1408" s="147" t="n">
        <v>0.032665427730885</v>
      </c>
    </row>
    <row r="1409" customFormat="false" ht="12.75" hidden="false" customHeight="true" outlineLevel="0" collapsed="false">
      <c r="P1409" s="1" t="n">
        <v>1406</v>
      </c>
      <c r="Q1409" s="147" t="n">
        <v>31618.240195974</v>
      </c>
      <c r="R1409" s="147" t="n">
        <v>0.271931679726299</v>
      </c>
      <c r="S1409" s="147" t="n">
        <v>0.0962581488094005</v>
      </c>
      <c r="T1409" s="147" t="n">
        <v>0.0337779875160358</v>
      </c>
    </row>
    <row r="1410" customFormat="false" ht="12.75" hidden="false" customHeight="true" outlineLevel="0" collapsed="false">
      <c r="P1410" s="1" t="n">
        <v>1407</v>
      </c>
      <c r="Q1410" s="147" t="n">
        <v>31641.052679049</v>
      </c>
      <c r="R1410" s="147" t="n">
        <v>0.272538469910155</v>
      </c>
      <c r="S1410" s="147" t="n">
        <v>0.0978193360260586</v>
      </c>
      <c r="T1410" s="147" t="n">
        <v>0.0348212459227917</v>
      </c>
    </row>
    <row r="1411" customFormat="false" ht="12.75" hidden="false" customHeight="true" outlineLevel="0" collapsed="false">
      <c r="P1411" s="1" t="n">
        <v>1408</v>
      </c>
      <c r="Q1411" s="147" t="n">
        <v>31664.122102437</v>
      </c>
      <c r="R1411" s="147" t="n">
        <v>0.272793585756386</v>
      </c>
      <c r="S1411" s="147" t="n">
        <v>0.0987835843756501</v>
      </c>
      <c r="T1411" s="147" t="n">
        <v>0.0358609078528072</v>
      </c>
    </row>
    <row r="1412" customFormat="false" ht="12.75" hidden="false" customHeight="true" outlineLevel="0" collapsed="false">
      <c r="P1412" s="1" t="n">
        <v>1409</v>
      </c>
      <c r="Q1412" s="147" t="n">
        <v>31686.697119279</v>
      </c>
      <c r="R1412" s="147" t="n">
        <v>0.272755946897645</v>
      </c>
      <c r="S1412" s="147" t="n">
        <v>0.0991923565038569</v>
      </c>
      <c r="T1412" s="147" t="n">
        <v>0.0366649750655516</v>
      </c>
    </row>
    <row r="1413" customFormat="false" ht="12.75" hidden="false" customHeight="true" outlineLevel="0" collapsed="false">
      <c r="P1413" s="1" t="n">
        <v>1410</v>
      </c>
      <c r="Q1413" s="147" t="n">
        <v>31708.935709116</v>
      </c>
      <c r="R1413" s="147" t="n">
        <v>0.272528073346778</v>
      </c>
      <c r="S1413" s="147" t="n">
        <v>0.0988163291378679</v>
      </c>
      <c r="T1413" s="147" t="n">
        <v>0.0374142680260407</v>
      </c>
    </row>
    <row r="1414" customFormat="false" ht="12.75" hidden="false" customHeight="true" outlineLevel="0" collapsed="false">
      <c r="P1414" s="1" t="n">
        <v>1411</v>
      </c>
      <c r="Q1414" s="147" t="n">
        <v>31731.271236215</v>
      </c>
      <c r="R1414" s="147" t="n">
        <v>0.272487031417167</v>
      </c>
      <c r="S1414" s="147" t="n">
        <v>0.0975218089841578</v>
      </c>
      <c r="T1414" s="147" t="n">
        <v>0.0377008057663422</v>
      </c>
    </row>
    <row r="1415" customFormat="false" ht="12.75" hidden="false" customHeight="true" outlineLevel="0" collapsed="false">
      <c r="P1415" s="1" t="n">
        <v>1412</v>
      </c>
      <c r="Q1415" s="147" t="n">
        <v>31753.719760493</v>
      </c>
      <c r="R1415" s="147" t="n">
        <v>0.272651808780365</v>
      </c>
      <c r="S1415" s="147" t="n">
        <v>0.0958254829116219</v>
      </c>
      <c r="T1415" s="147" t="n">
        <v>0.0374368259523575</v>
      </c>
    </row>
    <row r="1416" customFormat="false" ht="12.75" hidden="false" customHeight="true" outlineLevel="0" collapsed="false">
      <c r="P1416" s="1" t="n">
        <v>1413</v>
      </c>
      <c r="Q1416" s="147" t="n">
        <v>31776.427578735</v>
      </c>
      <c r="R1416" s="147" t="n">
        <v>0.273258781083866</v>
      </c>
      <c r="S1416" s="147" t="n">
        <v>0.0944074498462758</v>
      </c>
      <c r="T1416" s="147" t="n">
        <v>0.0366401378371852</v>
      </c>
    </row>
    <row r="1417" customFormat="false" ht="12.75" hidden="false" customHeight="true" outlineLevel="0" collapsed="false">
      <c r="P1417" s="1" t="n">
        <v>1414</v>
      </c>
      <c r="Q1417" s="147" t="n">
        <v>31799.176662103</v>
      </c>
      <c r="R1417" s="147" t="n">
        <v>0.273752216672994</v>
      </c>
      <c r="S1417" s="147" t="n">
        <v>0.092268494762579</v>
      </c>
      <c r="T1417" s="147" t="n">
        <v>0.0357695832460548</v>
      </c>
    </row>
    <row r="1418" customFormat="false" ht="12.75" hidden="false" customHeight="true" outlineLevel="0" collapsed="false">
      <c r="P1418" s="1" t="n">
        <v>1415</v>
      </c>
      <c r="Q1418" s="147" t="n">
        <v>31821.752156283</v>
      </c>
      <c r="R1418" s="147" t="n">
        <v>0.274935526696483</v>
      </c>
      <c r="S1418" s="147" t="n">
        <v>0.0875502689177457</v>
      </c>
      <c r="T1418" s="147" t="n">
        <v>0.0344040512465799</v>
      </c>
    </row>
    <row r="1419" customFormat="false" ht="12.75" hidden="false" customHeight="true" outlineLevel="0" collapsed="false">
      <c r="P1419" s="1" t="n">
        <v>1416</v>
      </c>
      <c r="Q1419" s="147" t="n">
        <v>31844.539299739</v>
      </c>
      <c r="R1419" s="147" t="n">
        <v>0.276307606454025</v>
      </c>
      <c r="S1419" s="147" t="n">
        <v>0.0808174627718733</v>
      </c>
      <c r="T1419" s="147" t="n">
        <v>0.0330413028877242</v>
      </c>
    </row>
    <row r="1420" customFormat="false" ht="12.75" hidden="false" customHeight="true" outlineLevel="0" collapsed="false">
      <c r="P1420" s="1" t="n">
        <v>1417</v>
      </c>
      <c r="Q1420" s="147" t="n">
        <v>31867.242802318</v>
      </c>
      <c r="R1420" s="147" t="n">
        <v>0.277756923885909</v>
      </c>
      <c r="S1420" s="147" t="n">
        <v>0.0732553998033575</v>
      </c>
      <c r="T1420" s="147" t="n">
        <v>0.0317726488007653</v>
      </c>
    </row>
    <row r="1421" customFormat="false" ht="12.75" hidden="false" customHeight="true" outlineLevel="0" collapsed="false">
      <c r="P1421" s="1" t="n">
        <v>1418</v>
      </c>
      <c r="Q1421" s="147" t="n">
        <v>31890.017755653</v>
      </c>
      <c r="R1421" s="147" t="n">
        <v>0.278974570820538</v>
      </c>
      <c r="S1421" s="147" t="n">
        <v>0.0682119967308657</v>
      </c>
      <c r="T1421" s="147" t="n">
        <v>0.0306212213648976</v>
      </c>
    </row>
    <row r="1422" customFormat="false" ht="12.75" hidden="false" customHeight="true" outlineLevel="0" collapsed="false">
      <c r="P1422" s="1" t="n">
        <v>1419</v>
      </c>
      <c r="Q1422" s="147" t="n">
        <v>31912.647790155</v>
      </c>
      <c r="R1422" s="147" t="n">
        <v>0.279414665651496</v>
      </c>
      <c r="S1422" s="147" t="n">
        <v>0.0645579741978129</v>
      </c>
      <c r="T1422" s="147" t="n">
        <v>0.0304269974447087</v>
      </c>
    </row>
    <row r="1423" customFormat="false" ht="12.75" hidden="false" customHeight="true" outlineLevel="0" collapsed="false">
      <c r="P1423" s="1" t="n">
        <v>1420</v>
      </c>
      <c r="Q1423" s="147" t="n">
        <v>31935.205585763</v>
      </c>
      <c r="R1423" s="147" t="n">
        <v>0.279335164521055</v>
      </c>
      <c r="S1423" s="147" t="n">
        <v>0.0643645076825734</v>
      </c>
      <c r="T1423" s="147" t="n">
        <v>0.0299513664359629</v>
      </c>
    </row>
    <row r="1424" customFormat="false" ht="12.75" hidden="false" customHeight="true" outlineLevel="0" collapsed="false">
      <c r="P1424" s="1" t="n">
        <v>1421</v>
      </c>
      <c r="Q1424" s="147" t="n">
        <v>31958.041029398</v>
      </c>
      <c r="R1424" s="147" t="n">
        <v>0.278154607578892</v>
      </c>
      <c r="S1424" s="147" t="n">
        <v>0.0658029047347521</v>
      </c>
      <c r="T1424" s="147" t="n">
        <v>0.0302877157678981</v>
      </c>
    </row>
    <row r="1425" customFormat="false" ht="12.75" hidden="false" customHeight="true" outlineLevel="0" collapsed="false">
      <c r="P1425" s="1" t="n">
        <v>1422</v>
      </c>
      <c r="Q1425" s="147" t="n">
        <v>31980.677686493</v>
      </c>
      <c r="R1425" s="147" t="n">
        <v>0.277000673869956</v>
      </c>
      <c r="S1425" s="147" t="n">
        <v>0.06897306564452</v>
      </c>
      <c r="T1425" s="147" t="n">
        <v>0.0301299834103413</v>
      </c>
    </row>
    <row r="1426" customFormat="false" ht="12.75" hidden="false" customHeight="true" outlineLevel="0" collapsed="false">
      <c r="P1426" s="1" t="n">
        <v>1423</v>
      </c>
      <c r="Q1426" s="147" t="n">
        <v>32003.664084388</v>
      </c>
      <c r="R1426" s="147" t="n">
        <v>0.275609735324556</v>
      </c>
      <c r="S1426" s="147" t="n">
        <v>0.0734700448154518</v>
      </c>
      <c r="T1426" s="147" t="n">
        <v>0.0290881623877975</v>
      </c>
    </row>
    <row r="1427" customFormat="false" ht="12.75" hidden="false" customHeight="true" outlineLevel="0" collapsed="false">
      <c r="P1427" s="1" t="n">
        <v>1424</v>
      </c>
      <c r="Q1427" s="147" t="n">
        <v>32026.778767602</v>
      </c>
      <c r="R1427" s="147" t="n">
        <v>0.273951881445518</v>
      </c>
      <c r="S1427" s="147" t="n">
        <v>0.0778947479843018</v>
      </c>
      <c r="T1427" s="147" t="n">
        <v>0.028154433933623</v>
      </c>
    </row>
    <row r="1428" customFormat="false" ht="12.75" hidden="false" customHeight="true" outlineLevel="0" collapsed="false">
      <c r="P1428" s="1" t="n">
        <v>1425</v>
      </c>
      <c r="Q1428" s="147" t="n">
        <v>32049.885735067</v>
      </c>
      <c r="R1428" s="147" t="n">
        <v>0.272169841101251</v>
      </c>
      <c r="S1428" s="147" t="n">
        <v>0.0806363128038719</v>
      </c>
      <c r="T1428" s="147" t="n">
        <v>0.0274953028798065</v>
      </c>
    </row>
    <row r="1429" customFormat="false" ht="12.75" hidden="false" customHeight="true" outlineLevel="0" collapsed="false">
      <c r="P1429" s="1" t="n">
        <v>1426</v>
      </c>
      <c r="Q1429" s="147" t="n">
        <v>32072.872210831</v>
      </c>
      <c r="R1429" s="147" t="n">
        <v>0.270313018349809</v>
      </c>
      <c r="S1429" s="147" t="n">
        <v>0.08161653013663</v>
      </c>
      <c r="T1429" s="147" t="n">
        <v>0.0271029194677873</v>
      </c>
    </row>
    <row r="1430" customFormat="false" ht="12.75" hidden="false" customHeight="true" outlineLevel="0" collapsed="false">
      <c r="P1430" s="1" t="n">
        <v>1427</v>
      </c>
      <c r="Q1430" s="147" t="n">
        <v>32095.959821842</v>
      </c>
      <c r="R1430" s="147" t="n">
        <v>0.268805794159267</v>
      </c>
      <c r="S1430" s="147" t="n">
        <v>0.0809435173563753</v>
      </c>
      <c r="T1430" s="147" t="n">
        <v>0.026889250807271</v>
      </c>
    </row>
    <row r="1431" customFormat="false" ht="12.75" hidden="false" customHeight="true" outlineLevel="0" collapsed="false">
      <c r="P1431" s="1" t="n">
        <v>1428</v>
      </c>
      <c r="Q1431" s="147" t="n">
        <v>32118.136634136</v>
      </c>
      <c r="R1431" s="147" t="n">
        <v>0.26734853586612</v>
      </c>
      <c r="S1431" s="147" t="n">
        <v>0.0795929137817069</v>
      </c>
      <c r="T1431" s="147" t="n">
        <v>0.0269455061152081</v>
      </c>
    </row>
    <row r="1432" customFormat="false" ht="12.75" hidden="false" customHeight="true" outlineLevel="0" collapsed="false">
      <c r="P1432" s="1" t="n">
        <v>1429</v>
      </c>
      <c r="Q1432" s="147" t="n">
        <v>32141.258351852</v>
      </c>
      <c r="R1432" s="147" t="n">
        <v>0.266647959819095</v>
      </c>
      <c r="S1432" s="147" t="n">
        <v>0.0774141292121675</v>
      </c>
      <c r="T1432" s="147" t="n">
        <v>0.0256077499178051</v>
      </c>
    </row>
    <row r="1433" customFormat="false" ht="12.75" hidden="false" customHeight="true" outlineLevel="0" collapsed="false">
      <c r="P1433" s="1" t="n">
        <v>1430</v>
      </c>
      <c r="Q1433" s="147" t="n">
        <v>32163.115689376</v>
      </c>
      <c r="R1433" s="147" t="n">
        <v>0.265900243115801</v>
      </c>
      <c r="S1433" s="147" t="n">
        <v>0.0744753902376116</v>
      </c>
      <c r="T1433" s="147" t="n">
        <v>0.0256392812802343</v>
      </c>
    </row>
    <row r="1434" customFormat="false" ht="12.75" hidden="false" customHeight="true" outlineLevel="0" collapsed="false">
      <c r="P1434" s="1" t="n">
        <v>1431</v>
      </c>
      <c r="Q1434" s="147" t="n">
        <v>32185.737961788</v>
      </c>
      <c r="R1434" s="147" t="n">
        <v>0.266546716849352</v>
      </c>
      <c r="S1434" s="147" t="n">
        <v>0.0726721059717613</v>
      </c>
      <c r="T1434" s="147" t="n">
        <v>0.0236990454845211</v>
      </c>
    </row>
    <row r="1435" customFormat="false" ht="12.75" hidden="false" customHeight="true" outlineLevel="0" collapsed="false">
      <c r="P1435" s="1" t="n">
        <v>1432</v>
      </c>
      <c r="Q1435" s="147" t="n">
        <v>32208.443613959</v>
      </c>
      <c r="R1435" s="147" t="n">
        <v>0.266698085361645</v>
      </c>
      <c r="S1435" s="147" t="n">
        <v>0.0700987246137224</v>
      </c>
      <c r="T1435" s="147" t="n">
        <v>0.0228066501274627</v>
      </c>
    </row>
    <row r="1436" customFormat="false" ht="12.75" hidden="false" customHeight="true" outlineLevel="0" collapsed="false">
      <c r="P1436" s="1" t="n">
        <v>1433</v>
      </c>
      <c r="Q1436" s="147" t="n">
        <v>32231.208837483</v>
      </c>
      <c r="R1436" s="147" t="n">
        <v>0.267666569750945</v>
      </c>
      <c r="S1436" s="147" t="n">
        <v>0.0679475554550291</v>
      </c>
      <c r="T1436" s="147" t="n">
        <v>0.0208744872749769</v>
      </c>
    </row>
    <row r="1437" customFormat="false" ht="12.75" hidden="false" customHeight="true" outlineLevel="0" collapsed="false">
      <c r="P1437" s="1" t="n">
        <v>1434</v>
      </c>
      <c r="Q1437" s="147" t="n">
        <v>32253.876898583</v>
      </c>
      <c r="R1437" s="147" t="n">
        <v>0.268362769150826</v>
      </c>
      <c r="S1437" s="147" t="n">
        <v>0.0657588639373162</v>
      </c>
      <c r="T1437" s="147" t="n">
        <v>0.0196099619759084</v>
      </c>
    </row>
    <row r="1438" customFormat="false" ht="12.75" hidden="false" customHeight="true" outlineLevel="0" collapsed="false">
      <c r="P1438" s="1" t="n">
        <v>1435</v>
      </c>
      <c r="Q1438" s="147" t="n">
        <v>32277.01588079</v>
      </c>
      <c r="R1438" s="147" t="n">
        <v>0.269267685264076</v>
      </c>
      <c r="S1438" s="147" t="n">
        <v>0.0632289672733022</v>
      </c>
      <c r="T1438" s="147" t="n">
        <v>0.0184605247841711</v>
      </c>
    </row>
    <row r="1439" customFormat="false" ht="12.75" hidden="false" customHeight="true" outlineLevel="0" collapsed="false">
      <c r="P1439" s="1" t="n">
        <v>1436</v>
      </c>
      <c r="Q1439" s="147" t="n">
        <v>32299.81235713</v>
      </c>
      <c r="R1439" s="147" t="n">
        <v>0.269778386726207</v>
      </c>
      <c r="S1439" s="147" t="n">
        <v>0.061634839756372</v>
      </c>
      <c r="T1439" s="147" t="n">
        <v>0.0175438426904601</v>
      </c>
    </row>
    <row r="1440" customFormat="false" ht="12.75" hidden="false" customHeight="true" outlineLevel="0" collapsed="false">
      <c r="P1440" s="1" t="n">
        <v>1437</v>
      </c>
      <c r="Q1440" s="147" t="n">
        <v>32322.446188637</v>
      </c>
      <c r="R1440" s="147" t="n">
        <v>0.270219284056275</v>
      </c>
      <c r="S1440" s="147" t="n">
        <v>0.0613350286739935</v>
      </c>
      <c r="T1440" s="147" t="n">
        <v>0.0169870773078303</v>
      </c>
    </row>
    <row r="1441" customFormat="false" ht="12.75" hidden="false" customHeight="true" outlineLevel="0" collapsed="false">
      <c r="P1441" s="1" t="n">
        <v>1438</v>
      </c>
      <c r="Q1441" s="147" t="n">
        <v>32344.579310794</v>
      </c>
      <c r="R1441" s="147" t="n">
        <v>0.270239419058661</v>
      </c>
      <c r="S1441" s="147" t="n">
        <v>0.0625635154331911</v>
      </c>
      <c r="T1441" s="147" t="n">
        <v>0.0163941191691296</v>
      </c>
    </row>
    <row r="1442" customFormat="false" ht="12.75" hidden="false" customHeight="true" outlineLevel="0" collapsed="false">
      <c r="P1442" s="1" t="n">
        <v>1439</v>
      </c>
      <c r="Q1442" s="147" t="n">
        <v>32367.147707831</v>
      </c>
      <c r="R1442" s="147" t="n">
        <v>0.270021388280671</v>
      </c>
      <c r="S1442" s="147" t="n">
        <v>0.0653205940814224</v>
      </c>
      <c r="T1442" s="147" t="n">
        <v>0.0160151449601549</v>
      </c>
    </row>
    <row r="1443" customFormat="false" ht="12.75" hidden="false" customHeight="true" outlineLevel="0" collapsed="false">
      <c r="P1443" s="1" t="n">
        <v>1440</v>
      </c>
      <c r="Q1443" s="147" t="n">
        <v>32389.25275633</v>
      </c>
      <c r="R1443" s="147" t="n">
        <v>0.269379787349704</v>
      </c>
      <c r="S1443" s="147" t="n">
        <v>0.0696921696371205</v>
      </c>
      <c r="T1443" s="147" t="n">
        <v>0.0160132884097943</v>
      </c>
    </row>
    <row r="1444" customFormat="false" ht="12.75" hidden="false" customHeight="true" outlineLevel="0" collapsed="false">
      <c r="P1444" s="1" t="n">
        <v>1441</v>
      </c>
      <c r="Q1444" s="147" t="n">
        <v>32411.737993077</v>
      </c>
      <c r="R1444" s="147" t="n">
        <v>0.268392210398167</v>
      </c>
      <c r="S1444" s="147" t="n">
        <v>0.0748591061017557</v>
      </c>
      <c r="T1444" s="147" t="n">
        <v>0.0167868661690618</v>
      </c>
    </row>
    <row r="1445" customFormat="false" ht="12.75" hidden="false" customHeight="true" outlineLevel="0" collapsed="false">
      <c r="P1445" s="1" t="n">
        <v>1442</v>
      </c>
      <c r="Q1445" s="147" t="n">
        <v>32434.564883466</v>
      </c>
      <c r="R1445" s="147" t="n">
        <v>0.267682173384949</v>
      </c>
      <c r="S1445" s="147" t="n">
        <v>0.0780330687687366</v>
      </c>
      <c r="T1445" s="147" t="n">
        <v>0.0169709420626837</v>
      </c>
    </row>
    <row r="1446" customFormat="false" ht="12.75" hidden="false" customHeight="true" outlineLevel="0" collapsed="false">
      <c r="P1446" s="1" t="n">
        <v>1443</v>
      </c>
      <c r="Q1446" s="147" t="n">
        <v>32457.33492932</v>
      </c>
      <c r="R1446" s="147" t="n">
        <v>0.266738610838949</v>
      </c>
      <c r="S1446" s="147" t="n">
        <v>0.0794293058849685</v>
      </c>
      <c r="T1446" s="147" t="n">
        <v>0.0175179153979056</v>
      </c>
    </row>
    <row r="1447" customFormat="false" ht="12.75" hidden="false" customHeight="true" outlineLevel="0" collapsed="false">
      <c r="P1447" s="1" t="n">
        <v>1444</v>
      </c>
      <c r="Q1447" s="147" t="n">
        <v>32480.028395619</v>
      </c>
      <c r="R1447" s="147" t="n">
        <v>0.266109120315253</v>
      </c>
      <c r="S1447" s="147" t="n">
        <v>0.0787435482956083</v>
      </c>
      <c r="T1447" s="147" t="n">
        <v>0.0179580694463552</v>
      </c>
    </row>
    <row r="1448" customFormat="false" ht="12.75" hidden="false" customHeight="true" outlineLevel="0" collapsed="false">
      <c r="P1448" s="1" t="n">
        <v>1445</v>
      </c>
      <c r="Q1448" s="147" t="n">
        <v>32502.649428987</v>
      </c>
      <c r="R1448" s="147" t="n">
        <v>0.265629161116348</v>
      </c>
      <c r="S1448" s="147" t="n">
        <v>0.076517102276475</v>
      </c>
      <c r="T1448" s="147" t="n">
        <v>0.0188205954936694</v>
      </c>
    </row>
    <row r="1449" customFormat="false" ht="12.75" hidden="false" customHeight="true" outlineLevel="0" collapsed="false">
      <c r="P1449" s="1" t="n">
        <v>1446</v>
      </c>
      <c r="Q1449" s="147" t="n">
        <v>32525.037832729</v>
      </c>
      <c r="R1449" s="147" t="n">
        <v>0.265243958147099</v>
      </c>
      <c r="S1449" s="147" t="n">
        <v>0.0742380343751583</v>
      </c>
      <c r="T1449" s="147" t="n">
        <v>0.0194922988802482</v>
      </c>
    </row>
    <row r="1450" customFormat="false" ht="12.75" hidden="false" customHeight="true" outlineLevel="0" collapsed="false">
      <c r="P1450" s="1" t="n">
        <v>1447</v>
      </c>
      <c r="Q1450" s="147" t="n">
        <v>32547.824507228</v>
      </c>
      <c r="R1450" s="147" t="n">
        <v>0.265044332723393</v>
      </c>
      <c r="S1450" s="147" t="n">
        <v>0.0716446960492769</v>
      </c>
      <c r="T1450" s="147" t="n">
        <v>0.0206127512208285</v>
      </c>
    </row>
    <row r="1451" customFormat="false" ht="12.75" hidden="false" customHeight="true" outlineLevel="0" collapsed="false">
      <c r="P1451" s="1" t="n">
        <v>1448</v>
      </c>
      <c r="Q1451" s="147" t="n">
        <v>32570.236332917</v>
      </c>
      <c r="R1451" s="147" t="n">
        <v>0.264887538839512</v>
      </c>
      <c r="S1451" s="147" t="n">
        <v>0.0701987414713951</v>
      </c>
      <c r="T1451" s="147" t="n">
        <v>0.0214618593328556</v>
      </c>
    </row>
    <row r="1452" customFormat="false" ht="12.75" hidden="false" customHeight="true" outlineLevel="0" collapsed="false">
      <c r="P1452" s="1" t="n">
        <v>1449</v>
      </c>
      <c r="Q1452" s="147" t="n">
        <v>32592.790656919</v>
      </c>
      <c r="R1452" s="147" t="n">
        <v>0.264897252722107</v>
      </c>
      <c r="S1452" s="147" t="n">
        <v>0.0698914139318887</v>
      </c>
      <c r="T1452" s="147" t="n">
        <v>0.0218422454736786</v>
      </c>
    </row>
    <row r="1453" customFormat="false" ht="12.75" hidden="false" customHeight="true" outlineLevel="0" collapsed="false">
      <c r="P1453" s="1" t="n">
        <v>1450</v>
      </c>
      <c r="Q1453" s="147" t="n">
        <v>32615.337618871</v>
      </c>
      <c r="R1453" s="147" t="n">
        <v>0.265168153282625</v>
      </c>
      <c r="S1453" s="147" t="n">
        <v>0.0708778381303166</v>
      </c>
      <c r="T1453" s="147" t="n">
        <v>0.0219671412298727</v>
      </c>
    </row>
    <row r="1454" customFormat="false" ht="12.75" hidden="false" customHeight="true" outlineLevel="0" collapsed="false">
      <c r="P1454" s="1" t="n">
        <v>1451</v>
      </c>
      <c r="Q1454" s="147" t="n">
        <v>32638.364577704</v>
      </c>
      <c r="R1454" s="147" t="n">
        <v>0.265584748700074</v>
      </c>
      <c r="S1454" s="147" t="n">
        <v>0.073596806146889</v>
      </c>
      <c r="T1454" s="147" t="n">
        <v>0.0215792921245314</v>
      </c>
    </row>
    <row r="1455" customFormat="false" ht="12.75" hidden="false" customHeight="true" outlineLevel="0" collapsed="false">
      <c r="P1455" s="1" t="n">
        <v>1452</v>
      </c>
      <c r="Q1455" s="147" t="n">
        <v>32661.412241845</v>
      </c>
      <c r="R1455" s="147" t="n">
        <v>0.265964161091188</v>
      </c>
      <c r="S1455" s="147" t="n">
        <v>0.0769213239245808</v>
      </c>
      <c r="T1455" s="147" t="n">
        <v>0.0210023624608412</v>
      </c>
    </row>
    <row r="1456" customFormat="false" ht="12.75" hidden="false" customHeight="true" outlineLevel="0" collapsed="false">
      <c r="P1456" s="1" t="n">
        <v>1453</v>
      </c>
      <c r="Q1456" s="147" t="n">
        <v>32684.04391779</v>
      </c>
      <c r="R1456" s="147" t="n">
        <v>0.266258789903617</v>
      </c>
      <c r="S1456" s="147" t="n">
        <v>0.0801488416571202</v>
      </c>
      <c r="T1456" s="147" t="n">
        <v>0.0199875570411458</v>
      </c>
    </row>
    <row r="1457" customFormat="false" ht="12.75" hidden="false" customHeight="true" outlineLevel="0" collapsed="false">
      <c r="P1457" s="1" t="n">
        <v>1454</v>
      </c>
      <c r="Q1457" s="147" t="n">
        <v>32706.539093517</v>
      </c>
      <c r="R1457" s="147" t="n">
        <v>0.266238655650367</v>
      </c>
      <c r="S1457" s="147" t="n">
        <v>0.0824353259128572</v>
      </c>
      <c r="T1457" s="147" t="n">
        <v>0.0188766159889564</v>
      </c>
    </row>
    <row r="1458" customFormat="false" ht="12.75" hidden="false" customHeight="true" outlineLevel="0" collapsed="false">
      <c r="P1458" s="1" t="n">
        <v>1455</v>
      </c>
      <c r="Q1458" s="147" t="n">
        <v>32729.256778531</v>
      </c>
      <c r="R1458" s="147" t="n">
        <v>0.265886566875921</v>
      </c>
      <c r="S1458" s="147" t="n">
        <v>0.0839388013636863</v>
      </c>
      <c r="T1458" s="147" t="n">
        <v>0.0176287134030056</v>
      </c>
    </row>
    <row r="1459" customFormat="false" ht="12.75" hidden="false" customHeight="true" outlineLevel="0" collapsed="false">
      <c r="P1459" s="1" t="n">
        <v>1456</v>
      </c>
      <c r="Q1459" s="147" t="n">
        <v>32751.941566196</v>
      </c>
      <c r="R1459" s="147" t="n">
        <v>0.265104681130698</v>
      </c>
      <c r="S1459" s="147" t="n">
        <v>0.0848439475971507</v>
      </c>
      <c r="T1459" s="147" t="n">
        <v>0.0172091118579756</v>
      </c>
    </row>
    <row r="1460" customFormat="false" ht="12.75" hidden="false" customHeight="true" outlineLevel="0" collapsed="false">
      <c r="P1460" s="1" t="n">
        <v>1457</v>
      </c>
      <c r="Q1460" s="147" t="n">
        <v>32774.460435339</v>
      </c>
      <c r="R1460" s="147" t="n">
        <v>0.263866179439902</v>
      </c>
      <c r="S1460" s="147" t="n">
        <v>0.08510085662396</v>
      </c>
      <c r="T1460" s="147" t="n">
        <v>0.0167978221175964</v>
      </c>
    </row>
    <row r="1461" customFormat="false" ht="12.75" hidden="false" customHeight="true" outlineLevel="0" collapsed="false">
      <c r="P1461" s="1" t="n">
        <v>1458</v>
      </c>
      <c r="Q1461" s="147" t="n">
        <v>32797.023706656</v>
      </c>
      <c r="R1461" s="147" t="n">
        <v>0.262781271249813</v>
      </c>
      <c r="S1461" s="147" t="n">
        <v>0.0865383270531629</v>
      </c>
      <c r="T1461" s="147" t="n">
        <v>0.0176706391547014</v>
      </c>
    </row>
    <row r="1462" customFormat="false" ht="12.75" hidden="false" customHeight="true" outlineLevel="0" collapsed="false">
      <c r="P1462" s="1" t="n">
        <v>1459</v>
      </c>
      <c r="Q1462" s="147" t="n">
        <v>32819.580697788</v>
      </c>
      <c r="R1462" s="147" t="n">
        <v>0.261447437581955</v>
      </c>
      <c r="S1462" s="147" t="n">
        <v>0.0886913802256243</v>
      </c>
      <c r="T1462" s="147" t="n">
        <v>0.0192821837582169</v>
      </c>
    </row>
    <row r="1463" customFormat="false" ht="12.75" hidden="false" customHeight="true" outlineLevel="0" collapsed="false">
      <c r="P1463" s="1" t="n">
        <v>1460</v>
      </c>
      <c r="Q1463" s="147" t="n">
        <v>32842.560587798</v>
      </c>
      <c r="R1463" s="147" t="n">
        <v>0.260690278908959</v>
      </c>
      <c r="S1463" s="147" t="n">
        <v>0.09135722711317</v>
      </c>
      <c r="T1463" s="147" t="n">
        <v>0.0211099546116081</v>
      </c>
    </row>
    <row r="1464" customFormat="false" ht="12.75" hidden="false" customHeight="true" outlineLevel="0" collapsed="false">
      <c r="P1464" s="1" t="n">
        <v>1461</v>
      </c>
      <c r="Q1464" s="147" t="n">
        <v>32865.06978383</v>
      </c>
      <c r="R1464" s="147" t="n">
        <v>0.259942564126743</v>
      </c>
      <c r="S1464" s="147" t="n">
        <v>0.0939959303314676</v>
      </c>
      <c r="T1464" s="147" t="n">
        <v>0.0227094716443447</v>
      </c>
    </row>
    <row r="1465" customFormat="false" ht="12.75" hidden="false" customHeight="true" outlineLevel="0" collapsed="false">
      <c r="P1465" s="1" t="n">
        <v>1462</v>
      </c>
      <c r="Q1465" s="147" t="n">
        <v>32888.074429612</v>
      </c>
      <c r="R1465" s="147" t="n">
        <v>0.259546452930289</v>
      </c>
      <c r="S1465" s="147" t="n">
        <v>0.0949247372621363</v>
      </c>
      <c r="T1465" s="147" t="n">
        <v>0.0240746910955364</v>
      </c>
    </row>
    <row r="1466" customFormat="false" ht="12.75" hidden="false" customHeight="true" outlineLevel="0" collapsed="false">
      <c r="P1466" s="1" t="n">
        <v>1463</v>
      </c>
      <c r="Q1466" s="147" t="n">
        <v>32910.758675268</v>
      </c>
      <c r="R1466" s="147" t="n">
        <v>0.259132714958493</v>
      </c>
      <c r="S1466" s="147" t="n">
        <v>0.0941970323252804</v>
      </c>
      <c r="T1466" s="147" t="n">
        <v>0.025749817565515</v>
      </c>
    </row>
    <row r="1467" customFormat="false" ht="12.75" hidden="false" customHeight="true" outlineLevel="0" collapsed="false">
      <c r="P1467" s="1" t="n">
        <v>1464</v>
      </c>
      <c r="Q1467" s="147" t="n">
        <v>32933.496087619</v>
      </c>
      <c r="R1467" s="147" t="n">
        <v>0.259090551026617</v>
      </c>
      <c r="S1467" s="147" t="n">
        <v>0.0914236122692339</v>
      </c>
      <c r="T1467" s="147" t="n">
        <v>0.0272288092402845</v>
      </c>
    </row>
    <row r="1468" customFormat="false" ht="12.75" hidden="false" customHeight="true" outlineLevel="0" collapsed="false">
      <c r="P1468" s="1" t="n">
        <v>1465</v>
      </c>
      <c r="Q1468" s="147" t="n">
        <v>32956.048825179</v>
      </c>
      <c r="R1468" s="147" t="n">
        <v>0.258789164005281</v>
      </c>
      <c r="S1468" s="147" t="n">
        <v>0.08838497255664</v>
      </c>
      <c r="T1468" s="147" t="n">
        <v>0.02861567303316</v>
      </c>
    </row>
    <row r="1469" customFormat="false" ht="12.75" hidden="false" customHeight="true" outlineLevel="0" collapsed="false">
      <c r="P1469" s="1" t="n">
        <v>1466</v>
      </c>
      <c r="Q1469" s="147" t="n">
        <v>32978.903134476</v>
      </c>
      <c r="R1469" s="147" t="n">
        <v>0.258922781808919</v>
      </c>
      <c r="S1469" s="147" t="n">
        <v>0.0845678385391262</v>
      </c>
      <c r="T1469" s="147" t="n">
        <v>0.0296825028628454</v>
      </c>
    </row>
    <row r="1470" customFormat="false" ht="12.75" hidden="false" customHeight="true" outlineLevel="0" collapsed="false">
      <c r="P1470" s="1" t="n">
        <v>1467</v>
      </c>
      <c r="Q1470" s="147" t="n">
        <v>33001.737700181</v>
      </c>
      <c r="R1470" s="147" t="n">
        <v>0.259154833735906</v>
      </c>
      <c r="S1470" s="147" t="n">
        <v>0.0810663481126995</v>
      </c>
      <c r="T1470" s="147" t="n">
        <v>0.0301673617082007</v>
      </c>
    </row>
    <row r="1471" customFormat="false" ht="12.75" hidden="false" customHeight="true" outlineLevel="0" collapsed="false">
      <c r="P1471" s="1" t="n">
        <v>1468</v>
      </c>
      <c r="Q1471" s="147" t="n">
        <v>33024.346256998</v>
      </c>
      <c r="R1471" s="147" t="n">
        <v>0.25954634172679</v>
      </c>
      <c r="S1471" s="147" t="n">
        <v>0.0774892356654474</v>
      </c>
      <c r="T1471" s="147" t="n">
        <v>0.0302057619614416</v>
      </c>
    </row>
    <row r="1472" customFormat="false" ht="12.75" hidden="false" customHeight="true" outlineLevel="0" collapsed="false">
      <c r="P1472" s="1" t="n">
        <v>1469</v>
      </c>
      <c r="Q1472" s="147" t="n">
        <v>33047.179584548</v>
      </c>
      <c r="R1472" s="147" t="n">
        <v>0.259984048337929</v>
      </c>
      <c r="S1472" s="147" t="n">
        <v>0.0743225306455344</v>
      </c>
      <c r="T1472" s="147" t="n">
        <v>0.0299995653841395</v>
      </c>
    </row>
    <row r="1473" customFormat="false" ht="12.75" hidden="false" customHeight="true" outlineLevel="0" collapsed="false">
      <c r="P1473" s="1" t="n">
        <v>1470</v>
      </c>
      <c r="Q1473" s="147" t="n">
        <v>33069.960289349</v>
      </c>
      <c r="R1473" s="147" t="n">
        <v>0.260652616753302</v>
      </c>
      <c r="S1473" s="147" t="n">
        <v>0.0707642044090806</v>
      </c>
      <c r="T1473" s="147" t="n">
        <v>0.0296229699433528</v>
      </c>
    </row>
    <row r="1474" customFormat="false" ht="12.75" hidden="false" customHeight="true" outlineLevel="0" collapsed="false">
      <c r="P1474" s="1" t="n">
        <v>1471</v>
      </c>
      <c r="Q1474" s="147" t="n">
        <v>33092.768709778</v>
      </c>
      <c r="R1474" s="147" t="n">
        <v>0.261366504041201</v>
      </c>
      <c r="S1474" s="147" t="n">
        <v>0.0667524098010242</v>
      </c>
      <c r="T1474" s="147" t="n">
        <v>0.0293152152071084</v>
      </c>
    </row>
    <row r="1475" customFormat="false" ht="12.75" hidden="false" customHeight="true" outlineLevel="0" collapsed="false">
      <c r="P1475" s="1" t="n">
        <v>1472</v>
      </c>
      <c r="Q1475" s="147" t="n">
        <v>33115.282941461</v>
      </c>
      <c r="R1475" s="147" t="n">
        <v>0.262021738961408</v>
      </c>
      <c r="S1475" s="147" t="n">
        <v>0.0631160398140655</v>
      </c>
      <c r="T1475" s="147" t="n">
        <v>0.0292014754551879</v>
      </c>
    </row>
    <row r="1476" customFormat="false" ht="12.75" hidden="false" customHeight="true" outlineLevel="0" collapsed="false">
      <c r="P1476" s="1" t="n">
        <v>1473</v>
      </c>
      <c r="Q1476" s="147" t="n">
        <v>33137.932869373</v>
      </c>
      <c r="R1476" s="147" t="n">
        <v>0.262650980172832</v>
      </c>
      <c r="S1476" s="147" t="n">
        <v>0.0601530496420735</v>
      </c>
      <c r="T1476" s="147" t="n">
        <v>0.0291335964546896</v>
      </c>
    </row>
    <row r="1477" customFormat="false" ht="12.75" hidden="false" customHeight="true" outlineLevel="0" collapsed="false">
      <c r="P1477" s="1" t="n">
        <v>1474</v>
      </c>
      <c r="Q1477" s="147" t="n">
        <v>33160.54121414</v>
      </c>
      <c r="R1477" s="147" t="n">
        <v>0.263053231323218</v>
      </c>
      <c r="S1477" s="147" t="n">
        <v>0.0579923651043655</v>
      </c>
      <c r="T1477" s="147" t="n">
        <v>0.0292283718281123</v>
      </c>
    </row>
    <row r="1478" customFormat="false" ht="12.75" hidden="false" customHeight="true" outlineLevel="0" collapsed="false">
      <c r="P1478" s="1" t="n">
        <v>1475</v>
      </c>
      <c r="Q1478" s="147" t="n">
        <v>33183.31708304</v>
      </c>
      <c r="R1478" s="147" t="n">
        <v>0.263473992014495</v>
      </c>
      <c r="S1478" s="147" t="n">
        <v>0.0559774130384857</v>
      </c>
      <c r="T1478" s="147" t="n">
        <v>0.0292777571681945</v>
      </c>
    </row>
    <row r="1479" customFormat="false" ht="12.75" hidden="false" customHeight="true" outlineLevel="0" collapsed="false">
      <c r="P1479" s="1" t="n">
        <v>1476</v>
      </c>
      <c r="Q1479" s="147" t="n">
        <v>33205.896675773</v>
      </c>
      <c r="R1479" s="147" t="n">
        <v>0.263814887869104</v>
      </c>
      <c r="S1479" s="147" t="n">
        <v>0.0535960514072125</v>
      </c>
      <c r="T1479" s="147" t="n">
        <v>0.029730481605277</v>
      </c>
    </row>
    <row r="1480" customFormat="false" ht="12.75" hidden="false" customHeight="true" outlineLevel="0" collapsed="false">
      <c r="P1480" s="1" t="n">
        <v>1477</v>
      </c>
      <c r="Q1480" s="147" t="n">
        <v>33228.482212821</v>
      </c>
      <c r="R1480" s="147" t="n">
        <v>0.264115180184884</v>
      </c>
      <c r="S1480" s="147" t="n">
        <v>0.0514527279395639</v>
      </c>
      <c r="T1480" s="147" t="n">
        <v>0.0303844156530994</v>
      </c>
    </row>
    <row r="1481" customFormat="false" ht="12.75" hidden="false" customHeight="true" outlineLevel="0" collapsed="false">
      <c r="P1481" s="1" t="n">
        <v>1478</v>
      </c>
      <c r="Q1481" s="147" t="n">
        <v>33251.317047826</v>
      </c>
      <c r="R1481" s="147" t="n">
        <v>0.264499628062257</v>
      </c>
      <c r="S1481" s="147" t="n">
        <v>0.0506097238124286</v>
      </c>
      <c r="T1481" s="147" t="n">
        <v>0.0309496657369207</v>
      </c>
    </row>
    <row r="1482" customFormat="false" ht="12.75" hidden="false" customHeight="true" outlineLevel="0" collapsed="false">
      <c r="P1482" s="1" t="n">
        <v>1479</v>
      </c>
      <c r="Q1482" s="147" t="n">
        <v>33274.165899944</v>
      </c>
      <c r="R1482" s="147" t="n">
        <v>0.264767244598574</v>
      </c>
      <c r="S1482" s="147" t="n">
        <v>0.0514216571573634</v>
      </c>
      <c r="T1482" s="147" t="n">
        <v>0.0314004620196194</v>
      </c>
    </row>
    <row r="1483" customFormat="false" ht="12.75" hidden="false" customHeight="true" outlineLevel="0" collapsed="false">
      <c r="P1483" s="1" t="n">
        <v>1480</v>
      </c>
      <c r="Q1483" s="147" t="n">
        <v>33296.758590444</v>
      </c>
      <c r="R1483" s="147" t="n">
        <v>0.26492301805025</v>
      </c>
      <c r="S1483" s="147" t="n">
        <v>0.054472548109731</v>
      </c>
      <c r="T1483" s="147" t="n">
        <v>0.0317815337917941</v>
      </c>
    </row>
    <row r="1484" customFormat="false" ht="12.75" hidden="false" customHeight="true" outlineLevel="0" collapsed="false">
      <c r="P1484" s="1" t="n">
        <v>1481</v>
      </c>
      <c r="Q1484" s="147" t="n">
        <v>33319.984986097</v>
      </c>
      <c r="R1484" s="147" t="n">
        <v>0.265178355207502</v>
      </c>
      <c r="S1484" s="147" t="n">
        <v>0.0615079133086328</v>
      </c>
      <c r="T1484" s="147" t="n">
        <v>0.0316722605261178</v>
      </c>
    </row>
    <row r="1485" customFormat="false" ht="12.75" hidden="false" customHeight="true" outlineLevel="0" collapsed="false">
      <c r="P1485" s="1" t="n">
        <v>1482</v>
      </c>
      <c r="Q1485" s="147" t="n">
        <v>33343.143935419</v>
      </c>
      <c r="R1485" s="147" t="n">
        <v>0.265359298831906</v>
      </c>
      <c r="S1485" s="147" t="n">
        <v>0.0707403213337469</v>
      </c>
      <c r="T1485" s="147" t="n">
        <v>0.0316416510491588</v>
      </c>
    </row>
    <row r="1486" customFormat="false" ht="12.75" hidden="false" customHeight="true" outlineLevel="0" collapsed="false">
      <c r="P1486" s="1" t="n">
        <v>1483</v>
      </c>
      <c r="Q1486" s="147" t="n">
        <v>33365.511141688</v>
      </c>
      <c r="R1486" s="147" t="n">
        <v>0.265954404112274</v>
      </c>
      <c r="S1486" s="147" t="n">
        <v>0.0737021016691945</v>
      </c>
      <c r="T1486" s="147" t="n">
        <v>0.0312396410813722</v>
      </c>
    </row>
    <row r="1487" customFormat="false" ht="12.75" hidden="false" customHeight="true" outlineLevel="0" collapsed="false">
      <c r="P1487" s="1" t="n">
        <v>1484</v>
      </c>
      <c r="Q1487" s="147" t="n">
        <v>33388.811224837</v>
      </c>
      <c r="R1487" s="147" t="n">
        <v>0.266130223777909</v>
      </c>
      <c r="S1487" s="147" t="n">
        <v>0.0827516194211561</v>
      </c>
      <c r="T1487" s="147" t="n">
        <v>0.0308835824163192</v>
      </c>
    </row>
    <row r="1488" customFormat="false" ht="12.75" hidden="false" customHeight="true" outlineLevel="0" collapsed="false">
      <c r="P1488" s="1" t="n">
        <v>1485</v>
      </c>
      <c r="Q1488" s="147" t="n">
        <v>33411.147576009</v>
      </c>
      <c r="R1488" s="147" t="n">
        <v>0.267202020886354</v>
      </c>
      <c r="S1488" s="147" t="n">
        <v>0.0859441073154432</v>
      </c>
      <c r="T1488" s="147" t="n">
        <v>0.0301521593770083</v>
      </c>
    </row>
    <row r="1489" customFormat="false" ht="12.75" hidden="false" customHeight="true" outlineLevel="0" collapsed="false">
      <c r="P1489" s="1" t="n">
        <v>1486</v>
      </c>
      <c r="Q1489" s="147" t="n">
        <v>33434.020042394</v>
      </c>
      <c r="R1489" s="147" t="n">
        <v>0.26753568034535</v>
      </c>
      <c r="S1489" s="147" t="n">
        <v>0.0918651192647029</v>
      </c>
      <c r="T1489" s="147" t="n">
        <v>0.029409382399042</v>
      </c>
    </row>
    <row r="1490" customFormat="false" ht="12.75" hidden="false" customHeight="true" outlineLevel="0" collapsed="false">
      <c r="P1490" s="1" t="n">
        <v>1487</v>
      </c>
      <c r="Q1490" s="147" t="n">
        <v>33456.427742051</v>
      </c>
      <c r="R1490" s="147" t="n">
        <v>0.268784649654156</v>
      </c>
      <c r="S1490" s="147" t="n">
        <v>0.0931369169583121</v>
      </c>
      <c r="T1490" s="147" t="n">
        <v>0.0283210622977306</v>
      </c>
    </row>
    <row r="1491" customFormat="false" ht="12.75" hidden="false" customHeight="true" outlineLevel="0" collapsed="false">
      <c r="P1491" s="1" t="n">
        <v>1488</v>
      </c>
      <c r="Q1491" s="147" t="n">
        <v>33479.476525943</v>
      </c>
      <c r="R1491" s="147" t="n">
        <v>0.269370173348742</v>
      </c>
      <c r="S1491" s="147" t="n">
        <v>0.0938298306299514</v>
      </c>
      <c r="T1491" s="147" t="n">
        <v>0.0271625565284869</v>
      </c>
    </row>
    <row r="1492" customFormat="false" ht="12.75" hidden="false" customHeight="true" outlineLevel="0" collapsed="false">
      <c r="P1492" s="1" t="n">
        <v>1489</v>
      </c>
      <c r="Q1492" s="147" t="n">
        <v>33502.053270776</v>
      </c>
      <c r="R1492" s="147" t="n">
        <v>0.270262349967952</v>
      </c>
      <c r="S1492" s="147" t="n">
        <v>0.0917725890095179</v>
      </c>
      <c r="T1492" s="147" t="n">
        <v>0.026032764745889</v>
      </c>
    </row>
    <row r="1493" customFormat="false" ht="12.75" hidden="false" customHeight="true" outlineLevel="0" collapsed="false">
      <c r="P1493" s="1" t="n">
        <v>1490</v>
      </c>
      <c r="Q1493" s="147" t="n">
        <v>33524.462534198</v>
      </c>
      <c r="R1493" s="147" t="n">
        <v>0.270721990978191</v>
      </c>
      <c r="S1493" s="147" t="n">
        <v>0.0868261747692958</v>
      </c>
      <c r="T1493" s="147" t="n">
        <v>0.0248995751794175</v>
      </c>
    </row>
    <row r="1494" customFormat="false" ht="12.75" hidden="false" customHeight="true" outlineLevel="0" collapsed="false">
      <c r="P1494" s="1" t="n">
        <v>1491</v>
      </c>
      <c r="Q1494" s="147" t="n">
        <v>33547.276118557</v>
      </c>
      <c r="R1494" s="147" t="n">
        <v>0.271436047070269</v>
      </c>
      <c r="S1494" s="147" t="n">
        <v>0.0794823633990755</v>
      </c>
      <c r="T1494" s="147" t="n">
        <v>0.0239165480637826</v>
      </c>
    </row>
    <row r="1495" customFormat="false" ht="12.75" hidden="false" customHeight="true" outlineLevel="0" collapsed="false">
      <c r="P1495" s="1" t="n">
        <v>1492</v>
      </c>
      <c r="Q1495" s="147" t="n">
        <v>33569.137270054</v>
      </c>
      <c r="R1495" s="147" t="n">
        <v>0.271276237694088</v>
      </c>
      <c r="S1495" s="147" t="n">
        <v>0.0775137852792312</v>
      </c>
      <c r="T1495" s="147" t="n">
        <v>0.0233624555463163</v>
      </c>
    </row>
    <row r="1496" customFormat="false" ht="12.75" hidden="false" customHeight="true" outlineLevel="0" collapsed="false">
      <c r="P1496" s="1" t="n">
        <v>1493</v>
      </c>
      <c r="Q1496" s="147" t="n">
        <v>33592.215727867</v>
      </c>
      <c r="R1496" s="147" t="n">
        <v>0.270883401949045</v>
      </c>
      <c r="S1496" s="147" t="n">
        <v>0.072087828586408</v>
      </c>
      <c r="T1496" s="147" t="n">
        <v>0.023832273934237</v>
      </c>
    </row>
    <row r="1497" customFormat="false" ht="12.75" hidden="false" customHeight="true" outlineLevel="0" collapsed="false">
      <c r="P1497" s="1" t="n">
        <v>1494</v>
      </c>
      <c r="Q1497" s="147" t="n">
        <v>33614.766727763</v>
      </c>
      <c r="R1497" s="147" t="n">
        <v>0.270911687710363</v>
      </c>
      <c r="S1497" s="147" t="n">
        <v>0.0716813887555017</v>
      </c>
      <c r="T1497" s="147" t="n">
        <v>0.0235567818281682</v>
      </c>
    </row>
    <row r="1498" customFormat="false" ht="12.75" hidden="false" customHeight="true" outlineLevel="0" collapsed="false">
      <c r="P1498" s="1" t="n">
        <v>1495</v>
      </c>
      <c r="Q1498" s="147" t="n">
        <v>33637.652385145</v>
      </c>
      <c r="R1498" s="147" t="n">
        <v>0.270002823861505</v>
      </c>
      <c r="S1498" s="147" t="n">
        <v>0.0747877026107437</v>
      </c>
      <c r="T1498" s="147" t="n">
        <v>0.0239824653017832</v>
      </c>
    </row>
    <row r="1499" customFormat="false" ht="12.75" hidden="false" customHeight="true" outlineLevel="0" collapsed="false">
      <c r="P1499" s="1" t="n">
        <v>1496</v>
      </c>
      <c r="Q1499" s="147" t="n">
        <v>33660.647396381</v>
      </c>
      <c r="R1499" s="147" t="n">
        <v>0.269459523472462</v>
      </c>
      <c r="S1499" s="147" t="n">
        <v>0.0796597906757441</v>
      </c>
      <c r="T1499" s="147" t="n">
        <v>0.0238183474620756</v>
      </c>
    </row>
    <row r="1500" customFormat="false" ht="12.75" hidden="false" customHeight="true" outlineLevel="0" collapsed="false">
      <c r="P1500" s="1" t="n">
        <v>1497</v>
      </c>
      <c r="Q1500" s="147" t="n">
        <v>33683.549643976</v>
      </c>
      <c r="R1500" s="147" t="n">
        <v>0.268651280431368</v>
      </c>
      <c r="S1500" s="147" t="n">
        <v>0.084472513656253</v>
      </c>
      <c r="T1500" s="147" t="n">
        <v>0.0242464627094685</v>
      </c>
    </row>
    <row r="1501" customFormat="false" ht="12.75" hidden="false" customHeight="true" outlineLevel="0" collapsed="false">
      <c r="P1501" s="1" t="n">
        <v>1498</v>
      </c>
      <c r="Q1501" s="147" t="n">
        <v>33706.309097711</v>
      </c>
      <c r="R1501" s="147" t="n">
        <v>0.268190964546117</v>
      </c>
      <c r="S1501" s="147" t="n">
        <v>0.0877412607519617</v>
      </c>
      <c r="T1501" s="147" t="n">
        <v>0.0250265826797525</v>
      </c>
    </row>
    <row r="1502" customFormat="false" ht="12.75" hidden="false" customHeight="true" outlineLevel="0" collapsed="false">
      <c r="P1502" s="1" t="n">
        <v>1499</v>
      </c>
      <c r="Q1502" s="147" t="n">
        <v>33728.499347056</v>
      </c>
      <c r="R1502" s="147" t="n">
        <v>0.267927447269387</v>
      </c>
      <c r="S1502" s="147" t="n">
        <v>0.0892372979334898</v>
      </c>
      <c r="T1502" s="147" t="n">
        <v>0.0261769122016324</v>
      </c>
    </row>
    <row r="1503" customFormat="false" ht="12.75" hidden="false" customHeight="true" outlineLevel="0" collapsed="false">
      <c r="P1503" s="1" t="n">
        <v>1500</v>
      </c>
      <c r="Q1503" s="147" t="n">
        <v>33750.938285029</v>
      </c>
      <c r="R1503" s="147" t="n">
        <v>0.268339307251555</v>
      </c>
      <c r="S1503" s="147" t="n">
        <v>0.0896108733881489</v>
      </c>
      <c r="T1503" s="147" t="n">
        <v>0.0272792758399459</v>
      </c>
    </row>
    <row r="1504" customFormat="false" ht="12.75" hidden="false" customHeight="true" outlineLevel="0" collapsed="false">
      <c r="P1504" s="1" t="n">
        <v>1501</v>
      </c>
      <c r="Q1504" s="147" t="n">
        <v>33773.424728543</v>
      </c>
      <c r="R1504" s="147" t="n">
        <v>0.269218903085705</v>
      </c>
      <c r="S1504" s="147" t="n">
        <v>0.0893220649047609</v>
      </c>
      <c r="T1504" s="147" t="n">
        <v>0.0288761600810841</v>
      </c>
    </row>
    <row r="1505" customFormat="false" ht="12.75" hidden="false" customHeight="true" outlineLevel="0" collapsed="false">
      <c r="P1505" s="1" t="n">
        <v>1502</v>
      </c>
      <c r="Q1505" s="147" t="n">
        <v>33796.111682777</v>
      </c>
      <c r="R1505" s="147" t="n">
        <v>0.270730671750483</v>
      </c>
      <c r="S1505" s="147" t="n">
        <v>0.0872190501990752</v>
      </c>
      <c r="T1505" s="147" t="n">
        <v>0.0295697603364257</v>
      </c>
    </row>
    <row r="1506" customFormat="false" ht="12.75" hidden="false" customHeight="true" outlineLevel="0" collapsed="false">
      <c r="P1506" s="1" t="n">
        <v>1503</v>
      </c>
      <c r="Q1506" s="147" t="n">
        <v>33819.068241546</v>
      </c>
      <c r="R1506" s="147" t="n">
        <v>0.272033218614435</v>
      </c>
      <c r="S1506" s="147" t="n">
        <v>0.084324323610859</v>
      </c>
      <c r="T1506" s="147" t="n">
        <v>0.0298300011104502</v>
      </c>
    </row>
    <row r="1507" customFormat="false" ht="12.75" hidden="false" customHeight="true" outlineLevel="0" collapsed="false">
      <c r="P1507" s="1" t="n">
        <v>1504</v>
      </c>
      <c r="Q1507" s="147" t="n">
        <v>33841.827290583</v>
      </c>
      <c r="R1507" s="147" t="n">
        <v>0.273264092949726</v>
      </c>
      <c r="S1507" s="147" t="n">
        <v>0.0798829906917383</v>
      </c>
      <c r="T1507" s="147" t="n">
        <v>0.0302297025697846</v>
      </c>
    </row>
    <row r="1508" customFormat="false" ht="12.75" hidden="false" customHeight="true" outlineLevel="0" collapsed="false">
      <c r="P1508" s="1" t="n">
        <v>1505</v>
      </c>
      <c r="Q1508" s="147" t="n">
        <v>33864.598980529</v>
      </c>
      <c r="R1508" s="147" t="n">
        <v>0.274733550088838</v>
      </c>
      <c r="S1508" s="147" t="n">
        <v>0.0769990681626044</v>
      </c>
      <c r="T1508" s="147" t="n">
        <v>0.0300633234162881</v>
      </c>
    </row>
    <row r="1509" customFormat="false" ht="12.75" hidden="false" customHeight="true" outlineLevel="0" collapsed="false">
      <c r="P1509" s="1" t="n">
        <v>1506</v>
      </c>
      <c r="Q1509" s="147" t="n">
        <v>33887.183252513</v>
      </c>
      <c r="R1509" s="147" t="n">
        <v>0.275869075401051</v>
      </c>
      <c r="S1509" s="147" t="n">
        <v>0.0764497141079529</v>
      </c>
      <c r="T1509" s="147" t="n">
        <v>0.0290156803555949</v>
      </c>
    </row>
    <row r="1510" customFormat="false" ht="12.75" hidden="false" customHeight="true" outlineLevel="0" collapsed="false">
      <c r="P1510" s="1" t="n">
        <v>1507</v>
      </c>
      <c r="Q1510" s="147" t="n">
        <v>33909.564764215</v>
      </c>
      <c r="R1510" s="147" t="n">
        <v>0.276458061192383</v>
      </c>
      <c r="S1510" s="147" t="n">
        <v>0.0774492148284363</v>
      </c>
      <c r="T1510" s="147" t="n">
        <v>0.027724297330334</v>
      </c>
    </row>
    <row r="1511" customFormat="false" ht="12.75" hidden="false" customHeight="true" outlineLevel="0" collapsed="false">
      <c r="P1511" s="1" t="n">
        <v>1508</v>
      </c>
      <c r="Q1511" s="147" t="n">
        <v>33932.365324236</v>
      </c>
      <c r="R1511" s="147" t="n">
        <v>0.276870672202268</v>
      </c>
      <c r="S1511" s="147" t="n">
        <v>0.0831948713042347</v>
      </c>
      <c r="T1511" s="147" t="n">
        <v>0.0257211891434468</v>
      </c>
    </row>
    <row r="1512" customFormat="false" ht="12.75" hidden="false" customHeight="true" outlineLevel="0" collapsed="false">
      <c r="P1512" s="1" t="n">
        <v>1509</v>
      </c>
      <c r="Q1512" s="147" t="n">
        <v>33954.611786096</v>
      </c>
      <c r="R1512" s="147" t="n">
        <v>0.276168850230019</v>
      </c>
      <c r="S1512" s="147" t="n">
        <v>0.0861011445467662</v>
      </c>
      <c r="T1512" s="147" t="n">
        <v>0.0246376204682201</v>
      </c>
    </row>
    <row r="1513" customFormat="false" ht="12.75" hidden="false" customHeight="true" outlineLevel="0" collapsed="false">
      <c r="P1513" s="1" t="n">
        <v>1510</v>
      </c>
      <c r="Q1513" s="147" t="n">
        <v>33977.710423236</v>
      </c>
      <c r="R1513" s="147" t="n">
        <v>0.274398235723778</v>
      </c>
      <c r="S1513" s="147" t="n">
        <v>0.0975615860444689</v>
      </c>
      <c r="T1513" s="147" t="n">
        <v>0.0235800950004871</v>
      </c>
    </row>
    <row r="1514" customFormat="false" ht="12.75" hidden="false" customHeight="true" outlineLevel="0" collapsed="false">
      <c r="P1514" s="1" t="n">
        <v>1511</v>
      </c>
      <c r="Q1514" s="147" t="n">
        <v>33999.719840403</v>
      </c>
      <c r="R1514" s="147" t="n">
        <v>0.27378079311883</v>
      </c>
      <c r="S1514" s="147" t="n">
        <v>0.100560383892825</v>
      </c>
      <c r="T1514" s="147" t="n">
        <v>0.0232095732294984</v>
      </c>
    </row>
    <row r="1515" customFormat="false" ht="12.75" hidden="false" customHeight="true" outlineLevel="0" collapsed="false">
      <c r="P1515" s="1" t="n">
        <v>1512</v>
      </c>
      <c r="Q1515" s="147" t="n">
        <v>34022.65990681</v>
      </c>
      <c r="R1515" s="147" t="n">
        <v>0.271825162052871</v>
      </c>
      <c r="S1515" s="147" t="n">
        <v>0.108067149589067</v>
      </c>
      <c r="T1515" s="147" t="n">
        <v>0.023565488854532</v>
      </c>
    </row>
    <row r="1516" customFormat="false" ht="12.75" hidden="false" customHeight="true" outlineLevel="0" collapsed="false">
      <c r="P1516" s="1" t="n">
        <v>1513</v>
      </c>
      <c r="Q1516" s="147" t="n">
        <v>34044.587419155</v>
      </c>
      <c r="R1516" s="147" t="n">
        <v>0.270722974842719</v>
      </c>
      <c r="S1516" s="147" t="n">
        <v>0.110847673661641</v>
      </c>
      <c r="T1516" s="147" t="n">
        <v>0.0232387597450112</v>
      </c>
    </row>
    <row r="1517" customFormat="false" ht="12.75" hidden="false" customHeight="true" outlineLevel="0" collapsed="false">
      <c r="P1517" s="1" t="n">
        <v>1514</v>
      </c>
      <c r="Q1517" s="147" t="n">
        <v>34067.154314144</v>
      </c>
      <c r="R1517" s="147" t="n">
        <v>0.268667145402354</v>
      </c>
      <c r="S1517" s="147" t="n">
        <v>0.115092013328382</v>
      </c>
      <c r="T1517" s="147" t="n">
        <v>0.0232592904614966</v>
      </c>
    </row>
    <row r="1518" customFormat="false" ht="12.75" hidden="false" customHeight="true" outlineLevel="0" collapsed="false">
      <c r="P1518" s="1" t="n">
        <v>1515</v>
      </c>
      <c r="Q1518" s="147" t="n">
        <v>34088.994143419</v>
      </c>
      <c r="R1518" s="147" t="n">
        <v>0.267360185614336</v>
      </c>
      <c r="S1518" s="147" t="n">
        <v>0.115675183715219</v>
      </c>
      <c r="T1518" s="147" t="n">
        <v>0.0231187241075365</v>
      </c>
    </row>
    <row r="1519" customFormat="false" ht="12.75" hidden="false" customHeight="true" outlineLevel="0" collapsed="false">
      <c r="P1519" s="1" t="n">
        <v>1516</v>
      </c>
      <c r="Q1519" s="147" t="n">
        <v>34111.101341416</v>
      </c>
      <c r="R1519" s="147" t="n">
        <v>0.265617222429441</v>
      </c>
      <c r="S1519" s="147" t="n">
        <v>0.114745750483218</v>
      </c>
      <c r="T1519" s="147" t="n">
        <v>0.0229040413259098</v>
      </c>
    </row>
    <row r="1520" customFormat="false" ht="12.75" hidden="false" customHeight="true" outlineLevel="0" collapsed="false">
      <c r="P1520" s="1" t="n">
        <v>1517</v>
      </c>
      <c r="Q1520" s="147" t="n">
        <v>34133.897715607</v>
      </c>
      <c r="R1520" s="147" t="n">
        <v>0.264856239510575</v>
      </c>
      <c r="S1520" s="147" t="n">
        <v>0.103994914130697</v>
      </c>
      <c r="T1520" s="147" t="n">
        <v>0.0227647769216001</v>
      </c>
    </row>
    <row r="1521" customFormat="false" ht="12.75" hidden="false" customHeight="true" outlineLevel="0" collapsed="false">
      <c r="P1521" s="1" t="n">
        <v>1518</v>
      </c>
      <c r="Q1521" s="147" t="n">
        <v>34156.504824625</v>
      </c>
      <c r="R1521" s="147" t="n">
        <v>0.264320571028781</v>
      </c>
      <c r="S1521" s="147" t="n">
        <v>0.101833228601432</v>
      </c>
      <c r="T1521" s="147" t="n">
        <v>0.0220866022357283</v>
      </c>
    </row>
    <row r="1522" customFormat="false" ht="12.75" hidden="false" customHeight="true" outlineLevel="0" collapsed="false">
      <c r="P1522" s="1" t="n">
        <v>1519</v>
      </c>
      <c r="Q1522" s="147" t="n">
        <v>34179.415746698</v>
      </c>
      <c r="R1522" s="147" t="n">
        <v>0.264931113373131</v>
      </c>
      <c r="S1522" s="147" t="n">
        <v>0.0968397626410861</v>
      </c>
      <c r="T1522" s="147" t="n">
        <v>0.0212542406961017</v>
      </c>
    </row>
    <row r="1523" customFormat="false" ht="12.75" hidden="false" customHeight="true" outlineLevel="0" collapsed="false">
      <c r="P1523" s="1" t="n">
        <v>1520</v>
      </c>
      <c r="Q1523" s="147" t="n">
        <v>34201.595383415</v>
      </c>
      <c r="R1523" s="147" t="n">
        <v>0.264762204183777</v>
      </c>
      <c r="S1523" s="147" t="n">
        <v>0.0946078492301628</v>
      </c>
      <c r="T1523" s="147" t="n">
        <v>0.0204205168518558</v>
      </c>
    </row>
    <row r="1524" customFormat="false" ht="12.75" hidden="false" customHeight="true" outlineLevel="0" collapsed="false">
      <c r="P1524" s="1" t="n">
        <v>1521</v>
      </c>
      <c r="Q1524" s="147" t="n">
        <v>34224.964857205</v>
      </c>
      <c r="R1524" s="147" t="n">
        <v>0.266321676457558</v>
      </c>
      <c r="S1524" s="147" t="n">
        <v>0.0856608305114582</v>
      </c>
      <c r="T1524" s="147" t="n">
        <v>0.0195016573383305</v>
      </c>
    </row>
    <row r="1525" customFormat="false" ht="12.75" hidden="false" customHeight="true" outlineLevel="0" collapsed="false">
      <c r="P1525" s="1" t="n">
        <v>1522</v>
      </c>
      <c r="Q1525" s="147" t="n">
        <v>34247.157147231</v>
      </c>
      <c r="R1525" s="147" t="n">
        <v>0.267213735283435</v>
      </c>
      <c r="S1525" s="147" t="n">
        <v>0.0831690442319738</v>
      </c>
      <c r="T1525" s="147" t="n">
        <v>0.0193192993789634</v>
      </c>
    </row>
    <row r="1526" customFormat="false" ht="12.75" hidden="false" customHeight="true" outlineLevel="0" collapsed="false">
      <c r="P1526" s="1" t="n">
        <v>1523</v>
      </c>
      <c r="Q1526" s="147" t="n">
        <v>34270.002980845</v>
      </c>
      <c r="R1526" s="147" t="n">
        <v>0.268934005270751</v>
      </c>
      <c r="S1526" s="147" t="n">
        <v>0.0775119971858226</v>
      </c>
      <c r="T1526" s="147" t="n">
        <v>0.0187873547944287</v>
      </c>
    </row>
    <row r="1527" customFormat="false" ht="12.75" hidden="false" customHeight="true" outlineLevel="0" collapsed="false">
      <c r="P1527" s="1" t="n">
        <v>1524</v>
      </c>
      <c r="Q1527" s="147" t="n">
        <v>34292.294782554</v>
      </c>
      <c r="R1527" s="147" t="n">
        <v>0.269877898641408</v>
      </c>
      <c r="S1527" s="147" t="n">
        <v>0.0763950864611423</v>
      </c>
      <c r="T1527" s="147" t="n">
        <v>0.018111930957679</v>
      </c>
    </row>
    <row r="1528" customFormat="false" ht="12.75" hidden="false" customHeight="true" outlineLevel="0" collapsed="false">
      <c r="P1528" s="1" t="n">
        <v>1525</v>
      </c>
      <c r="Q1528" s="147" t="n">
        <v>34315.104387833</v>
      </c>
      <c r="R1528" s="147" t="n">
        <v>0.270621819975786</v>
      </c>
      <c r="S1528" s="147" t="n">
        <v>0.0747000383812029</v>
      </c>
      <c r="T1528" s="147" t="n">
        <v>0.0162167055134762</v>
      </c>
    </row>
    <row r="1529" customFormat="false" ht="12.75" hidden="false" customHeight="true" outlineLevel="0" collapsed="false">
      <c r="P1529" s="1" t="n">
        <v>1526</v>
      </c>
      <c r="Q1529" s="147" t="n">
        <v>34337.270248085</v>
      </c>
      <c r="R1529" s="147" t="n">
        <v>0.271071304175103</v>
      </c>
      <c r="S1529" s="147" t="n">
        <v>0.0752216208213063</v>
      </c>
      <c r="T1529" s="147" t="n">
        <v>0.0158386556563354</v>
      </c>
    </row>
    <row r="1530" customFormat="false" ht="12.75" hidden="false" customHeight="true" outlineLevel="0" collapsed="false">
      <c r="P1530" s="1" t="n">
        <v>1527</v>
      </c>
      <c r="Q1530" s="147" t="n">
        <v>34360.031464977</v>
      </c>
      <c r="R1530" s="147" t="n">
        <v>0.270492721673337</v>
      </c>
      <c r="S1530" s="147" t="n">
        <v>0.0788315151958187</v>
      </c>
      <c r="T1530" s="147" t="n">
        <v>0.0135089548361388</v>
      </c>
    </row>
    <row r="1531" customFormat="false" ht="12.75" hidden="false" customHeight="true" outlineLevel="0" collapsed="false">
      <c r="P1531" s="1" t="n">
        <v>1528</v>
      </c>
      <c r="Q1531" s="147" t="n">
        <v>34382.245413966</v>
      </c>
      <c r="R1531" s="147" t="n">
        <v>0.270439733130389</v>
      </c>
      <c r="S1531" s="147" t="n">
        <v>0.0811981656092768</v>
      </c>
      <c r="T1531" s="147" t="n">
        <v>0.0133722071975145</v>
      </c>
    </row>
    <row r="1532" customFormat="false" ht="12.75" hidden="false" customHeight="true" outlineLevel="0" collapsed="false">
      <c r="P1532" s="1" t="n">
        <v>1529</v>
      </c>
      <c r="Q1532" s="147" t="n">
        <v>34405.36894787</v>
      </c>
      <c r="R1532" s="147" t="n">
        <v>0.269011708430457</v>
      </c>
      <c r="S1532" s="147" t="n">
        <v>0.0898307089870283</v>
      </c>
      <c r="T1532" s="147" t="n">
        <v>0.011792433776302</v>
      </c>
    </row>
    <row r="1533" customFormat="false" ht="12.75" hidden="false" customHeight="true" outlineLevel="0" collapsed="false">
      <c r="P1533" s="1" t="n">
        <v>1530</v>
      </c>
      <c r="Q1533" s="147" t="n">
        <v>34427.310479529</v>
      </c>
      <c r="R1533" s="147" t="n">
        <v>0.268790909781901</v>
      </c>
      <c r="S1533" s="147" t="n">
        <v>0.091740112769104</v>
      </c>
      <c r="T1533" s="147" t="n">
        <v>0.0112998275760584</v>
      </c>
    </row>
    <row r="1534" customFormat="false" ht="12.75" hidden="false" customHeight="true" outlineLevel="0" collapsed="false">
      <c r="P1534" s="1" t="n">
        <v>1531</v>
      </c>
      <c r="Q1534" s="147" t="n">
        <v>34450.290799794</v>
      </c>
      <c r="R1534" s="147" t="n">
        <v>0.267500689917435</v>
      </c>
      <c r="S1534" s="147" t="n">
        <v>0.0932913121607607</v>
      </c>
      <c r="T1534" s="147" t="n">
        <v>0.011419265737903</v>
      </c>
    </row>
    <row r="1535" customFormat="false" ht="12.75" hidden="false" customHeight="true" outlineLevel="0" collapsed="false">
      <c r="P1535" s="1" t="n">
        <v>1532</v>
      </c>
      <c r="Q1535" s="147" t="n">
        <v>34472.377767792</v>
      </c>
      <c r="R1535" s="147" t="n">
        <v>0.266663303463815</v>
      </c>
      <c r="S1535" s="147" t="n">
        <v>0.0930508734955416</v>
      </c>
      <c r="T1535" s="147" t="n">
        <v>0.0105942893031276</v>
      </c>
    </row>
    <row r="1536" customFormat="false" ht="12.75" hidden="false" customHeight="true" outlineLevel="0" collapsed="false">
      <c r="P1536" s="1" t="n">
        <v>1533</v>
      </c>
      <c r="Q1536" s="147" t="n">
        <v>34495.369802021</v>
      </c>
      <c r="R1536" s="147" t="n">
        <v>0.265526519745765</v>
      </c>
      <c r="S1536" s="147" t="n">
        <v>0.0880010990992432</v>
      </c>
      <c r="T1536" s="147" t="n">
        <v>0.0105133593083894</v>
      </c>
    </row>
    <row r="1537" customFormat="false" ht="12.75" hidden="false" customHeight="true" outlineLevel="0" collapsed="false">
      <c r="P1537" s="1" t="n">
        <v>1534</v>
      </c>
      <c r="Q1537" s="147" t="n">
        <v>34517.76648278</v>
      </c>
      <c r="R1537" s="147" t="n">
        <v>0.264809422936375</v>
      </c>
      <c r="S1537" s="147" t="n">
        <v>0.0863340091664972</v>
      </c>
      <c r="T1537" s="147" t="n">
        <v>0.0106377131382156</v>
      </c>
    </row>
    <row r="1538" customFormat="false" ht="12.75" hidden="false" customHeight="true" outlineLevel="0" collapsed="false">
      <c r="P1538" s="1" t="n">
        <v>1535</v>
      </c>
      <c r="Q1538" s="147" t="n">
        <v>34540.888623119</v>
      </c>
      <c r="R1538" s="147" t="n">
        <v>0.264521219129588</v>
      </c>
      <c r="S1538" s="147" t="n">
        <v>0.0785821821560273</v>
      </c>
      <c r="T1538" s="147" t="n">
        <v>0.011682086003122</v>
      </c>
    </row>
    <row r="1539" customFormat="false" ht="12.75" hidden="false" customHeight="true" outlineLevel="0" collapsed="false">
      <c r="P1539" s="1" t="n">
        <v>1536</v>
      </c>
      <c r="Q1539" s="147" t="n">
        <v>34563.358213977</v>
      </c>
      <c r="R1539" s="147" t="n">
        <v>0.26456237131265</v>
      </c>
      <c r="S1539" s="147" t="n">
        <v>0.0754757565386055</v>
      </c>
      <c r="T1539" s="147" t="n">
        <v>0.0121018206092705</v>
      </c>
    </row>
    <row r="1540" customFormat="false" ht="12.75" hidden="false" customHeight="true" outlineLevel="0" collapsed="false">
      <c r="P1540" s="1" t="n">
        <v>1537</v>
      </c>
      <c r="Q1540" s="147" t="n">
        <v>34586.144215459</v>
      </c>
      <c r="R1540" s="147" t="n">
        <v>0.265668457859818</v>
      </c>
      <c r="S1540" s="147" t="n">
        <v>0.0676459633699819</v>
      </c>
      <c r="T1540" s="147" t="n">
        <v>0.0143486672192458</v>
      </c>
    </row>
    <row r="1541" customFormat="false" ht="12.75" hidden="false" customHeight="true" outlineLevel="0" collapsed="false">
      <c r="P1541" s="1" t="n">
        <v>1538</v>
      </c>
      <c r="Q1541" s="147" t="n">
        <v>34608.390691159</v>
      </c>
      <c r="R1541" s="147" t="n">
        <v>0.266381117599464</v>
      </c>
      <c r="S1541" s="147" t="n">
        <v>0.0642920176409566</v>
      </c>
      <c r="T1541" s="147" t="n">
        <v>0.0148319517743937</v>
      </c>
    </row>
    <row r="1542" customFormat="false" ht="12.75" hidden="false" customHeight="true" outlineLevel="0" collapsed="false">
      <c r="P1542" s="1" t="n">
        <v>1539</v>
      </c>
      <c r="Q1542" s="147" t="n">
        <v>34631.090602906</v>
      </c>
      <c r="R1542" s="147" t="n">
        <v>0.267763202376595</v>
      </c>
      <c r="S1542" s="147" t="n">
        <v>0.0591611569788159</v>
      </c>
      <c r="T1542" s="147" t="n">
        <v>0.017530804431641</v>
      </c>
    </row>
    <row r="1543" customFormat="false" ht="12.75" hidden="false" customHeight="true" outlineLevel="0" collapsed="false">
      <c r="P1543" s="1" t="n">
        <v>1540</v>
      </c>
      <c r="Q1543" s="147" t="n">
        <v>34653.284312617</v>
      </c>
      <c r="R1543" s="147" t="n">
        <v>0.26856338577238</v>
      </c>
      <c r="S1543" s="147" t="n">
        <v>0.0575596346564315</v>
      </c>
      <c r="T1543" s="147" t="n">
        <v>0.0182649263568069</v>
      </c>
    </row>
    <row r="1544" customFormat="false" ht="12.75" hidden="false" customHeight="true" outlineLevel="0" collapsed="false">
      <c r="P1544" s="1" t="n">
        <v>1541</v>
      </c>
      <c r="Q1544" s="147" t="n">
        <v>34675.71743979</v>
      </c>
      <c r="R1544" s="147" t="n">
        <v>0.269286809522864</v>
      </c>
      <c r="S1544" s="147" t="n">
        <v>0.0566161650613311</v>
      </c>
      <c r="T1544" s="147" t="n">
        <v>0.0207222972004127</v>
      </c>
    </row>
    <row r="1545" customFormat="false" ht="12.75" hidden="false" customHeight="true" outlineLevel="0" collapsed="false">
      <c r="P1545" s="1" t="n">
        <v>1542</v>
      </c>
      <c r="Q1545" s="147" t="n">
        <v>34698.43919088</v>
      </c>
      <c r="R1545" s="147" t="n">
        <v>0.269363331046145</v>
      </c>
      <c r="S1545" s="147" t="n">
        <v>0.0586604524441329</v>
      </c>
      <c r="T1545" s="147" t="n">
        <v>0.0215847570811992</v>
      </c>
    </row>
    <row r="1546" customFormat="false" ht="12.75" hidden="false" customHeight="true" outlineLevel="0" collapsed="false">
      <c r="P1546" s="1" t="n">
        <v>1543</v>
      </c>
      <c r="Q1546" s="147" t="n">
        <v>34721.007531373</v>
      </c>
      <c r="R1546" s="147" t="n">
        <v>0.269471156309161</v>
      </c>
      <c r="S1546" s="147" t="n">
        <v>0.0627575696187547</v>
      </c>
      <c r="T1546" s="147" t="n">
        <v>0.0219892838937382</v>
      </c>
    </row>
    <row r="1547" customFormat="false" ht="12.75" hidden="false" customHeight="true" outlineLevel="0" collapsed="false">
      <c r="P1547" s="1" t="n">
        <v>1544</v>
      </c>
      <c r="Q1547" s="147" t="n">
        <v>34743.536738483</v>
      </c>
      <c r="R1547" s="147" t="n">
        <v>0.269337106727884</v>
      </c>
      <c r="S1547" s="147" t="n">
        <v>0.0680383727865973</v>
      </c>
      <c r="T1547" s="147" t="n">
        <v>0.0220360448852525</v>
      </c>
    </row>
    <row r="1548" customFormat="false" ht="12.75" hidden="false" customHeight="true" outlineLevel="0" collapsed="false">
      <c r="P1548" s="1" t="n">
        <v>1545</v>
      </c>
      <c r="Q1548" s="147" t="n">
        <v>34766.157653036</v>
      </c>
      <c r="R1548" s="147" t="n">
        <v>0.269373536573059</v>
      </c>
      <c r="S1548" s="147" t="n">
        <v>0.0733258566220573</v>
      </c>
      <c r="T1548" s="147" t="n">
        <v>0.0220132819278256</v>
      </c>
    </row>
    <row r="1549" customFormat="false" ht="12.75" hidden="false" customHeight="true" outlineLevel="0" collapsed="false">
      <c r="P1549" s="1" t="n">
        <v>1546</v>
      </c>
      <c r="Q1549" s="147" t="n">
        <v>34788.626444567</v>
      </c>
      <c r="R1549" s="147" t="n">
        <v>0.269512214123919</v>
      </c>
      <c r="S1549" s="147" t="n">
        <v>0.0780681338386917</v>
      </c>
      <c r="T1549" s="147" t="n">
        <v>0.022133977179074</v>
      </c>
    </row>
    <row r="1550" customFormat="false" ht="12.75" hidden="false" customHeight="true" outlineLevel="0" collapsed="false">
      <c r="P1550" s="1" t="n">
        <v>1547</v>
      </c>
      <c r="Q1550" s="147" t="n">
        <v>34811.293760334</v>
      </c>
      <c r="R1550" s="147" t="n">
        <v>0.269458587231676</v>
      </c>
      <c r="S1550" s="147" t="n">
        <v>0.0821465461508556</v>
      </c>
      <c r="T1550" s="147" t="n">
        <v>0.0215710761114034</v>
      </c>
    </row>
    <row r="1551" customFormat="false" ht="12.75" hidden="false" customHeight="true" outlineLevel="0" collapsed="false">
      <c r="P1551" s="1" t="n">
        <v>1548</v>
      </c>
      <c r="Q1551" s="147" t="n">
        <v>34833.50861746</v>
      </c>
      <c r="R1551" s="147" t="n">
        <v>0.269736089268786</v>
      </c>
      <c r="S1551" s="147" t="n">
        <v>0.0846747509762654</v>
      </c>
      <c r="T1551" s="147" t="n">
        <v>0.0219211388746402</v>
      </c>
    </row>
    <row r="1552" customFormat="false" ht="12.75" hidden="false" customHeight="true" outlineLevel="0" collapsed="false">
      <c r="P1552" s="1" t="n">
        <v>1549</v>
      </c>
      <c r="Q1552" s="147" t="n">
        <v>34856.11265052</v>
      </c>
      <c r="R1552" s="147" t="n">
        <v>0.269583219829289</v>
      </c>
      <c r="S1552" s="147" t="n">
        <v>0.0866485715327596</v>
      </c>
      <c r="T1552" s="147" t="n">
        <v>0.0215132917809432</v>
      </c>
    </row>
    <row r="1553" customFormat="false" ht="12.75" hidden="false" customHeight="true" outlineLevel="0" collapsed="false">
      <c r="P1553" s="1" t="n">
        <v>1550</v>
      </c>
      <c r="Q1553" s="147" t="n">
        <v>34878.737368968</v>
      </c>
      <c r="R1553" s="147" t="n">
        <v>0.26956066849292</v>
      </c>
      <c r="S1553" s="147" t="n">
        <v>0.0875850638727846</v>
      </c>
      <c r="T1553" s="147" t="n">
        <v>0.0212324472460138</v>
      </c>
    </row>
    <row r="1554" customFormat="false" ht="12.75" hidden="false" customHeight="true" outlineLevel="0" collapsed="false">
      <c r="P1554" s="1" t="n">
        <v>1551</v>
      </c>
      <c r="Q1554" s="147" t="n">
        <v>34901.436449008</v>
      </c>
      <c r="R1554" s="147" t="n">
        <v>0.26947885315336</v>
      </c>
      <c r="S1554" s="147" t="n">
        <v>0.0876079238405118</v>
      </c>
      <c r="T1554" s="147" t="n">
        <v>0.0209230250641473</v>
      </c>
    </row>
    <row r="1555" customFormat="false" ht="12.75" hidden="false" customHeight="true" outlineLevel="0" collapsed="false">
      <c r="P1555" s="1" t="n">
        <v>1552</v>
      </c>
      <c r="Q1555" s="147" t="n">
        <v>34924.184898051</v>
      </c>
      <c r="R1555" s="147" t="n">
        <v>0.269492693696096</v>
      </c>
      <c r="S1555" s="147" t="n">
        <v>0.0864512547056727</v>
      </c>
      <c r="T1555" s="147" t="n">
        <v>0.0211073953516426</v>
      </c>
    </row>
    <row r="1556" customFormat="false" ht="12.75" hidden="false" customHeight="true" outlineLevel="0" collapsed="false">
      <c r="P1556" s="1" t="n">
        <v>1553</v>
      </c>
      <c r="Q1556" s="147" t="n">
        <v>34946.945275956</v>
      </c>
      <c r="R1556" s="147" t="n">
        <v>0.269495598145722</v>
      </c>
      <c r="S1556" s="147" t="n">
        <v>0.0840736399995574</v>
      </c>
      <c r="T1556" s="147" t="n">
        <v>0.0214806053840531</v>
      </c>
    </row>
    <row r="1557" customFormat="false" ht="12.75" hidden="false" customHeight="true" outlineLevel="0" collapsed="false">
      <c r="P1557" s="1" t="n">
        <v>1554</v>
      </c>
      <c r="Q1557" s="147" t="n">
        <v>34969.869366877</v>
      </c>
      <c r="R1557" s="147" t="n">
        <v>0.269760511834742</v>
      </c>
      <c r="S1557" s="147" t="n">
        <v>0.0808501600993199</v>
      </c>
      <c r="T1557" s="147" t="n">
        <v>0.0217070479265495</v>
      </c>
    </row>
    <row r="1558" customFormat="false" ht="12.75" hidden="false" customHeight="true" outlineLevel="0" collapsed="false">
      <c r="P1558" s="1" t="n">
        <v>1555</v>
      </c>
      <c r="Q1558" s="147" t="n">
        <v>34992.661798854</v>
      </c>
      <c r="R1558" s="147" t="n">
        <v>0.270056234394371</v>
      </c>
      <c r="S1558" s="147" t="n">
        <v>0.0770846763071611</v>
      </c>
      <c r="T1558" s="147" t="n">
        <v>0.0221307195180184</v>
      </c>
    </row>
    <row r="1559" customFormat="false" ht="12.75" hidden="false" customHeight="true" outlineLevel="0" collapsed="false">
      <c r="P1559" s="1" t="n">
        <v>1556</v>
      </c>
      <c r="Q1559" s="147" t="n">
        <v>35015.120637191</v>
      </c>
      <c r="R1559" s="147" t="n">
        <v>0.270378037696988</v>
      </c>
      <c r="S1559" s="147" t="n">
        <v>0.0735621340855519</v>
      </c>
      <c r="T1559" s="147" t="n">
        <v>0.022706773057688</v>
      </c>
    </row>
    <row r="1560" customFormat="false" ht="12.75" hidden="false" customHeight="true" outlineLevel="0" collapsed="false">
      <c r="P1560" s="1" t="n">
        <v>1557</v>
      </c>
      <c r="Q1560" s="147" t="n">
        <v>35037.984035008</v>
      </c>
      <c r="R1560" s="147" t="n">
        <v>0.270558999390599</v>
      </c>
      <c r="S1560" s="147" t="n">
        <v>0.0698382947290072</v>
      </c>
      <c r="T1560" s="147" t="n">
        <v>0.0236620638122524</v>
      </c>
    </row>
    <row r="1561" customFormat="false" ht="12.75" hidden="false" customHeight="true" outlineLevel="0" collapsed="false">
      <c r="P1561" s="1" t="n">
        <v>1558</v>
      </c>
      <c r="Q1561" s="147" t="n">
        <v>35060.724761157</v>
      </c>
      <c r="R1561" s="147" t="n">
        <v>0.270303814058213</v>
      </c>
      <c r="S1561" s="147" t="n">
        <v>0.066614908522083</v>
      </c>
      <c r="T1561" s="147" t="n">
        <v>0.0246341342238046</v>
      </c>
    </row>
    <row r="1562" customFormat="false" ht="12.75" hidden="false" customHeight="true" outlineLevel="0" collapsed="false">
      <c r="P1562" s="1" t="n">
        <v>1559</v>
      </c>
      <c r="Q1562" s="147" t="n">
        <v>35083.518022956</v>
      </c>
      <c r="R1562" s="147" t="n">
        <v>0.269728871624134</v>
      </c>
      <c r="S1562" s="147" t="n">
        <v>0.0638058109107917</v>
      </c>
      <c r="T1562" s="147" t="n">
        <v>0.0258529928764037</v>
      </c>
    </row>
    <row r="1563" customFormat="false" ht="12.75" hidden="false" customHeight="true" outlineLevel="0" collapsed="false">
      <c r="P1563" s="1" t="n">
        <v>1560</v>
      </c>
      <c r="Q1563" s="147" t="n">
        <v>35106.321761061</v>
      </c>
      <c r="R1563" s="147" t="n">
        <v>0.268760701212047</v>
      </c>
      <c r="S1563" s="147" t="n">
        <v>0.0623755289004807</v>
      </c>
      <c r="T1563" s="147" t="n">
        <v>0.0270067711115517</v>
      </c>
    </row>
    <row r="1564" customFormat="false" ht="12.75" hidden="false" customHeight="true" outlineLevel="0" collapsed="false">
      <c r="P1564" s="1" t="n">
        <v>1561</v>
      </c>
      <c r="Q1564" s="147" t="n">
        <v>35128.91025313</v>
      </c>
      <c r="R1564" s="147" t="n">
        <v>0.26753564779093</v>
      </c>
      <c r="S1564" s="147" t="n">
        <v>0.0621866562082883</v>
      </c>
      <c r="T1564" s="147" t="n">
        <v>0.0278959556000757</v>
      </c>
    </row>
    <row r="1565" customFormat="false" ht="12.75" hidden="false" customHeight="true" outlineLevel="0" collapsed="false">
      <c r="P1565" s="1" t="n">
        <v>1562</v>
      </c>
      <c r="Q1565" s="147" t="n">
        <v>35151.727225173</v>
      </c>
      <c r="R1565" s="147" t="n">
        <v>0.266471493513556</v>
      </c>
      <c r="S1565" s="147" t="n">
        <v>0.0631422101063556</v>
      </c>
      <c r="T1565" s="147" t="n">
        <v>0.0281326210355414</v>
      </c>
    </row>
    <row r="1566" customFormat="false" ht="12.75" hidden="false" customHeight="true" outlineLevel="0" collapsed="false">
      <c r="P1566" s="1" t="n">
        <v>1563</v>
      </c>
      <c r="Q1566" s="147" t="n">
        <v>35174.289921515</v>
      </c>
      <c r="R1566" s="147" t="n">
        <v>0.265543273115837</v>
      </c>
      <c r="S1566" s="147" t="n">
        <v>0.0639148326897614</v>
      </c>
      <c r="T1566" s="147" t="n">
        <v>0.0279810412638946</v>
      </c>
    </row>
    <row r="1567" customFormat="false" ht="12.75" hidden="false" customHeight="true" outlineLevel="0" collapsed="false">
      <c r="P1567" s="1" t="n">
        <v>1564</v>
      </c>
      <c r="Q1567" s="147" t="n">
        <v>35197.195357644</v>
      </c>
      <c r="R1567" s="147" t="n">
        <v>0.26506327454903</v>
      </c>
      <c r="S1567" s="147" t="n">
        <v>0.063921451958758</v>
      </c>
      <c r="T1567" s="147" t="n">
        <v>0.0276362152108193</v>
      </c>
    </row>
    <row r="1568" customFormat="false" ht="12.75" hidden="false" customHeight="true" outlineLevel="0" collapsed="false">
      <c r="P1568" s="1" t="n">
        <v>1565</v>
      </c>
      <c r="Q1568" s="147" t="n">
        <v>35219.85207312</v>
      </c>
      <c r="R1568" s="147" t="n">
        <v>0.26514435437064</v>
      </c>
      <c r="S1568" s="147" t="n">
        <v>0.0629158660330868</v>
      </c>
      <c r="T1568" s="147" t="n">
        <v>0.0267720619173412</v>
      </c>
    </row>
    <row r="1569" customFormat="false" ht="12.75" hidden="false" customHeight="true" outlineLevel="0" collapsed="false">
      <c r="P1569" s="1" t="n">
        <v>1566</v>
      </c>
      <c r="Q1569" s="147" t="n">
        <v>35242.373657596</v>
      </c>
      <c r="R1569" s="147" t="n">
        <v>0.265712006333646</v>
      </c>
      <c r="S1569" s="147" t="n">
        <v>0.061586310029389</v>
      </c>
      <c r="T1569" s="147" t="n">
        <v>0.0258455443576754</v>
      </c>
    </row>
    <row r="1570" customFormat="false" ht="12.75" hidden="false" customHeight="true" outlineLevel="0" collapsed="false">
      <c r="P1570" s="1" t="n">
        <v>1567</v>
      </c>
      <c r="Q1570" s="147" t="n">
        <v>35265.027779821</v>
      </c>
      <c r="R1570" s="147" t="n">
        <v>0.266539695771095</v>
      </c>
      <c r="S1570" s="147" t="n">
        <v>0.0607183743014713</v>
      </c>
      <c r="T1570" s="147" t="n">
        <v>0.0244277412617169</v>
      </c>
    </row>
    <row r="1571" customFormat="false" ht="12.75" hidden="false" customHeight="true" outlineLevel="0" collapsed="false">
      <c r="P1571" s="1" t="n">
        <v>1568</v>
      </c>
      <c r="Q1571" s="147" t="n">
        <v>35287.972851932</v>
      </c>
      <c r="R1571" s="147" t="n">
        <v>0.267807846809366</v>
      </c>
      <c r="S1571" s="147" t="n">
        <v>0.0606925714753901</v>
      </c>
      <c r="T1571" s="147" t="n">
        <v>0.0232119274431939</v>
      </c>
    </row>
    <row r="1572" customFormat="false" ht="12.75" hidden="false" customHeight="true" outlineLevel="0" collapsed="false">
      <c r="P1572" s="1" t="n">
        <v>1569</v>
      </c>
      <c r="Q1572" s="147" t="n">
        <v>35310.468760511</v>
      </c>
      <c r="R1572" s="147" t="n">
        <v>0.269376985167436</v>
      </c>
      <c r="S1572" s="147" t="n">
        <v>0.0615994399463919</v>
      </c>
      <c r="T1572" s="147" t="n">
        <v>0.0215614984327509</v>
      </c>
    </row>
    <row r="1573" customFormat="false" ht="12.75" hidden="false" customHeight="true" outlineLevel="0" collapsed="false">
      <c r="P1573" s="1" t="n">
        <v>1570</v>
      </c>
      <c r="Q1573" s="147" t="n">
        <v>35333.473561962</v>
      </c>
      <c r="R1573" s="147" t="n">
        <v>0.270816927055001</v>
      </c>
      <c r="S1573" s="147" t="n">
        <v>0.0633883209455358</v>
      </c>
      <c r="T1573" s="147" t="n">
        <v>0.020236391640865</v>
      </c>
    </row>
    <row r="1574" customFormat="false" ht="12.75" hidden="false" customHeight="true" outlineLevel="0" collapsed="false">
      <c r="P1574" s="1" t="n">
        <v>1571</v>
      </c>
      <c r="Q1574" s="147" t="n">
        <v>35356.034390291</v>
      </c>
      <c r="R1574" s="147" t="n">
        <v>0.272178348165727</v>
      </c>
      <c r="S1574" s="147" t="n">
        <v>0.0652011092045333</v>
      </c>
      <c r="T1574" s="147" t="n">
        <v>0.0191565755754495</v>
      </c>
    </row>
    <row r="1575" customFormat="false" ht="12.75" hidden="false" customHeight="true" outlineLevel="0" collapsed="false">
      <c r="P1575" s="1" t="n">
        <v>1572</v>
      </c>
      <c r="Q1575" s="147" t="n">
        <v>35378.577673241</v>
      </c>
      <c r="R1575" s="147" t="n">
        <v>0.27345712392578</v>
      </c>
      <c r="S1575" s="147" t="n">
        <v>0.0668579845097131</v>
      </c>
      <c r="T1575" s="147" t="n">
        <v>0.0181201915603656</v>
      </c>
    </row>
    <row r="1576" customFormat="false" ht="12.75" hidden="false" customHeight="true" outlineLevel="0" collapsed="false">
      <c r="P1576" s="1" t="n">
        <v>1573</v>
      </c>
      <c r="Q1576" s="147" t="n">
        <v>35401.166937167</v>
      </c>
      <c r="R1576" s="147" t="n">
        <v>0.274655052855651</v>
      </c>
      <c r="S1576" s="147" t="n">
        <v>0.0674914828709726</v>
      </c>
      <c r="T1576" s="147" t="n">
        <v>0.0173184778682258</v>
      </c>
    </row>
    <row r="1577" customFormat="false" ht="12.75" hidden="false" customHeight="true" outlineLevel="0" collapsed="false">
      <c r="P1577" s="1" t="n">
        <v>1574</v>
      </c>
      <c r="Q1577" s="147" t="n">
        <v>35424.116135981</v>
      </c>
      <c r="R1577" s="147" t="n">
        <v>0.275765792504932</v>
      </c>
      <c r="S1577" s="147" t="n">
        <v>0.0672231975831212</v>
      </c>
      <c r="T1577" s="147" t="n">
        <v>0.0168392889938488</v>
      </c>
    </row>
    <row r="1578" customFormat="false" ht="12.75" hidden="false" customHeight="true" outlineLevel="0" collapsed="false">
      <c r="P1578" s="1" t="n">
        <v>1575</v>
      </c>
      <c r="Q1578" s="147" t="n">
        <v>35446.773239995</v>
      </c>
      <c r="R1578" s="147" t="n">
        <v>0.276562375559553</v>
      </c>
      <c r="S1578" s="147" t="n">
        <v>0.0655223959823727</v>
      </c>
      <c r="T1578" s="147" t="n">
        <v>0.0169156476938976</v>
      </c>
    </row>
    <row r="1579" customFormat="false" ht="12.75" hidden="false" customHeight="true" outlineLevel="0" collapsed="false">
      <c r="P1579" s="1" t="n">
        <v>1576</v>
      </c>
      <c r="Q1579" s="147" t="n">
        <v>35469.833057916</v>
      </c>
      <c r="R1579" s="147" t="n">
        <v>0.277116985359661</v>
      </c>
      <c r="S1579" s="147" t="n">
        <v>0.0626732079653787</v>
      </c>
      <c r="T1579" s="147" t="n">
        <v>0.017676179840248</v>
      </c>
    </row>
    <row r="1580" customFormat="false" ht="12.75" hidden="false" customHeight="true" outlineLevel="0" collapsed="false">
      <c r="P1580" s="1" t="n">
        <v>1577</v>
      </c>
      <c r="Q1580" s="147" t="n">
        <v>35492.81501928</v>
      </c>
      <c r="R1580" s="147" t="n">
        <v>0.277017059734651</v>
      </c>
      <c r="S1580" s="147" t="n">
        <v>0.0607486444079046</v>
      </c>
      <c r="T1580" s="147" t="n">
        <v>0.0184907482093245</v>
      </c>
    </row>
    <row r="1581" customFormat="false" ht="12.75" hidden="false" customHeight="true" outlineLevel="0" collapsed="false">
      <c r="P1581" s="1" t="n">
        <v>1578</v>
      </c>
      <c r="Q1581" s="147" t="n">
        <v>35515.677003084</v>
      </c>
      <c r="R1581" s="147" t="n">
        <v>0.276313739756325</v>
      </c>
      <c r="S1581" s="147" t="n">
        <v>0.0607961734563185</v>
      </c>
      <c r="T1581" s="147" t="n">
        <v>0.019379877029682</v>
      </c>
    </row>
    <row r="1582" customFormat="false" ht="12.75" hidden="false" customHeight="true" outlineLevel="0" collapsed="false">
      <c r="P1582" s="1" t="n">
        <v>1579</v>
      </c>
      <c r="Q1582" s="147" t="n">
        <v>35538.573878288</v>
      </c>
      <c r="R1582" s="147" t="n">
        <v>0.274982920781814</v>
      </c>
      <c r="S1582" s="147" t="n">
        <v>0.0624716275708558</v>
      </c>
      <c r="T1582" s="147" t="n">
        <v>0.0204414251292047</v>
      </c>
    </row>
    <row r="1583" customFormat="false" ht="12.75" hidden="false" customHeight="true" outlineLevel="0" collapsed="false">
      <c r="P1583" s="1" t="n">
        <v>1580</v>
      </c>
      <c r="Q1583" s="147" t="n">
        <v>35561.63100152</v>
      </c>
      <c r="R1583" s="147" t="n">
        <v>0.273288292231269</v>
      </c>
      <c r="S1583" s="147" t="n">
        <v>0.0646667241924226</v>
      </c>
      <c r="T1583" s="147" t="n">
        <v>0.0212665504982191</v>
      </c>
    </row>
    <row r="1584" customFormat="false" ht="12.75" hidden="false" customHeight="true" outlineLevel="0" collapsed="false">
      <c r="P1584" s="1" t="n">
        <v>1581</v>
      </c>
      <c r="Q1584" s="147" t="n">
        <v>35584.4965366</v>
      </c>
      <c r="R1584" s="147" t="n">
        <v>0.27148977669284</v>
      </c>
      <c r="S1584" s="147" t="n">
        <v>0.067216401655495</v>
      </c>
      <c r="T1584" s="147" t="n">
        <v>0.0215912722517679</v>
      </c>
    </row>
    <row r="1585" customFormat="false" ht="12.75" hidden="false" customHeight="true" outlineLevel="0" collapsed="false">
      <c r="P1585" s="1" t="n">
        <v>1582</v>
      </c>
      <c r="Q1585" s="147" t="n">
        <v>35607.527812455</v>
      </c>
      <c r="R1585" s="147" t="n">
        <v>0.269769420362903</v>
      </c>
      <c r="S1585" s="147" t="n">
        <v>0.0690288338427059</v>
      </c>
      <c r="T1585" s="147" t="n">
        <v>0.0211733609109852</v>
      </c>
    </row>
    <row r="1586" customFormat="false" ht="12.75" hidden="false" customHeight="true" outlineLevel="0" collapsed="false">
      <c r="P1586" s="1" t="n">
        <v>1583</v>
      </c>
      <c r="Q1586" s="147" t="n">
        <v>35630.003132697</v>
      </c>
      <c r="R1586" s="147" t="n">
        <v>0.268334032526746</v>
      </c>
      <c r="S1586" s="147" t="n">
        <v>0.0697525654213588</v>
      </c>
      <c r="T1586" s="147" t="n">
        <v>0.0201859310518395</v>
      </c>
    </row>
    <row r="1587" customFormat="false" ht="12.75" hidden="false" customHeight="true" outlineLevel="0" collapsed="false">
      <c r="P1587" s="1" t="n">
        <v>1584</v>
      </c>
      <c r="Q1587" s="147" t="n">
        <v>35652.635502719</v>
      </c>
      <c r="R1587" s="147" t="n">
        <v>0.267510666432084</v>
      </c>
      <c r="S1587" s="147" t="n">
        <v>0.0696970249578925</v>
      </c>
      <c r="T1587" s="147" t="n">
        <v>0.0184334314114009</v>
      </c>
    </row>
    <row r="1588" customFormat="false" ht="12.75" hidden="false" customHeight="true" outlineLevel="0" collapsed="false">
      <c r="P1588" s="1" t="n">
        <v>1585</v>
      </c>
      <c r="Q1588" s="147" t="n">
        <v>35675.389155386</v>
      </c>
      <c r="R1588" s="147" t="n">
        <v>0.266776601456486</v>
      </c>
      <c r="S1588" s="147" t="n">
        <v>0.0699178124263873</v>
      </c>
      <c r="T1588" s="147" t="n">
        <v>0.0166341308256102</v>
      </c>
    </row>
    <row r="1589" customFormat="false" ht="12.75" hidden="false" customHeight="true" outlineLevel="0" collapsed="false">
      <c r="P1589" s="1" t="n">
        <v>1586</v>
      </c>
      <c r="Q1589" s="147" t="n">
        <v>35697.851043682</v>
      </c>
      <c r="R1589" s="147" t="n">
        <v>0.266617702818551</v>
      </c>
      <c r="S1589" s="147" t="n">
        <v>0.0702401239148921</v>
      </c>
      <c r="T1589" s="147" t="n">
        <v>0.0150267383337364</v>
      </c>
    </row>
    <row r="1590" customFormat="false" ht="12.75" hidden="false" customHeight="true" outlineLevel="0" collapsed="false">
      <c r="P1590" s="1" t="n">
        <v>1587</v>
      </c>
      <c r="Q1590" s="147" t="n">
        <v>35720.169469012</v>
      </c>
      <c r="R1590" s="147" t="n">
        <v>0.266703761375646</v>
      </c>
      <c r="S1590" s="147" t="n">
        <v>0.0713000442799797</v>
      </c>
      <c r="T1590" s="147" t="n">
        <v>0.0130299554440231</v>
      </c>
    </row>
    <row r="1591" customFormat="false" ht="12.75" hidden="false" customHeight="true" outlineLevel="0" collapsed="false">
      <c r="P1591" s="1" t="n">
        <v>1588</v>
      </c>
      <c r="Q1591" s="147" t="n">
        <v>35742.803586117</v>
      </c>
      <c r="R1591" s="147" t="n">
        <v>0.267117898239365</v>
      </c>
      <c r="S1591" s="147" t="n">
        <v>0.0739407363437536</v>
      </c>
      <c r="T1591" s="147" t="n">
        <v>0.0110730322438059</v>
      </c>
    </row>
    <row r="1592" customFormat="false" ht="12.75" hidden="false" customHeight="true" outlineLevel="0" collapsed="false">
      <c r="P1592" s="1" t="n">
        <v>1589</v>
      </c>
      <c r="Q1592" s="147" t="n">
        <v>35765.484651094</v>
      </c>
      <c r="R1592" s="147" t="n">
        <v>0.267578719983611</v>
      </c>
      <c r="S1592" s="147" t="n">
        <v>0.0775487107324291</v>
      </c>
      <c r="T1592" s="147" t="n">
        <v>0.00941181953950191</v>
      </c>
    </row>
    <row r="1593" customFormat="false" ht="12.75" hidden="false" customHeight="true" outlineLevel="0" collapsed="false">
      <c r="P1593" s="1" t="n">
        <v>1590</v>
      </c>
      <c r="Q1593" s="147" t="n">
        <v>35787.949241639</v>
      </c>
      <c r="R1593" s="147" t="n">
        <v>0.268075399722155</v>
      </c>
      <c r="S1593" s="147" t="n">
        <v>0.0824645065855014</v>
      </c>
      <c r="T1593" s="147" t="n">
        <v>0.00789792497816861</v>
      </c>
    </row>
    <row r="1594" customFormat="false" ht="12.75" hidden="false" customHeight="true" outlineLevel="0" collapsed="false">
      <c r="P1594" s="1" t="n">
        <v>1591</v>
      </c>
      <c r="Q1594" s="147" t="n">
        <v>35810.571459793</v>
      </c>
      <c r="R1594" s="147" t="n">
        <v>0.268586436866325</v>
      </c>
      <c r="S1594" s="147" t="n">
        <v>0.0880763117067905</v>
      </c>
      <c r="T1594" s="147" t="n">
        <v>0.00694384293332644</v>
      </c>
    </row>
    <row r="1595" customFormat="false" ht="12.75" hidden="false" customHeight="true" outlineLevel="0" collapsed="false">
      <c r="P1595" s="1" t="n">
        <v>1592</v>
      </c>
      <c r="Q1595" s="147" t="n">
        <v>35833.52232391</v>
      </c>
      <c r="R1595" s="147" t="n">
        <v>0.26902368838638</v>
      </c>
      <c r="S1595" s="147" t="n">
        <v>0.0938091379991812</v>
      </c>
      <c r="T1595" s="147" t="n">
        <v>0.00669210885321319</v>
      </c>
    </row>
    <row r="1596" customFormat="false" ht="12.75" hidden="false" customHeight="true" outlineLevel="0" collapsed="false">
      <c r="P1596" s="1" t="n">
        <v>1593</v>
      </c>
      <c r="Q1596" s="147" t="n">
        <v>35856.310157001</v>
      </c>
      <c r="R1596" s="147" t="n">
        <v>0.269355933275154</v>
      </c>
      <c r="S1596" s="147" t="n">
        <v>0.0991566359152813</v>
      </c>
      <c r="T1596" s="147" t="n">
        <v>0.00737314837172644</v>
      </c>
    </row>
    <row r="1597" customFormat="false" ht="12.75" hidden="false" customHeight="true" outlineLevel="0" collapsed="false">
      <c r="P1597" s="1" t="n">
        <v>1594</v>
      </c>
      <c r="Q1597" s="147" t="n">
        <v>35879.204478545</v>
      </c>
      <c r="R1597" s="147" t="n">
        <v>0.269667819284795</v>
      </c>
      <c r="S1597" s="147" t="n">
        <v>0.104227373891907</v>
      </c>
      <c r="T1597" s="147" t="n">
        <v>0.00886427757691324</v>
      </c>
    </row>
    <row r="1598" customFormat="false" ht="12.75" hidden="false" customHeight="true" outlineLevel="0" collapsed="false">
      <c r="P1598" s="1" t="n">
        <v>1595</v>
      </c>
      <c r="Q1598" s="147" t="n">
        <v>35901.952874383</v>
      </c>
      <c r="R1598" s="147" t="n">
        <v>0.269737420207983</v>
      </c>
      <c r="S1598" s="147" t="n">
        <v>0.108766383368345</v>
      </c>
      <c r="T1598" s="147" t="n">
        <v>0.0109011253284664</v>
      </c>
    </row>
    <row r="1599" customFormat="false" ht="12.75" hidden="false" customHeight="true" outlineLevel="0" collapsed="false">
      <c r="P1599" s="1" t="n">
        <v>1596</v>
      </c>
      <c r="Q1599" s="147" t="n">
        <v>35924.822045278</v>
      </c>
      <c r="R1599" s="147" t="n">
        <v>0.269519429876271</v>
      </c>
      <c r="S1599" s="147" t="n">
        <v>0.112932397949965</v>
      </c>
      <c r="T1599" s="147" t="n">
        <v>0.0132725634396157</v>
      </c>
    </row>
    <row r="1600" customFormat="false" ht="12.75" hidden="false" customHeight="true" outlineLevel="0" collapsed="false">
      <c r="P1600" s="1" t="n">
        <v>1597</v>
      </c>
      <c r="Q1600" s="147" t="n">
        <v>35947.591470342</v>
      </c>
      <c r="R1600" s="147" t="n">
        <v>0.2688938717152</v>
      </c>
      <c r="S1600" s="147" t="n">
        <v>0.11680061885686</v>
      </c>
      <c r="T1600" s="147" t="n">
        <v>0.015555217919346</v>
      </c>
    </row>
    <row r="1601" customFormat="false" ht="12.75" hidden="false" customHeight="true" outlineLevel="0" collapsed="false">
      <c r="P1601" s="1" t="n">
        <v>1598</v>
      </c>
      <c r="Q1601" s="147" t="n">
        <v>35970.693098756</v>
      </c>
      <c r="R1601" s="147" t="n">
        <v>0.268575274584507</v>
      </c>
      <c r="S1601" s="147" t="n">
        <v>0.118259076253576</v>
      </c>
      <c r="T1601" s="147" t="n">
        <v>0.0176049285777178</v>
      </c>
    </row>
    <row r="1602" customFormat="false" ht="12.75" hidden="false" customHeight="true" outlineLevel="0" collapsed="false">
      <c r="P1602" s="1" t="n">
        <v>1599</v>
      </c>
      <c r="Q1602" s="147" t="n">
        <v>35993.811561222</v>
      </c>
      <c r="R1602" s="147" t="n">
        <v>0.268165887622385</v>
      </c>
      <c r="S1602" s="147" t="n">
        <v>0.119957212247739</v>
      </c>
      <c r="T1602" s="147" t="n">
        <v>0.0178021933706755</v>
      </c>
    </row>
    <row r="1603" customFormat="false" ht="12.75" hidden="false" customHeight="true" outlineLevel="0" collapsed="false">
      <c r="P1603" s="1" t="n">
        <v>1600</v>
      </c>
      <c r="Q1603" s="147" t="n">
        <v>36016.637232421</v>
      </c>
      <c r="R1603" s="147" t="n">
        <v>0.267080766639452</v>
      </c>
      <c r="S1603" s="147" t="n">
        <v>0.119421216407943</v>
      </c>
      <c r="T1603" s="147" t="n">
        <v>0.0177116878099962</v>
      </c>
    </row>
    <row r="1604" customFormat="false" ht="12.75" hidden="false" customHeight="true" outlineLevel="0" collapsed="false">
      <c r="P1604" s="1" t="n">
        <v>1601</v>
      </c>
      <c r="Q1604" s="147" t="n">
        <v>36039.508773866</v>
      </c>
      <c r="R1604" s="147" t="n">
        <v>0.266339480770962</v>
      </c>
      <c r="S1604" s="147" t="n">
        <v>0.116410463871926</v>
      </c>
      <c r="T1604" s="147" t="n">
        <v>0.0172686411159059</v>
      </c>
    </row>
    <row r="1605" customFormat="false" ht="12.75" hidden="false" customHeight="true" outlineLevel="0" collapsed="false">
      <c r="P1605" s="1" t="n">
        <v>1602</v>
      </c>
      <c r="Q1605" s="147" t="n">
        <v>36062.680952755</v>
      </c>
      <c r="R1605" s="147" t="n">
        <v>0.265810645234347</v>
      </c>
      <c r="S1605" s="147" t="n">
        <v>0.112649887330361</v>
      </c>
      <c r="T1605" s="147" t="n">
        <v>0.0166237621880783</v>
      </c>
    </row>
    <row r="1606" customFormat="false" ht="12.75" hidden="false" customHeight="true" outlineLevel="0" collapsed="false">
      <c r="P1606" s="1" t="n">
        <v>1603</v>
      </c>
      <c r="Q1606" s="147" t="n">
        <v>36085.877434295</v>
      </c>
      <c r="R1606" s="147" t="n">
        <v>0.265693631411254</v>
      </c>
      <c r="S1606" s="147" t="n">
        <v>0.107539714413369</v>
      </c>
      <c r="T1606" s="147" t="n">
        <v>0.0154068988071943</v>
      </c>
    </row>
    <row r="1607" customFormat="false" ht="12.75" hidden="false" customHeight="true" outlineLevel="0" collapsed="false">
      <c r="P1607" s="1" t="n">
        <v>1604</v>
      </c>
      <c r="Q1607" s="147" t="n">
        <v>36108.962662362</v>
      </c>
      <c r="R1607" s="147" t="n">
        <v>0.265618006586639</v>
      </c>
      <c r="S1607" s="147" t="n">
        <v>0.102391176110283</v>
      </c>
      <c r="T1607" s="147" t="n">
        <v>0.0142305292556576</v>
      </c>
    </row>
    <row r="1608" customFormat="false" ht="12.75" hidden="false" customHeight="true" outlineLevel="0" collapsed="false">
      <c r="P1608" s="1" t="n">
        <v>1605</v>
      </c>
      <c r="Q1608" s="147" t="n">
        <v>36131.315177845</v>
      </c>
      <c r="R1608" s="147" t="n">
        <v>0.265375028646865</v>
      </c>
      <c r="S1608" s="147" t="n">
        <v>0.0988351311171915</v>
      </c>
      <c r="T1608" s="147" t="n">
        <v>0.0131558977569163</v>
      </c>
    </row>
    <row r="1609" customFormat="false" ht="12.75" hidden="false" customHeight="true" outlineLevel="0" collapsed="false">
      <c r="P1609" s="1" t="n">
        <v>1606</v>
      </c>
      <c r="Q1609" s="147" t="n">
        <v>36154.306735957</v>
      </c>
      <c r="R1609" s="147" t="n">
        <v>0.26647329861014</v>
      </c>
      <c r="S1609" s="147" t="n">
        <v>0.0937795968812755</v>
      </c>
      <c r="T1609" s="147" t="n">
        <v>0.0111216541294299</v>
      </c>
    </row>
    <row r="1610" customFormat="false" ht="12.75" hidden="false" customHeight="true" outlineLevel="0" collapsed="false">
      <c r="P1610" s="1" t="n">
        <v>1607</v>
      </c>
      <c r="Q1610" s="147" t="n">
        <v>36176.273658015</v>
      </c>
      <c r="R1610" s="147" t="n">
        <v>0.266507135782564</v>
      </c>
      <c r="S1610" s="147" t="n">
        <v>0.0900781160061284</v>
      </c>
      <c r="T1610" s="147" t="n">
        <v>0.0100929573182524</v>
      </c>
    </row>
    <row r="1611" customFormat="false" ht="12.75" hidden="false" customHeight="true" outlineLevel="0" collapsed="false">
      <c r="P1611" s="1" t="n">
        <v>1608</v>
      </c>
      <c r="Q1611" s="147" t="n">
        <v>36198.729685443</v>
      </c>
      <c r="R1611" s="147" t="n">
        <v>0.267305673981055</v>
      </c>
      <c r="S1611" s="147" t="n">
        <v>0.0857448153016691</v>
      </c>
      <c r="T1611" s="147" t="n">
        <v>0.010265923308602</v>
      </c>
    </row>
    <row r="1612" customFormat="false" ht="12.75" hidden="false" customHeight="true" outlineLevel="0" collapsed="false">
      <c r="P1612" s="1" t="n">
        <v>1609</v>
      </c>
      <c r="Q1612" s="147" t="n">
        <v>36221.075072385</v>
      </c>
      <c r="R1612" s="147" t="n">
        <v>0.267774597273954</v>
      </c>
      <c r="S1612" s="147" t="n">
        <v>0.0830460409594226</v>
      </c>
      <c r="T1612" s="147" t="n">
        <v>0.00973038984714843</v>
      </c>
    </row>
    <row r="1613" customFormat="false" ht="12.75" hidden="false" customHeight="true" outlineLevel="0" collapsed="false">
      <c r="P1613" s="1" t="n">
        <v>1610</v>
      </c>
      <c r="Q1613" s="147" t="n">
        <v>36243.588776002</v>
      </c>
      <c r="R1613" s="147" t="n">
        <v>0.268520778934268</v>
      </c>
      <c r="S1613" s="147" t="n">
        <v>0.0816385931853383</v>
      </c>
      <c r="T1613" s="147" t="n">
        <v>0.0104937033495715</v>
      </c>
    </row>
    <row r="1614" customFormat="false" ht="12.75" hidden="false" customHeight="true" outlineLevel="0" collapsed="false">
      <c r="P1614" s="1" t="n">
        <v>1611</v>
      </c>
      <c r="Q1614" s="147" t="n">
        <v>36265.874439983</v>
      </c>
      <c r="R1614" s="147" t="n">
        <v>0.268951112249345</v>
      </c>
      <c r="S1614" s="147" t="n">
        <v>0.0813260421999003</v>
      </c>
      <c r="T1614" s="147" t="n">
        <v>0.0112454389441378</v>
      </c>
    </row>
    <row r="1615" customFormat="false" ht="12.75" hidden="false" customHeight="true" outlineLevel="0" collapsed="false">
      <c r="P1615" s="1" t="n">
        <v>1612</v>
      </c>
      <c r="Q1615" s="147" t="n">
        <v>36287.899751207</v>
      </c>
      <c r="R1615" s="147" t="n">
        <v>0.269550510570671</v>
      </c>
      <c r="S1615" s="147" t="n">
        <v>0.0821368153468568</v>
      </c>
      <c r="T1615" s="147" t="n">
        <v>0.0120650087124521</v>
      </c>
    </row>
    <row r="1616" customFormat="false" ht="12.75" hidden="false" customHeight="true" outlineLevel="0" collapsed="false">
      <c r="P1616" s="1" t="n">
        <v>1613</v>
      </c>
      <c r="Q1616" s="147" t="n">
        <v>36310.261097864</v>
      </c>
      <c r="R1616" s="147" t="n">
        <v>0.270109701390098</v>
      </c>
      <c r="S1616" s="147" t="n">
        <v>0.0849122394892586</v>
      </c>
      <c r="T1616" s="147" t="n">
        <v>0.0130488686725879</v>
      </c>
    </row>
    <row r="1617" customFormat="false" ht="12.75" hidden="false" customHeight="true" outlineLevel="0" collapsed="false">
      <c r="P1617" s="1" t="n">
        <v>1614</v>
      </c>
      <c r="Q1617" s="147" t="n">
        <v>36332.660151381</v>
      </c>
      <c r="R1617" s="147" t="n">
        <v>0.270347040837326</v>
      </c>
      <c r="S1617" s="147" t="n">
        <v>0.0880753048731055</v>
      </c>
      <c r="T1617" s="147" t="n">
        <v>0.0135601627000205</v>
      </c>
    </row>
    <row r="1618" customFormat="false" ht="12.75" hidden="false" customHeight="true" outlineLevel="0" collapsed="false">
      <c r="P1618" s="1" t="n">
        <v>1615</v>
      </c>
      <c r="Q1618" s="147" t="n">
        <v>36355.46275098</v>
      </c>
      <c r="R1618" s="147" t="n">
        <v>0.270661404831235</v>
      </c>
      <c r="S1618" s="147" t="n">
        <v>0.0933520059211443</v>
      </c>
      <c r="T1618" s="147" t="n">
        <v>0.0138332173826567</v>
      </c>
    </row>
    <row r="1619" customFormat="false" ht="12.75" hidden="false" customHeight="true" outlineLevel="0" collapsed="false">
      <c r="P1619" s="1" t="n">
        <v>1616</v>
      </c>
      <c r="Q1619" s="147" t="n">
        <v>36377.25667288</v>
      </c>
      <c r="R1619" s="147" t="n">
        <v>0.270296548358789</v>
      </c>
      <c r="S1619" s="147" t="n">
        <v>0.0963120940614152</v>
      </c>
      <c r="T1619" s="147" t="n">
        <v>0.014312925861503</v>
      </c>
    </row>
    <row r="1620" customFormat="false" ht="12.75" hidden="false" customHeight="true" outlineLevel="0" collapsed="false">
      <c r="P1620" s="1" t="n">
        <v>1617</v>
      </c>
      <c r="Q1620" s="147" t="n">
        <v>36400.077141828</v>
      </c>
      <c r="R1620" s="147" t="n">
        <v>0.27055176735148</v>
      </c>
      <c r="S1620" s="147" t="n">
        <v>0.10131255544143</v>
      </c>
      <c r="T1620" s="147" t="n">
        <v>0.0136538448699306</v>
      </c>
    </row>
    <row r="1621" customFormat="false" ht="12.75" hidden="false" customHeight="true" outlineLevel="0" collapsed="false">
      <c r="P1621" s="1" t="n">
        <v>1618</v>
      </c>
      <c r="Q1621" s="147" t="n">
        <v>36421.867375974</v>
      </c>
      <c r="R1621" s="147" t="n">
        <v>0.270093522651262</v>
      </c>
      <c r="S1621" s="147" t="n">
        <v>0.103475134281247</v>
      </c>
      <c r="T1621" s="147" t="n">
        <v>0.0144373045220455</v>
      </c>
    </row>
    <row r="1622" customFormat="false" ht="12.75" hidden="false" customHeight="true" outlineLevel="0" collapsed="false">
      <c r="P1622" s="1" t="n">
        <v>1619</v>
      </c>
      <c r="Q1622" s="147" t="n">
        <v>36444.397644375</v>
      </c>
      <c r="R1622" s="147" t="n">
        <v>0.270176227168864</v>
      </c>
      <c r="S1622" s="147" t="n">
        <v>0.1053157280272</v>
      </c>
      <c r="T1622" s="147" t="n">
        <v>0.0141939959369909</v>
      </c>
    </row>
    <row r="1623" customFormat="false" ht="12.75" hidden="false" customHeight="true" outlineLevel="0" collapsed="false">
      <c r="P1623" s="1" t="n">
        <v>1620</v>
      </c>
      <c r="Q1623" s="147" t="n">
        <v>36466.757465498</v>
      </c>
      <c r="R1623" s="147" t="n">
        <v>0.270139791363774</v>
      </c>
      <c r="S1623" s="147" t="n">
        <v>0.105206572942031</v>
      </c>
      <c r="T1623" s="147" t="n">
        <v>0.0136860807198215</v>
      </c>
    </row>
    <row r="1624" customFormat="false" ht="12.75" hidden="false" customHeight="true" outlineLevel="0" collapsed="false">
      <c r="P1624" s="1" t="n">
        <v>1621</v>
      </c>
      <c r="Q1624" s="147" t="n">
        <v>36489.127906019</v>
      </c>
      <c r="R1624" s="147" t="n">
        <v>0.270173341166477</v>
      </c>
      <c r="S1624" s="147" t="n">
        <v>0.104291356414243</v>
      </c>
      <c r="T1624" s="147" t="n">
        <v>0.0130077061715396</v>
      </c>
    </row>
    <row r="1625" customFormat="false" ht="12.75" hidden="false" customHeight="true" outlineLevel="0" collapsed="false">
      <c r="P1625" s="1" t="n">
        <v>1622</v>
      </c>
      <c r="Q1625" s="147" t="n">
        <v>36511.494976764</v>
      </c>
      <c r="R1625" s="147" t="n">
        <v>0.270131136712471</v>
      </c>
      <c r="S1625" s="147" t="n">
        <v>0.102389700610499</v>
      </c>
      <c r="T1625" s="147" t="n">
        <v>0.0113875932075629</v>
      </c>
    </row>
    <row r="1626" customFormat="false" ht="12.75" hidden="false" customHeight="true" outlineLevel="0" collapsed="false">
      <c r="P1626" s="1" t="n">
        <v>1623</v>
      </c>
      <c r="Q1626" s="147" t="n">
        <v>36533.422320271</v>
      </c>
      <c r="R1626" s="147" t="n">
        <v>0.270133995865464</v>
      </c>
      <c r="S1626" s="147" t="n">
        <v>0.101311795249547</v>
      </c>
      <c r="T1626" s="147" t="n">
        <v>0.00963096518084813</v>
      </c>
    </row>
    <row r="1627" customFormat="false" ht="12.75" hidden="false" customHeight="true" outlineLevel="0" collapsed="false">
      <c r="P1627" s="1" t="n">
        <v>1624</v>
      </c>
      <c r="Q1627" s="147" t="n">
        <v>36556.077180002</v>
      </c>
      <c r="R1627" s="147" t="n">
        <v>0.270131179071382</v>
      </c>
      <c r="S1627" s="147" t="n">
        <v>0.0997695157962305</v>
      </c>
      <c r="T1627" s="147" t="n">
        <v>0.00736255238719512</v>
      </c>
    </row>
    <row r="1628" customFormat="false" ht="12.75" hidden="false" customHeight="true" outlineLevel="0" collapsed="false">
      <c r="P1628" s="1" t="n">
        <v>1625</v>
      </c>
      <c r="Q1628" s="147" t="n">
        <v>36578.217117136</v>
      </c>
      <c r="R1628" s="147" t="n">
        <v>0.270319221090593</v>
      </c>
      <c r="S1628" s="147" t="n">
        <v>0.0994780025606316</v>
      </c>
      <c r="T1628" s="147" t="n">
        <v>0.00526698199907655</v>
      </c>
    </row>
    <row r="1629" customFormat="false" ht="12.75" hidden="false" customHeight="true" outlineLevel="0" collapsed="false">
      <c r="P1629" s="1" t="n">
        <v>1626</v>
      </c>
      <c r="Q1629" s="147" t="n">
        <v>36600.825085046</v>
      </c>
      <c r="R1629" s="147" t="n">
        <v>0.270313295821291</v>
      </c>
      <c r="S1629" s="147" t="n">
        <v>0.0994096665616915</v>
      </c>
      <c r="T1629" s="147" t="n">
        <v>0.0035657190988348</v>
      </c>
    </row>
    <row r="1630" customFormat="false" ht="12.75" hidden="false" customHeight="true" outlineLevel="0" collapsed="false">
      <c r="P1630" s="1" t="n">
        <v>1627</v>
      </c>
      <c r="Q1630" s="147" t="n">
        <v>36623.4260143031</v>
      </c>
      <c r="R1630" s="147" t="n">
        <v>0.270382012407568</v>
      </c>
      <c r="S1630" s="147" t="n">
        <v>0.100310576619785</v>
      </c>
      <c r="T1630" s="147" t="n">
        <v>0.00322369022789192</v>
      </c>
    </row>
    <row r="1631" customFormat="false" ht="12.75" hidden="false" customHeight="true" outlineLevel="0" collapsed="false">
      <c r="P1631" s="1" t="n">
        <v>1628</v>
      </c>
      <c r="Q1631" s="147" t="n">
        <v>36646.1794699791</v>
      </c>
      <c r="R1631" s="147" t="n">
        <v>0.270738391690563</v>
      </c>
      <c r="S1631" s="147" t="n">
        <v>0.100411236573276</v>
      </c>
      <c r="T1631" s="147" t="n">
        <v>0.00376730822510075</v>
      </c>
    </row>
    <row r="1632" customFormat="false" ht="12.75" hidden="false" customHeight="true" outlineLevel="0" collapsed="false">
      <c r="P1632" s="1" t="n">
        <v>1629</v>
      </c>
      <c r="Q1632" s="147" t="n">
        <v>36668.8203058571</v>
      </c>
      <c r="R1632" s="147" t="n">
        <v>0.270822253969703</v>
      </c>
      <c r="S1632" s="147" t="n">
        <v>0.0991825592408639</v>
      </c>
      <c r="T1632" s="147" t="n">
        <v>0.00464775531589788</v>
      </c>
    </row>
    <row r="1633" customFormat="false" ht="12.75" hidden="false" customHeight="true" outlineLevel="0" collapsed="false">
      <c r="P1633" s="1" t="n">
        <v>1630</v>
      </c>
      <c r="Q1633" s="147" t="n">
        <v>36691.5118723111</v>
      </c>
      <c r="R1633" s="147" t="n">
        <v>0.27069253112767</v>
      </c>
      <c r="S1633" s="147" t="n">
        <v>0.0964049735682488</v>
      </c>
      <c r="T1633" s="147" t="n">
        <v>0.00592362038595519</v>
      </c>
    </row>
    <row r="1634" customFormat="false" ht="12.75" hidden="false" customHeight="true" outlineLevel="0" collapsed="false">
      <c r="P1634" s="1" t="n">
        <v>1631</v>
      </c>
      <c r="Q1634" s="147" t="n">
        <v>36713.9894463631</v>
      </c>
      <c r="R1634" s="147" t="n">
        <v>0.270233953601805</v>
      </c>
      <c r="S1634" s="147" t="n">
        <v>0.0936088496385333</v>
      </c>
      <c r="T1634" s="147" t="n">
        <v>0.00715861822777372</v>
      </c>
    </row>
    <row r="1635" customFormat="false" ht="12.75" hidden="false" customHeight="true" outlineLevel="0" collapsed="false">
      <c r="P1635" s="1" t="n">
        <v>1632</v>
      </c>
      <c r="Q1635" s="147" t="n">
        <v>36736.4867595451</v>
      </c>
      <c r="R1635" s="147" t="n">
        <v>0.269294496876649</v>
      </c>
      <c r="S1635" s="147" t="n">
        <v>0.0899292876712637</v>
      </c>
      <c r="T1635" s="147" t="n">
        <v>0.00900394063158293</v>
      </c>
    </row>
    <row r="1636" customFormat="false" ht="12.75" hidden="false" customHeight="true" outlineLevel="0" collapsed="false">
      <c r="P1636" s="1" t="n">
        <v>1633</v>
      </c>
      <c r="Q1636" s="147" t="n">
        <v>36759.013014732</v>
      </c>
      <c r="R1636" s="147" t="n">
        <v>0.268057049050984</v>
      </c>
      <c r="S1636" s="147" t="n">
        <v>0.0873281111302325</v>
      </c>
      <c r="T1636" s="147" t="n">
        <v>0.0108583605078395</v>
      </c>
    </row>
    <row r="1637" customFormat="false" ht="12.75" hidden="false" customHeight="true" outlineLevel="0" collapsed="false">
      <c r="P1637" s="1" t="n">
        <v>1634</v>
      </c>
      <c r="Q1637" s="147" t="n">
        <v>36781.5271722771</v>
      </c>
      <c r="R1637" s="147" t="n">
        <v>0.266385467098455</v>
      </c>
      <c r="S1637" s="147" t="n">
        <v>0.0831315149163208</v>
      </c>
      <c r="T1637" s="147" t="n">
        <v>0.0126393167234382</v>
      </c>
    </row>
    <row r="1638" customFormat="false" ht="12.75" hidden="false" customHeight="true" outlineLevel="0" collapsed="false">
      <c r="P1638" s="1" t="n">
        <v>1635</v>
      </c>
      <c r="Q1638" s="147" t="n">
        <v>36804.4778246131</v>
      </c>
      <c r="R1638" s="147" t="n">
        <v>0.265236335390161</v>
      </c>
      <c r="S1638" s="147" t="n">
        <v>0.0789691411412299</v>
      </c>
      <c r="T1638" s="147" t="n">
        <v>0.0133184839940243</v>
      </c>
    </row>
    <row r="1639" customFormat="false" ht="12.75" hidden="false" customHeight="true" outlineLevel="0" collapsed="false">
      <c r="P1639" s="1" t="n">
        <v>1636</v>
      </c>
      <c r="Q1639" s="147" t="n">
        <v>36827.0741820891</v>
      </c>
      <c r="R1639" s="147" t="n">
        <v>0.264269034496706</v>
      </c>
      <c r="S1639" s="147" t="n">
        <v>0.0764538524853362</v>
      </c>
      <c r="T1639" s="147" t="n">
        <v>0.0133563568210729</v>
      </c>
    </row>
    <row r="1640" customFormat="false" ht="12.75" hidden="false" customHeight="true" outlineLevel="0" collapsed="false">
      <c r="P1640" s="1" t="n">
        <v>1637</v>
      </c>
      <c r="Q1640" s="147" t="n">
        <v>36849.9374478151</v>
      </c>
      <c r="R1640" s="147" t="n">
        <v>0.263787050157324</v>
      </c>
      <c r="S1640" s="147" t="n">
        <v>0.0737750699745313</v>
      </c>
      <c r="T1640" s="147" t="n">
        <v>0.0126714281494329</v>
      </c>
    </row>
    <row r="1641" customFormat="false" ht="12.75" hidden="false" customHeight="true" outlineLevel="0" collapsed="false">
      <c r="P1641" s="1" t="n">
        <v>1638</v>
      </c>
      <c r="Q1641" s="147" t="n">
        <v>36872.6770700161</v>
      </c>
      <c r="R1641" s="147" t="n">
        <v>0.263790688324846</v>
      </c>
      <c r="S1641" s="147" t="n">
        <v>0.0708480113372254</v>
      </c>
      <c r="T1641" s="147" t="n">
        <v>0.0121129728091062</v>
      </c>
    </row>
    <row r="1642" customFormat="false" ht="12.75" hidden="false" customHeight="true" outlineLevel="0" collapsed="false">
      <c r="P1642" s="1" t="n">
        <v>1639</v>
      </c>
      <c r="Q1642" s="147" t="n">
        <v>36895.4407817111</v>
      </c>
      <c r="R1642" s="147" t="n">
        <v>0.264040326734623</v>
      </c>
      <c r="S1642" s="147" t="n">
        <v>0.0671274021493415</v>
      </c>
      <c r="T1642" s="147" t="n">
        <v>0.0114055773386715</v>
      </c>
    </row>
    <row r="1643" customFormat="false" ht="12.75" hidden="false" customHeight="true" outlineLevel="0" collapsed="false">
      <c r="P1643" s="1" t="n">
        <v>1640</v>
      </c>
      <c r="Q1643" s="147" t="n">
        <v>36918.4212014081</v>
      </c>
      <c r="R1643" s="147" t="n">
        <v>0.264413695616803</v>
      </c>
      <c r="S1643" s="147" t="n">
        <v>0.0618050225026975</v>
      </c>
      <c r="T1643" s="147" t="n">
        <v>0.0101105106024596</v>
      </c>
    </row>
    <row r="1644" customFormat="false" ht="12.75" hidden="false" customHeight="true" outlineLevel="0" collapsed="false">
      <c r="P1644" s="1" t="n">
        <v>1641</v>
      </c>
      <c r="Q1644" s="147" t="n">
        <v>36941.0667932571</v>
      </c>
      <c r="R1644" s="147" t="n">
        <v>0.264617892278546</v>
      </c>
      <c r="S1644" s="147" t="n">
        <v>0.0569051830090472</v>
      </c>
      <c r="T1644" s="147" t="n">
        <v>0.00930544604004679</v>
      </c>
    </row>
    <row r="1645" customFormat="false" ht="12.75" hidden="false" customHeight="true" outlineLevel="0" collapsed="false">
      <c r="P1645" s="1" t="n">
        <v>1642</v>
      </c>
      <c r="Q1645" s="147" t="n">
        <v>36963.4305082451</v>
      </c>
      <c r="R1645" s="147" t="n">
        <v>0.264745622264969</v>
      </c>
      <c r="S1645" s="147" t="n">
        <v>0.0521493807509145</v>
      </c>
      <c r="T1645" s="147" t="n">
        <v>0.00790427658713739</v>
      </c>
    </row>
    <row r="1646" customFormat="false" ht="12.75" hidden="false" customHeight="true" outlineLevel="0" collapsed="false">
      <c r="P1646" s="1" t="n">
        <v>1643</v>
      </c>
      <c r="Q1646" s="147" t="n">
        <v>36986.2829796041</v>
      </c>
      <c r="R1646" s="147" t="n">
        <v>0.265147906827097</v>
      </c>
      <c r="S1646" s="147" t="n">
        <v>0.0467950568079321</v>
      </c>
      <c r="T1646" s="147" t="n">
        <v>0.00669706788736221</v>
      </c>
    </row>
    <row r="1647" customFormat="false" ht="12.75" hidden="false" customHeight="true" outlineLevel="0" collapsed="false">
      <c r="P1647" s="1" t="n">
        <v>1644</v>
      </c>
      <c r="Q1647" s="147" t="n">
        <v>37009.0095800081</v>
      </c>
      <c r="R1647" s="147" t="n">
        <v>0.265487049825807</v>
      </c>
      <c r="S1647" s="147" t="n">
        <v>0.0418467071211205</v>
      </c>
      <c r="T1647" s="147" t="n">
        <v>0.00602403343760317</v>
      </c>
    </row>
    <row r="1648" customFormat="false" ht="12.75" hidden="false" customHeight="true" outlineLevel="0" collapsed="false">
      <c r="P1648" s="1" t="n">
        <v>1645</v>
      </c>
      <c r="Q1648" s="147" t="n">
        <v>37031.7703028451</v>
      </c>
      <c r="R1648" s="147" t="n">
        <v>0.265867132552574</v>
      </c>
      <c r="S1648" s="147" t="n">
        <v>0.0389809342901199</v>
      </c>
      <c r="T1648" s="147" t="n">
        <v>0.00573404443842756</v>
      </c>
    </row>
    <row r="1649" customFormat="false" ht="12.75" hidden="false" customHeight="true" outlineLevel="0" collapsed="false">
      <c r="P1649" s="1" t="n">
        <v>1646</v>
      </c>
      <c r="Q1649" s="147" t="n">
        <v>37054.5950887651</v>
      </c>
      <c r="R1649" s="147" t="n">
        <v>0.266409336629908</v>
      </c>
      <c r="S1649" s="147" t="n">
        <v>0.0381579364507396</v>
      </c>
      <c r="T1649" s="147" t="n">
        <v>0.00608519724726028</v>
      </c>
    </row>
    <row r="1650" customFormat="false" ht="12.75" hidden="false" customHeight="true" outlineLevel="0" collapsed="false">
      <c r="P1650" s="1" t="n">
        <v>1647</v>
      </c>
      <c r="Q1650" s="147" t="n">
        <v>37077.5281525441</v>
      </c>
      <c r="R1650" s="147" t="n">
        <v>0.266872953476115</v>
      </c>
      <c r="S1650" s="147" t="n">
        <v>0.039517327358899</v>
      </c>
      <c r="T1650" s="147" t="n">
        <v>0.0064115651639512</v>
      </c>
    </row>
    <row r="1651" customFormat="false" ht="12.75" hidden="false" customHeight="true" outlineLevel="0" collapsed="false">
      <c r="P1651" s="1" t="n">
        <v>1648</v>
      </c>
      <c r="Q1651" s="147" t="n">
        <v>37100.4149373521</v>
      </c>
      <c r="R1651" s="147" t="n">
        <v>0.267418927044855</v>
      </c>
      <c r="S1651" s="147" t="n">
        <v>0.0420968166949813</v>
      </c>
      <c r="T1651" s="147" t="n">
        <v>0.00705697217597539</v>
      </c>
    </row>
    <row r="1652" customFormat="false" ht="12.75" hidden="false" customHeight="true" outlineLevel="0" collapsed="false">
      <c r="P1652" s="1" t="n">
        <v>1649</v>
      </c>
      <c r="Q1652" s="147" t="n">
        <v>37123.2742728511</v>
      </c>
      <c r="R1652" s="147" t="n">
        <v>0.26803729285033</v>
      </c>
      <c r="S1652" s="147" t="n">
        <v>0.0457168706179806</v>
      </c>
      <c r="T1652" s="147" t="n">
        <v>0.00782189698641951</v>
      </c>
    </row>
    <row r="1653" customFormat="false" ht="12.75" hidden="false" customHeight="true" outlineLevel="0" collapsed="false">
      <c r="P1653" s="1" t="n">
        <v>1650</v>
      </c>
      <c r="Q1653" s="147" t="n">
        <v>37145.8841235401</v>
      </c>
      <c r="R1653" s="147" t="n">
        <v>0.268730066096494</v>
      </c>
      <c r="S1653" s="147" t="n">
        <v>0.0491355178670128</v>
      </c>
      <c r="T1653" s="147" t="n">
        <v>0.00838838875774505</v>
      </c>
    </row>
    <row r="1654" customFormat="false" ht="12.75" hidden="false" customHeight="true" outlineLevel="0" collapsed="false">
      <c r="P1654" s="1" t="n">
        <v>1651</v>
      </c>
      <c r="Q1654" s="147" t="n">
        <v>37168.5423959751</v>
      </c>
      <c r="R1654" s="147" t="n">
        <v>0.269040081147847</v>
      </c>
      <c r="S1654" s="147" t="n">
        <v>0.0541476255251554</v>
      </c>
      <c r="T1654" s="147" t="n">
        <v>0.00883064367431271</v>
      </c>
    </row>
    <row r="1655" customFormat="false" ht="12.75" hidden="false" customHeight="true" outlineLevel="0" collapsed="false">
      <c r="P1655" s="1" t="n">
        <v>1652</v>
      </c>
      <c r="Q1655" s="147" t="n">
        <v>37191.4037508561</v>
      </c>
      <c r="R1655" s="147" t="n">
        <v>0.269508681745505</v>
      </c>
      <c r="S1655" s="147" t="n">
        <v>0.0573115232083789</v>
      </c>
      <c r="T1655" s="147" t="n">
        <v>0.00916706930317078</v>
      </c>
    </row>
    <row r="1656" customFormat="false" ht="12.75" hidden="false" customHeight="true" outlineLevel="0" collapsed="false">
      <c r="P1656" s="1" t="n">
        <v>1653</v>
      </c>
      <c r="Q1656" s="147" t="n">
        <v>37214.1677063871</v>
      </c>
      <c r="R1656" s="147" t="n">
        <v>0.26950077899905</v>
      </c>
      <c r="S1656" s="147" t="n">
        <v>0.062020492511422</v>
      </c>
      <c r="T1656" s="147" t="n">
        <v>0.00839242071916417</v>
      </c>
    </row>
    <row r="1657" customFormat="false" ht="12.75" hidden="false" customHeight="true" outlineLevel="0" collapsed="false">
      <c r="P1657" s="1" t="n">
        <v>1654</v>
      </c>
      <c r="Q1657" s="147" t="n">
        <v>37237.0072023941</v>
      </c>
      <c r="R1657" s="147" t="n">
        <v>0.270022709639709</v>
      </c>
      <c r="S1657" s="147" t="n">
        <v>0.0673661087915289</v>
      </c>
      <c r="T1657" s="147" t="n">
        <v>0.00865417300215438</v>
      </c>
    </row>
    <row r="1658" customFormat="false" ht="12.75" hidden="false" customHeight="true" outlineLevel="0" collapsed="false">
      <c r="P1658" s="1" t="n">
        <v>1655</v>
      </c>
      <c r="Q1658" s="147" t="n">
        <v>37259.5280691501</v>
      </c>
      <c r="R1658" s="147" t="n">
        <v>0.270075561367401</v>
      </c>
      <c r="S1658" s="147" t="n">
        <v>0.0731536433555239</v>
      </c>
      <c r="T1658" s="147" t="n">
        <v>0.00829020688207684</v>
      </c>
    </row>
    <row r="1659" customFormat="false" ht="12.75" hidden="false" customHeight="true" outlineLevel="0" collapsed="false">
      <c r="P1659" s="1" t="n">
        <v>1656</v>
      </c>
      <c r="Q1659" s="147" t="n">
        <v>37282.4647279191</v>
      </c>
      <c r="R1659" s="147" t="n">
        <v>0.270153719477145</v>
      </c>
      <c r="S1659" s="147" t="n">
        <v>0.0786297268745036</v>
      </c>
      <c r="T1659" s="147" t="n">
        <v>0.00828382775729035</v>
      </c>
    </row>
    <row r="1660" customFormat="false" ht="12.75" hidden="false" customHeight="true" outlineLevel="0" collapsed="false">
      <c r="P1660" s="1" t="n">
        <v>1657</v>
      </c>
      <c r="Q1660" s="147" t="n">
        <v>37305.0617793191</v>
      </c>
      <c r="R1660" s="147" t="n">
        <v>0.270122230785644</v>
      </c>
      <c r="S1660" s="147" t="n">
        <v>0.0830755642976714</v>
      </c>
      <c r="T1660" s="147" t="n">
        <v>0.00813805975040411</v>
      </c>
    </row>
    <row r="1661" customFormat="false" ht="12.75" hidden="false" customHeight="true" outlineLevel="0" collapsed="false">
      <c r="P1661" s="1" t="n">
        <v>1658</v>
      </c>
      <c r="Q1661" s="147" t="n">
        <v>37327.9031216501</v>
      </c>
      <c r="R1661" s="147" t="n">
        <v>0.270023404413278</v>
      </c>
      <c r="S1661" s="147" t="n">
        <v>0.0860677712538375</v>
      </c>
      <c r="T1661" s="147" t="n">
        <v>0.00748674312938256</v>
      </c>
    </row>
    <row r="1662" customFormat="false" ht="12.75" hidden="false" customHeight="true" outlineLevel="0" collapsed="false">
      <c r="P1662" s="1" t="n">
        <v>1659</v>
      </c>
      <c r="Q1662" s="147" t="n">
        <v>37350.5331199681</v>
      </c>
      <c r="R1662" s="147" t="n">
        <v>0.269645559409101</v>
      </c>
      <c r="S1662" s="147" t="n">
        <v>0.0873133887881056</v>
      </c>
      <c r="T1662" s="147" t="n">
        <v>0.00642287144828273</v>
      </c>
    </row>
    <row r="1663" customFormat="false" ht="12.75" hidden="false" customHeight="true" outlineLevel="0" collapsed="false">
      <c r="P1663" s="1" t="n">
        <v>1660</v>
      </c>
      <c r="Q1663" s="147" t="n">
        <v>37373.1658820351</v>
      </c>
      <c r="R1663" s="147" t="n">
        <v>0.269025551030636</v>
      </c>
      <c r="S1663" s="147" t="n">
        <v>0.087051553981259</v>
      </c>
      <c r="T1663" s="147" t="n">
        <v>0.00471719908935702</v>
      </c>
    </row>
    <row r="1664" customFormat="false" ht="12.75" hidden="false" customHeight="true" outlineLevel="0" collapsed="false">
      <c r="P1664" s="1" t="n">
        <v>1661</v>
      </c>
      <c r="Q1664" s="147" t="n">
        <v>37395.6735415241</v>
      </c>
      <c r="R1664" s="147" t="n">
        <v>0.268450315993545</v>
      </c>
      <c r="S1664" s="147" t="n">
        <v>0.0858818882162829</v>
      </c>
      <c r="T1664" s="147" t="n">
        <v>0.00302569339451674</v>
      </c>
    </row>
    <row r="1665" customFormat="false" ht="12.75" hidden="false" customHeight="true" outlineLevel="0" collapsed="false">
      <c r="P1665" s="1" t="n">
        <v>1662</v>
      </c>
      <c r="Q1665" s="147" t="n">
        <v>37418.3924359361</v>
      </c>
      <c r="R1665" s="147" t="n">
        <v>0.267855091801056</v>
      </c>
      <c r="S1665" s="147" t="n">
        <v>0.0848866900876009</v>
      </c>
      <c r="T1665" s="147" t="n">
        <v>0.00121629688189329</v>
      </c>
    </row>
    <row r="1666" customFormat="false" ht="12.75" hidden="false" customHeight="true" outlineLevel="0" collapsed="false">
      <c r="P1666" s="1" t="n">
        <v>1663</v>
      </c>
      <c r="Q1666" s="147" t="n">
        <v>37441.1064731071</v>
      </c>
      <c r="R1666" s="147" t="n">
        <v>0.267247014769429</v>
      </c>
      <c r="S1666" s="147" t="n">
        <v>0.0843957446427801</v>
      </c>
      <c r="T1666" s="147" t="n">
        <v>-0.000627944302861519</v>
      </c>
    </row>
    <row r="1667" customFormat="false" ht="12.75" hidden="false" customHeight="true" outlineLevel="0" collapsed="false">
      <c r="P1667" s="1" t="n">
        <v>1664</v>
      </c>
      <c r="Q1667" s="147" t="n">
        <v>37463.8223670701</v>
      </c>
      <c r="R1667" s="147" t="n">
        <v>0.266833581133547</v>
      </c>
      <c r="S1667" s="147" t="n">
        <v>0.0844938751945891</v>
      </c>
      <c r="T1667" s="147" t="n">
        <v>-0.00272605243100672</v>
      </c>
    </row>
    <row r="1668" customFormat="false" ht="12.75" hidden="false" customHeight="true" outlineLevel="0" collapsed="false">
      <c r="P1668" s="1" t="n">
        <v>1665</v>
      </c>
      <c r="Q1668" s="147" t="n">
        <v>37486.7267629391</v>
      </c>
      <c r="R1668" s="147" t="n">
        <v>0.266538957895276</v>
      </c>
      <c r="S1668" s="147" t="n">
        <v>0.0850206813821921</v>
      </c>
      <c r="T1668" s="147" t="n">
        <v>-0.00450464626200712</v>
      </c>
    </row>
    <row r="1669" customFormat="false" ht="12.75" hidden="false" customHeight="true" outlineLevel="0" collapsed="false">
      <c r="P1669" s="1" t="n">
        <v>1666</v>
      </c>
      <c r="Q1669" s="147" t="n">
        <v>37509.5708124691</v>
      </c>
      <c r="R1669" s="147" t="n">
        <v>0.266370711625806</v>
      </c>
      <c r="S1669" s="147" t="n">
        <v>0.0851652610836264</v>
      </c>
      <c r="T1669" s="147" t="n">
        <v>-0.00610298476007477</v>
      </c>
    </row>
    <row r="1670" customFormat="false" ht="12.75" hidden="false" customHeight="true" outlineLevel="0" collapsed="false">
      <c r="P1670" s="1" t="n">
        <v>1667</v>
      </c>
      <c r="Q1670" s="147" t="n">
        <v>37532.0589391861</v>
      </c>
      <c r="R1670" s="147" t="n">
        <v>0.266213429684133</v>
      </c>
      <c r="S1670" s="147" t="n">
        <v>0.0846802755751348</v>
      </c>
      <c r="T1670" s="147" t="n">
        <v>-0.00730740270639181</v>
      </c>
    </row>
    <row r="1671" customFormat="false" ht="12.75" hidden="false" customHeight="true" outlineLevel="0" collapsed="false">
      <c r="P1671" s="1" t="n">
        <v>1668</v>
      </c>
      <c r="Q1671" s="147" t="n">
        <v>37554.7253445281</v>
      </c>
      <c r="R1671" s="147" t="n">
        <v>0.265910592192954</v>
      </c>
      <c r="S1671" s="147" t="n">
        <v>0.0831653529818355</v>
      </c>
      <c r="T1671" s="147" t="n">
        <v>-0.00775263289258883</v>
      </c>
    </row>
    <row r="1672" customFormat="false" ht="12.75" hidden="false" customHeight="true" outlineLevel="0" collapsed="false">
      <c r="P1672" s="1" t="n">
        <v>1669</v>
      </c>
      <c r="Q1672" s="147" t="n">
        <v>37577.3165578111</v>
      </c>
      <c r="R1672" s="147" t="n">
        <v>0.265854839140401</v>
      </c>
      <c r="S1672" s="147" t="n">
        <v>0.0811414977234103</v>
      </c>
      <c r="T1672" s="147" t="n">
        <v>-0.00773763461810911</v>
      </c>
    </row>
    <row r="1673" customFormat="false" ht="12.75" hidden="false" customHeight="true" outlineLevel="0" collapsed="false">
      <c r="P1673" s="1" t="n">
        <v>1670</v>
      </c>
      <c r="Q1673" s="147" t="n">
        <v>37600.0759157811</v>
      </c>
      <c r="R1673" s="147" t="n">
        <v>0.265833992407538</v>
      </c>
      <c r="S1673" s="147" t="n">
        <v>0.0791179135836684</v>
      </c>
      <c r="T1673" s="147" t="n">
        <v>-0.00720611093171774</v>
      </c>
    </row>
    <row r="1674" customFormat="false" ht="12.75" hidden="false" customHeight="true" outlineLevel="0" collapsed="false">
      <c r="P1674" s="1" t="n">
        <v>1671</v>
      </c>
      <c r="Q1674" s="147" t="n">
        <v>37622.7551975521</v>
      </c>
      <c r="R1674" s="147" t="n">
        <v>0.266054551471977</v>
      </c>
      <c r="S1674" s="147" t="n">
        <v>0.0775791163229502</v>
      </c>
      <c r="T1674" s="147" t="n">
        <v>-0.00656359244935788</v>
      </c>
    </row>
    <row r="1675" customFormat="false" ht="12.75" hidden="false" customHeight="true" outlineLevel="0" collapsed="false">
      <c r="P1675" s="1" t="n">
        <v>1672</v>
      </c>
      <c r="Q1675" s="147" t="n">
        <v>37645.7182125861</v>
      </c>
      <c r="R1675" s="147" t="n">
        <v>0.266275474840541</v>
      </c>
      <c r="S1675" s="147" t="n">
        <v>0.0779713175627924</v>
      </c>
      <c r="T1675" s="147" t="n">
        <v>-0.00625506356902783</v>
      </c>
    </row>
    <row r="1676" customFormat="false" ht="12.75" hidden="false" customHeight="true" outlineLevel="0" collapsed="false">
      <c r="P1676" s="1" t="n">
        <v>1673</v>
      </c>
      <c r="Q1676" s="147" t="n">
        <v>37668.5909284911</v>
      </c>
      <c r="R1676" s="147" t="n">
        <v>0.266576265891289</v>
      </c>
      <c r="S1676" s="147" t="n">
        <v>0.0787379843138721</v>
      </c>
      <c r="T1676" s="147" t="n">
        <v>-0.00519853366269987</v>
      </c>
    </row>
    <row r="1677" customFormat="false" ht="12.75" hidden="false" customHeight="true" outlineLevel="0" collapsed="false">
      <c r="P1677" s="1" t="n">
        <v>1674</v>
      </c>
      <c r="Q1677" s="147" t="n">
        <v>37691.2997198541</v>
      </c>
      <c r="R1677" s="147" t="n">
        <v>0.267221026050137</v>
      </c>
      <c r="S1677" s="147" t="n">
        <v>0.0790904335721049</v>
      </c>
      <c r="T1677" s="147" t="n">
        <v>-0.00406621069893191</v>
      </c>
    </row>
    <row r="1678" customFormat="false" ht="12.75" hidden="false" customHeight="true" outlineLevel="0" collapsed="false">
      <c r="P1678" s="1" t="n">
        <v>1675</v>
      </c>
      <c r="Q1678" s="147" t="n">
        <v>37713.7448784031</v>
      </c>
      <c r="R1678" s="147" t="n">
        <v>0.267946219406811</v>
      </c>
      <c r="S1678" s="147" t="n">
        <v>0.0785121299670933</v>
      </c>
      <c r="T1678" s="147" t="n">
        <v>-0.00335693876357863</v>
      </c>
    </row>
    <row r="1679" customFormat="false" ht="12.75" hidden="false" customHeight="true" outlineLevel="0" collapsed="false">
      <c r="P1679" s="1" t="n">
        <v>1676</v>
      </c>
      <c r="Q1679" s="147" t="n">
        <v>37736.4261854551</v>
      </c>
      <c r="R1679" s="147" t="n">
        <v>0.269164986718152</v>
      </c>
      <c r="S1679" s="147" t="n">
        <v>0.0768935931709435</v>
      </c>
      <c r="T1679" s="147" t="n">
        <v>-0.00257249533949291</v>
      </c>
    </row>
    <row r="1680" customFormat="false" ht="12.75" hidden="false" customHeight="true" outlineLevel="0" collapsed="false">
      <c r="P1680" s="1" t="n">
        <v>1677</v>
      </c>
      <c r="Q1680" s="147" t="n">
        <v>37759.3001209061</v>
      </c>
      <c r="R1680" s="147" t="n">
        <v>0.270818935419307</v>
      </c>
      <c r="S1680" s="147" t="n">
        <v>0.0736671052977778</v>
      </c>
      <c r="T1680" s="147" t="n">
        <v>-0.00288395119636062</v>
      </c>
    </row>
    <row r="1681" customFormat="false" ht="12.75" hidden="false" customHeight="true" outlineLevel="0" collapsed="false">
      <c r="P1681" s="1" t="n">
        <v>1678</v>
      </c>
      <c r="Q1681" s="147" t="n">
        <v>37782.2438205961</v>
      </c>
      <c r="R1681" s="147" t="n">
        <v>0.272503141204564</v>
      </c>
      <c r="S1681" s="147" t="n">
        <v>0.0690585210528319</v>
      </c>
      <c r="T1681" s="147" t="n">
        <v>-0.00280278602431677</v>
      </c>
    </row>
    <row r="1682" customFormat="false" ht="12.75" hidden="false" customHeight="true" outlineLevel="0" collapsed="false">
      <c r="P1682" s="1" t="n">
        <v>1679</v>
      </c>
      <c r="Q1682" s="147" t="n">
        <v>37805.4639323391</v>
      </c>
      <c r="R1682" s="147" t="n">
        <v>0.27436325158157</v>
      </c>
      <c r="S1682" s="147" t="n">
        <v>0.0642171719651506</v>
      </c>
      <c r="T1682" s="147" t="n">
        <v>-0.00261567703065378</v>
      </c>
    </row>
    <row r="1683" customFormat="false" ht="12.75" hidden="false" customHeight="true" outlineLevel="0" collapsed="false">
      <c r="P1683" s="1" t="n">
        <v>1680</v>
      </c>
      <c r="Q1683" s="147" t="n">
        <v>37827.6092463101</v>
      </c>
      <c r="R1683" s="147" t="n">
        <v>0.27629021657881</v>
      </c>
      <c r="S1683" s="147" t="n">
        <v>0.0631892286327961</v>
      </c>
      <c r="T1683" s="147" t="n">
        <v>-0.00261990793480844</v>
      </c>
    </row>
    <row r="1684" customFormat="false" ht="12.75" hidden="false" customHeight="true" outlineLevel="0" collapsed="false">
      <c r="P1684" s="1" t="n">
        <v>1681</v>
      </c>
      <c r="Q1684" s="147" t="n">
        <v>37850.6706007991</v>
      </c>
      <c r="R1684" s="147" t="n">
        <v>0.277534665720715</v>
      </c>
      <c r="S1684" s="147" t="n">
        <v>0.0622650127076634</v>
      </c>
      <c r="T1684" s="147" t="n">
        <v>-0.00135061305302708</v>
      </c>
    </row>
    <row r="1685" customFormat="false" ht="12.75" hidden="false" customHeight="true" outlineLevel="0" collapsed="false">
      <c r="P1685" s="1" t="n">
        <v>1682</v>
      </c>
      <c r="Q1685" s="147" t="n">
        <v>37873.1223447921</v>
      </c>
      <c r="R1685" s="147" t="n">
        <v>0.279311025769987</v>
      </c>
      <c r="S1685" s="147" t="n">
        <v>0.064178664144323</v>
      </c>
      <c r="T1685" s="147" t="n">
        <v>-0.0020245834459731</v>
      </c>
    </row>
    <row r="1686" customFormat="false" ht="12.75" hidden="false" customHeight="true" outlineLevel="0" collapsed="false">
      <c r="P1686" s="1" t="n">
        <v>1683</v>
      </c>
      <c r="Q1686" s="147" t="n">
        <v>37896.0754845851</v>
      </c>
      <c r="R1686" s="147" t="n">
        <v>0.279555462399509</v>
      </c>
      <c r="S1686" s="147" t="n">
        <v>0.0705696611211738</v>
      </c>
      <c r="T1686" s="147" t="n">
        <v>-0.000712700746897951</v>
      </c>
    </row>
    <row r="1687" customFormat="false" ht="12.75" hidden="false" customHeight="true" outlineLevel="0" collapsed="false">
      <c r="P1687" s="1" t="n">
        <v>1684</v>
      </c>
      <c r="Q1687" s="147" t="n">
        <v>37918.8609265301</v>
      </c>
      <c r="R1687" s="147" t="n">
        <v>0.280129805012115</v>
      </c>
      <c r="S1687" s="147" t="n">
        <v>0.0778246539688045</v>
      </c>
      <c r="T1687" s="147" t="n">
        <v>-0.000256914130985446</v>
      </c>
    </row>
    <row r="1688" customFormat="false" ht="12.75" hidden="false" customHeight="true" outlineLevel="0" collapsed="false">
      <c r="P1688" s="1" t="n">
        <v>1685</v>
      </c>
      <c r="Q1688" s="147" t="n">
        <v>37941.8828102571</v>
      </c>
      <c r="R1688" s="147" t="n">
        <v>0.279330021594193</v>
      </c>
      <c r="S1688" s="147" t="n">
        <v>0.0868996425537977</v>
      </c>
      <c r="T1688" s="147" t="n">
        <v>-0.000565969645390473</v>
      </c>
    </row>
    <row r="1689" customFormat="false" ht="12.75" hidden="false" customHeight="true" outlineLevel="0" collapsed="false">
      <c r="P1689" s="1" t="n">
        <v>1686</v>
      </c>
      <c r="Q1689" s="147" t="n">
        <v>37964.6097347061</v>
      </c>
      <c r="R1689" s="147" t="n">
        <v>0.278090558462277</v>
      </c>
      <c r="S1689" s="147" t="n">
        <v>0.0956249375255923</v>
      </c>
      <c r="T1689" s="147" t="n">
        <v>-0.000905400236113784</v>
      </c>
    </row>
    <row r="1690" customFormat="false" ht="12.75" hidden="false" customHeight="true" outlineLevel="0" collapsed="false">
      <c r="P1690" s="1" t="n">
        <v>1687</v>
      </c>
      <c r="Q1690" s="147" t="n">
        <v>37987.2827126321</v>
      </c>
      <c r="R1690" s="147" t="n">
        <v>0.275988068189835</v>
      </c>
      <c r="S1690" s="147" t="n">
        <v>0.103017309255483</v>
      </c>
      <c r="T1690" s="147" t="n">
        <v>-0.00143255572195508</v>
      </c>
    </row>
    <row r="1691" customFormat="false" ht="12.75" hidden="false" customHeight="true" outlineLevel="0" collapsed="false">
      <c r="P1691" s="1" t="n">
        <v>1688</v>
      </c>
      <c r="Q1691" s="147" t="n">
        <v>38009.9699677811</v>
      </c>
      <c r="R1691" s="147" t="n">
        <v>0.273450495230506</v>
      </c>
      <c r="S1691" s="147" t="n">
        <v>0.109536983629756</v>
      </c>
      <c r="T1691" s="147" t="n">
        <v>-0.00130061812445407</v>
      </c>
    </row>
    <row r="1692" customFormat="false" ht="12.75" hidden="false" customHeight="true" outlineLevel="0" collapsed="false">
      <c r="P1692" s="1" t="n">
        <v>1689</v>
      </c>
      <c r="Q1692" s="147" t="n">
        <v>38032.0979092021</v>
      </c>
      <c r="R1692" s="147" t="n">
        <v>0.270930263147531</v>
      </c>
      <c r="S1692" s="147" t="n">
        <v>0.114429209621092</v>
      </c>
      <c r="T1692" s="147" t="n">
        <v>-0.00114007616395604</v>
      </c>
    </row>
    <row r="1693" customFormat="false" ht="12.75" hidden="false" customHeight="true" outlineLevel="0" collapsed="false">
      <c r="P1693" s="1" t="n">
        <v>1690</v>
      </c>
      <c r="Q1693" s="147" t="n">
        <v>38054.6774458521</v>
      </c>
      <c r="R1693" s="147" t="n">
        <v>0.268571175506272</v>
      </c>
      <c r="S1693" s="147" t="n">
        <v>0.118627851031569</v>
      </c>
      <c r="T1693" s="147" t="n">
        <v>-0.000601610152416387</v>
      </c>
    </row>
    <row r="1694" customFormat="false" ht="12.75" hidden="false" customHeight="true" outlineLevel="0" collapsed="false">
      <c r="P1694" s="1" t="n">
        <v>1691</v>
      </c>
      <c r="Q1694" s="147" t="n">
        <v>38077.1345833521</v>
      </c>
      <c r="R1694" s="147" t="n">
        <v>0.266955822803074</v>
      </c>
      <c r="S1694" s="147" t="n">
        <v>0.120501450408156</v>
      </c>
      <c r="T1694" s="147" t="n">
        <v>-0.000219638178855698</v>
      </c>
    </row>
    <row r="1695" customFormat="false" ht="12.75" hidden="false" customHeight="true" outlineLevel="0" collapsed="false">
      <c r="P1695" s="1" t="n">
        <v>1692</v>
      </c>
      <c r="Q1695" s="147" t="n">
        <v>38099.9296370181</v>
      </c>
      <c r="R1695" s="147" t="n">
        <v>0.265850626088255</v>
      </c>
      <c r="S1695" s="147" t="n">
        <v>0.122067591198119</v>
      </c>
      <c r="T1695" s="147" t="n">
        <v>-0.000112931647612724</v>
      </c>
    </row>
    <row r="1696" customFormat="false" ht="12.75" hidden="false" customHeight="true" outlineLevel="0" collapsed="false">
      <c r="P1696" s="1" t="n">
        <v>1693</v>
      </c>
      <c r="Q1696" s="147" t="n">
        <v>38122.4263777881</v>
      </c>
      <c r="R1696" s="147" t="n">
        <v>0.265266269824842</v>
      </c>
      <c r="S1696" s="147" t="n">
        <v>0.119274885085209</v>
      </c>
      <c r="T1696" s="147" t="n">
        <v>-0.000206319261663876</v>
      </c>
    </row>
    <row r="1697" customFormat="false" ht="12.75" hidden="false" customHeight="true" outlineLevel="0" collapsed="false">
      <c r="P1697" s="1" t="n">
        <v>1694</v>
      </c>
      <c r="Q1697" s="147" t="n">
        <v>38145.1599587991</v>
      </c>
      <c r="R1697" s="147" t="n">
        <v>0.265569782081703</v>
      </c>
      <c r="S1697" s="147" t="n">
        <v>0.114525717824069</v>
      </c>
      <c r="T1697" s="147" t="n">
        <v>-0.0011450406069097</v>
      </c>
    </row>
    <row r="1698" customFormat="false" ht="12.75" hidden="false" customHeight="true" outlineLevel="0" collapsed="false">
      <c r="P1698" s="1" t="n">
        <v>1695</v>
      </c>
      <c r="Q1698" s="147" t="n">
        <v>38167.1510946881</v>
      </c>
      <c r="R1698" s="147" t="n">
        <v>0.265224971637429</v>
      </c>
      <c r="S1698" s="147" t="n">
        <v>0.110479877571204</v>
      </c>
      <c r="T1698" s="147" t="n">
        <v>-0.00109311908906156</v>
      </c>
    </row>
    <row r="1699" customFormat="false" ht="12.75" hidden="false" customHeight="true" outlineLevel="0" collapsed="false">
      <c r="P1699" s="1" t="n">
        <v>1696</v>
      </c>
      <c r="Q1699" s="147" t="n">
        <v>38189.8907190551</v>
      </c>
      <c r="R1699" s="147" t="n">
        <v>0.26579564870192</v>
      </c>
      <c r="S1699" s="147" t="n">
        <v>0.103069932501533</v>
      </c>
      <c r="T1699" s="147" t="n">
        <v>-0.00293956614679831</v>
      </c>
    </row>
    <row r="1700" customFormat="false" ht="12.75" hidden="false" customHeight="true" outlineLevel="0" collapsed="false">
      <c r="P1700" s="1" t="n">
        <v>1697</v>
      </c>
      <c r="Q1700" s="147" t="n">
        <v>38212.1347012091</v>
      </c>
      <c r="R1700" s="147" t="n">
        <v>0.265155753892143</v>
      </c>
      <c r="S1700" s="147" t="n">
        <v>0.100555704194733</v>
      </c>
      <c r="T1700" s="147" t="n">
        <v>-0.00284566176975118</v>
      </c>
    </row>
    <row r="1701" customFormat="false" ht="12.75" hidden="false" customHeight="true" outlineLevel="0" collapsed="false">
      <c r="P1701" s="1" t="n">
        <v>1698</v>
      </c>
      <c r="Q1701" s="147" t="n">
        <v>38234.6118749891</v>
      </c>
      <c r="R1701" s="147" t="n">
        <v>0.265145278921176</v>
      </c>
      <c r="S1701" s="147" t="n">
        <v>0.0970237196348146</v>
      </c>
      <c r="T1701" s="147" t="n">
        <v>-0.00443429484432424</v>
      </c>
    </row>
    <row r="1702" customFormat="false" ht="12.75" hidden="false" customHeight="true" outlineLevel="0" collapsed="false">
      <c r="P1702" s="1" t="n">
        <v>1699</v>
      </c>
      <c r="Q1702" s="147" t="n">
        <v>38256.7343452111</v>
      </c>
      <c r="R1702" s="147" t="n">
        <v>0.264586699513476</v>
      </c>
      <c r="S1702" s="147" t="n">
        <v>0.0959366586078278</v>
      </c>
      <c r="T1702" s="147" t="n">
        <v>-0.00494221270306593</v>
      </c>
    </row>
    <row r="1703" customFormat="false" ht="12.75" hidden="false" customHeight="true" outlineLevel="0" collapsed="false">
      <c r="P1703" s="1" t="n">
        <v>1700</v>
      </c>
      <c r="Q1703" s="147" t="n">
        <v>38279.2889606601</v>
      </c>
      <c r="R1703" s="147" t="n">
        <v>0.264177137103009</v>
      </c>
      <c r="S1703" s="147" t="n">
        <v>0.09593287378713</v>
      </c>
      <c r="T1703" s="147" t="n">
        <v>-0.00612758873828943</v>
      </c>
    </row>
    <row r="1704" customFormat="false" ht="12.75" hidden="false" customHeight="true" outlineLevel="0" collapsed="false">
      <c r="P1704" s="1" t="n">
        <v>1701</v>
      </c>
      <c r="Q1704" s="147" t="n">
        <v>38301.7943023671</v>
      </c>
      <c r="R1704" s="147" t="n">
        <v>0.263791570727118</v>
      </c>
      <c r="S1704" s="147" t="n">
        <v>0.0975315150329055</v>
      </c>
      <c r="T1704" s="147" t="n">
        <v>-0.00649742940567556</v>
      </c>
    </row>
    <row r="1705" customFormat="false" ht="12.75" hidden="false" customHeight="true" outlineLevel="0" collapsed="false">
      <c r="P1705" s="1" t="n">
        <v>1702</v>
      </c>
      <c r="Q1705" s="147" t="n">
        <v>38324.6007881051</v>
      </c>
      <c r="R1705" s="147" t="n">
        <v>0.263851542276216</v>
      </c>
      <c r="S1705" s="147" t="n">
        <v>0.0992700963258988</v>
      </c>
      <c r="T1705" s="147" t="n">
        <v>-0.00652245464561811</v>
      </c>
    </row>
    <row r="1706" customFormat="false" ht="12.75" hidden="false" customHeight="true" outlineLevel="0" collapsed="false">
      <c r="P1706" s="1" t="n">
        <v>1703</v>
      </c>
      <c r="Q1706" s="147" t="n">
        <v>38347.5114613151</v>
      </c>
      <c r="R1706" s="147" t="n">
        <v>0.264155957505291</v>
      </c>
      <c r="S1706" s="147" t="n">
        <v>0.0999171189942232</v>
      </c>
      <c r="T1706" s="147" t="n">
        <v>-0.00666429163700148</v>
      </c>
    </row>
    <row r="1707" customFormat="false" ht="12.75" hidden="false" customHeight="true" outlineLevel="0" collapsed="false">
      <c r="P1707" s="1" t="n">
        <v>1704</v>
      </c>
      <c r="Q1707" s="147" t="n">
        <v>38370.2997297071</v>
      </c>
      <c r="R1707" s="147" t="n">
        <v>0.264427030916718</v>
      </c>
      <c r="S1707" s="147" t="n">
        <v>0.0997123061999275</v>
      </c>
      <c r="T1707" s="147" t="n">
        <v>-0.00687457880394215</v>
      </c>
    </row>
    <row r="1708" customFormat="false" ht="12.75" hidden="false" customHeight="true" outlineLevel="0" collapsed="false">
      <c r="P1708" s="1" t="n">
        <v>1705</v>
      </c>
      <c r="Q1708" s="147" t="n">
        <v>38393.1876025491</v>
      </c>
      <c r="R1708" s="147" t="n">
        <v>0.264563960952153</v>
      </c>
      <c r="S1708" s="147" t="n">
        <v>0.0986018700260306</v>
      </c>
      <c r="T1708" s="147" t="n">
        <v>-0.00684865635666624</v>
      </c>
    </row>
    <row r="1709" customFormat="false" ht="12.75" hidden="false" customHeight="true" outlineLevel="0" collapsed="false">
      <c r="P1709" s="1" t="n">
        <v>1706</v>
      </c>
      <c r="Q1709" s="147" t="n">
        <v>38415.3349840011</v>
      </c>
      <c r="R1709" s="147" t="n">
        <v>0.264477935065283</v>
      </c>
      <c r="S1709" s="147" t="n">
        <v>0.0993840930796806</v>
      </c>
      <c r="T1709" s="147" t="n">
        <v>-0.00745979091023766</v>
      </c>
    </row>
    <row r="1710" customFormat="false" ht="12.75" hidden="false" customHeight="true" outlineLevel="0" collapsed="false">
      <c r="P1710" s="1" t="n">
        <v>1707</v>
      </c>
      <c r="Q1710" s="147" t="n">
        <v>38438.3872000441</v>
      </c>
      <c r="R1710" s="147" t="n">
        <v>0.264169873659761</v>
      </c>
      <c r="S1710" s="147" t="n">
        <v>0.0968824105648865</v>
      </c>
      <c r="T1710" s="147" t="n">
        <v>-0.00597493515598121</v>
      </c>
    </row>
    <row r="1711" customFormat="false" ht="12.75" hidden="false" customHeight="true" outlineLevel="0" collapsed="false">
      <c r="P1711" s="1" t="n">
        <v>1708</v>
      </c>
      <c r="Q1711" s="147" t="n">
        <v>38460.3415456201</v>
      </c>
      <c r="R1711" s="147" t="n">
        <v>0.263738744414396</v>
      </c>
      <c r="S1711" s="147" t="n">
        <v>0.0969856337767659</v>
      </c>
      <c r="T1711" s="147" t="n">
        <v>-0.00640111724379639</v>
      </c>
    </row>
    <row r="1712" customFormat="false" ht="12.75" hidden="false" customHeight="true" outlineLevel="0" collapsed="false">
      <c r="P1712" s="1" t="n">
        <v>1709</v>
      </c>
      <c r="Q1712" s="147" t="n">
        <v>38483.1242173241</v>
      </c>
      <c r="R1712" s="147" t="n">
        <v>0.263513029591432</v>
      </c>
      <c r="S1712" s="147" t="n">
        <v>0.0967675096687076</v>
      </c>
      <c r="T1712" s="147" t="n">
        <v>-0.00541749591173375</v>
      </c>
    </row>
    <row r="1713" customFormat="false" ht="12.75" hidden="false" customHeight="true" outlineLevel="0" collapsed="false">
      <c r="P1713" s="1" t="n">
        <v>1710</v>
      </c>
      <c r="Q1713" s="147" t="n">
        <v>38505.6980492561</v>
      </c>
      <c r="R1713" s="147" t="n">
        <v>0.264260097891004</v>
      </c>
      <c r="S1713" s="147" t="n">
        <v>0.0971825769417503</v>
      </c>
      <c r="T1713" s="147" t="n">
        <v>-0.00463899194712328</v>
      </c>
    </row>
    <row r="1714" customFormat="false" ht="12.75" hidden="false" customHeight="true" outlineLevel="0" collapsed="false">
      <c r="P1714" s="1" t="n">
        <v>1711</v>
      </c>
      <c r="Q1714" s="147" t="n">
        <v>38528.1500132761</v>
      </c>
      <c r="R1714" s="147" t="n">
        <v>0.2652251574823</v>
      </c>
      <c r="S1714" s="147" t="n">
        <v>0.0966026290458563</v>
      </c>
      <c r="T1714" s="147" t="n">
        <v>-0.00312902798014166</v>
      </c>
    </row>
    <row r="1715" customFormat="false" ht="12.75" hidden="false" customHeight="true" outlineLevel="0" collapsed="false">
      <c r="P1715" s="1" t="n">
        <v>1712</v>
      </c>
      <c r="Q1715" s="147" t="n">
        <v>38550.8661201171</v>
      </c>
      <c r="R1715" s="147" t="n">
        <v>0.266905325897508</v>
      </c>
      <c r="S1715" s="147" t="n">
        <v>0.0950633273063629</v>
      </c>
      <c r="T1715" s="147" t="n">
        <v>-0.00138306276528501</v>
      </c>
    </row>
    <row r="1716" customFormat="false" ht="12.75" hidden="false" customHeight="true" outlineLevel="0" collapsed="false">
      <c r="P1716" s="1" t="n">
        <v>1713</v>
      </c>
      <c r="Q1716" s="147" t="n">
        <v>38573.4348903591</v>
      </c>
      <c r="R1716" s="147" t="n">
        <v>0.268799115863686</v>
      </c>
      <c r="S1716" s="147" t="n">
        <v>0.0916712408529389</v>
      </c>
      <c r="T1716" s="147" t="n">
        <v>0.000339560546741592</v>
      </c>
    </row>
    <row r="1717" customFormat="false" ht="12.75" hidden="false" customHeight="true" outlineLevel="0" collapsed="false">
      <c r="P1717" s="1" t="n">
        <v>1714</v>
      </c>
      <c r="Q1717" s="147" t="n">
        <v>38596.3688536061</v>
      </c>
      <c r="R1717" s="147" t="n">
        <v>0.271024596328067</v>
      </c>
      <c r="S1717" s="147" t="n">
        <v>0.0859734422376447</v>
      </c>
      <c r="T1717" s="147" t="n">
        <v>0.00179859646847553</v>
      </c>
    </row>
    <row r="1718" customFormat="false" ht="12.75" hidden="false" customHeight="true" outlineLevel="0" collapsed="false">
      <c r="P1718" s="1" t="n">
        <v>1715</v>
      </c>
      <c r="Q1718" s="147" t="n">
        <v>38619.3156173721</v>
      </c>
      <c r="R1718" s="147" t="n">
        <v>0.272838735132088</v>
      </c>
      <c r="S1718" s="147" t="n">
        <v>0.08000036288976</v>
      </c>
      <c r="T1718" s="147" t="n">
        <v>0.00306413239494823</v>
      </c>
    </row>
    <row r="1719" customFormat="false" ht="12.75" hidden="false" customHeight="true" outlineLevel="0" collapsed="false">
      <c r="P1719" s="1" t="n">
        <v>1716</v>
      </c>
      <c r="Q1719" s="147" t="n">
        <v>38642.1519418111</v>
      </c>
      <c r="R1719" s="147" t="n">
        <v>0.274233548914026</v>
      </c>
      <c r="S1719" s="147" t="n">
        <v>0.0749467641577546</v>
      </c>
      <c r="T1719" s="147" t="n">
        <v>0.0036316780418575</v>
      </c>
    </row>
    <row r="1720" customFormat="false" ht="12.75" hidden="false" customHeight="true" outlineLevel="0" collapsed="false">
      <c r="P1720" s="1" t="n">
        <v>1717</v>
      </c>
      <c r="Q1720" s="147" t="n">
        <v>38664.4704672061</v>
      </c>
      <c r="R1720" s="147" t="n">
        <v>0.274680321633438</v>
      </c>
      <c r="S1720" s="147" t="n">
        <v>0.0725376582150072</v>
      </c>
      <c r="T1720" s="147" t="n">
        <v>0.00372777911370449</v>
      </c>
    </row>
    <row r="1721" customFormat="false" ht="12.75" hidden="false" customHeight="true" outlineLevel="0" collapsed="false">
      <c r="P1721" s="1" t="n">
        <v>1718</v>
      </c>
      <c r="Q1721" s="147" t="n">
        <v>38687.2365452471</v>
      </c>
      <c r="R1721" s="147" t="n">
        <v>0.274344441043361</v>
      </c>
      <c r="S1721" s="147" t="n">
        <v>0.0713285925820439</v>
      </c>
      <c r="T1721" s="147" t="n">
        <v>0.00323752423808043</v>
      </c>
    </row>
    <row r="1722" customFormat="false" ht="12.75" hidden="false" customHeight="true" outlineLevel="0" collapsed="false">
      <c r="P1722" s="1" t="n">
        <v>1719</v>
      </c>
      <c r="Q1722" s="147" t="n">
        <v>38710.0815263711</v>
      </c>
      <c r="R1722" s="147" t="n">
        <v>0.273278866216817</v>
      </c>
      <c r="S1722" s="147" t="n">
        <v>0.0720160415184151</v>
      </c>
      <c r="T1722" s="147" t="n">
        <v>0.00221744095892964</v>
      </c>
    </row>
    <row r="1723" customFormat="false" ht="12.75" hidden="false" customHeight="true" outlineLevel="0" collapsed="false">
      <c r="P1723" s="1" t="n">
        <v>1720</v>
      </c>
      <c r="Q1723" s="147" t="n">
        <v>38732.9711486531</v>
      </c>
      <c r="R1723" s="147" t="n">
        <v>0.27144808180583</v>
      </c>
      <c r="S1723" s="147" t="n">
        <v>0.0748792003262819</v>
      </c>
      <c r="T1723" s="147" t="n">
        <v>0.00102513412677247</v>
      </c>
    </row>
    <row r="1724" customFormat="false" ht="12.75" hidden="false" customHeight="true" outlineLevel="0" collapsed="false">
      <c r="P1724" s="1" t="n">
        <v>1721</v>
      </c>
      <c r="Q1724" s="147" t="n">
        <v>38756.2458897131</v>
      </c>
      <c r="R1724" s="147" t="n">
        <v>0.269357849584953</v>
      </c>
      <c r="S1724" s="147" t="n">
        <v>0.0806063197535636</v>
      </c>
      <c r="T1724" s="147" t="n">
        <v>0.000119533636058557</v>
      </c>
    </row>
    <row r="1725" customFormat="false" ht="12.75" hidden="false" customHeight="true" outlineLevel="0" collapsed="false">
      <c r="P1725" s="1" t="n">
        <v>1722</v>
      </c>
      <c r="Q1725" s="147" t="n">
        <v>38779.4501167261</v>
      </c>
      <c r="R1725" s="147" t="n">
        <v>0.267029519681606</v>
      </c>
      <c r="S1725" s="147" t="n">
        <v>0.0880550329843612</v>
      </c>
      <c r="T1725" s="147" t="n">
        <v>-0.000836547331712592</v>
      </c>
    </row>
    <row r="1726" customFormat="false" ht="12.75" hidden="false" customHeight="true" outlineLevel="0" collapsed="false">
      <c r="P1726" s="1" t="n">
        <v>1723</v>
      </c>
      <c r="Q1726" s="147" t="n">
        <v>38802.3702046291</v>
      </c>
      <c r="R1726" s="147" t="n">
        <v>0.264784254551683</v>
      </c>
      <c r="S1726" s="147" t="n">
        <v>0.0934311736017607</v>
      </c>
      <c r="T1726" s="147" t="n">
        <v>-0.00208015961897738</v>
      </c>
    </row>
    <row r="1727" customFormat="false" ht="12.75" hidden="false" customHeight="true" outlineLevel="0" collapsed="false">
      <c r="P1727" s="1" t="n">
        <v>1724</v>
      </c>
      <c r="Q1727" s="147" t="n">
        <v>38825.2080672221</v>
      </c>
      <c r="R1727" s="147" t="n">
        <v>0.262850697105733</v>
      </c>
      <c r="S1727" s="147" t="n">
        <v>0.0976316204043446</v>
      </c>
      <c r="T1727" s="147" t="n">
        <v>-0.00256915694226991</v>
      </c>
    </row>
    <row r="1728" customFormat="false" ht="12.75" hidden="false" customHeight="true" outlineLevel="0" collapsed="false">
      <c r="P1728" s="1" t="n">
        <v>1725</v>
      </c>
      <c r="Q1728" s="147" t="n">
        <v>38848.0313941831</v>
      </c>
      <c r="R1728" s="147" t="n">
        <v>0.261583219816783</v>
      </c>
      <c r="S1728" s="147" t="n">
        <v>0.0999233186474164</v>
      </c>
      <c r="T1728" s="147" t="n">
        <v>-0.00285740496845683</v>
      </c>
    </row>
    <row r="1729" customFormat="false" ht="12.75" hidden="false" customHeight="true" outlineLevel="0" collapsed="false">
      <c r="P1729" s="1" t="n">
        <v>1726</v>
      </c>
      <c r="Q1729" s="147" t="n">
        <v>38870.8511154591</v>
      </c>
      <c r="R1729" s="147" t="n">
        <v>0.26092308677536</v>
      </c>
      <c r="S1729" s="147" t="n">
        <v>0.101167587653741</v>
      </c>
      <c r="T1729" s="147" t="n">
        <v>-0.00217124066858271</v>
      </c>
    </row>
    <row r="1730" customFormat="false" ht="12.75" hidden="false" customHeight="true" outlineLevel="0" collapsed="false">
      <c r="P1730" s="1" t="n">
        <v>1727</v>
      </c>
      <c r="Q1730" s="147" t="n">
        <v>38893.7224769371</v>
      </c>
      <c r="R1730" s="147" t="n">
        <v>0.26075425867731</v>
      </c>
      <c r="S1730" s="147" t="n">
        <v>0.101201684966066</v>
      </c>
      <c r="T1730" s="147" t="n">
        <v>-0.00176438103258931</v>
      </c>
    </row>
    <row r="1731" customFormat="false" ht="12.75" hidden="false" customHeight="true" outlineLevel="0" collapsed="false">
      <c r="P1731" s="1" t="n">
        <v>1728</v>
      </c>
      <c r="Q1731" s="147" t="n">
        <v>38916.2697725951</v>
      </c>
      <c r="R1731" s="147" t="n">
        <v>0.260993865411706</v>
      </c>
      <c r="S1731" s="147" t="n">
        <v>0.0999577044344215</v>
      </c>
      <c r="T1731" s="147" t="n">
        <v>-0.000922056922537733</v>
      </c>
    </row>
    <row r="1732" customFormat="false" ht="12.75" hidden="false" customHeight="true" outlineLevel="0" collapsed="false">
      <c r="P1732" s="1" t="n">
        <v>1729</v>
      </c>
      <c r="Q1732" s="147" t="n">
        <v>38939.1222491891</v>
      </c>
      <c r="R1732" s="147" t="n">
        <v>0.261482189248086</v>
      </c>
      <c r="S1732" s="147" t="n">
        <v>0.0981892800783143</v>
      </c>
      <c r="T1732" s="147" t="n">
        <v>0.000256105739030016</v>
      </c>
    </row>
    <row r="1733" customFormat="false" ht="12.75" hidden="false" customHeight="true" outlineLevel="0" collapsed="false">
      <c r="P1733" s="1" t="n">
        <v>1730</v>
      </c>
      <c r="Q1733" s="147" t="n">
        <v>38962.0669502021</v>
      </c>
      <c r="R1733" s="147" t="n">
        <v>0.262274912920224</v>
      </c>
      <c r="S1733" s="147" t="n">
        <v>0.0963060018499242</v>
      </c>
      <c r="T1733" s="147" t="n">
        <v>0.00161169126904463</v>
      </c>
    </row>
    <row r="1734" customFormat="false" ht="12.75" hidden="false" customHeight="true" outlineLevel="0" collapsed="false">
      <c r="P1734" s="1" t="n">
        <v>1731</v>
      </c>
      <c r="Q1734" s="147" t="n">
        <v>38984.9172657341</v>
      </c>
      <c r="R1734" s="147" t="n">
        <v>0.26322456070436</v>
      </c>
      <c r="S1734" s="147" t="n">
        <v>0.0947431212406262</v>
      </c>
      <c r="T1734" s="147" t="n">
        <v>0.00272424759988047</v>
      </c>
    </row>
    <row r="1735" customFormat="false" ht="12.75" hidden="false" customHeight="true" outlineLevel="0" collapsed="false">
      <c r="P1735" s="1" t="n">
        <v>1732</v>
      </c>
      <c r="Q1735" s="147" t="n">
        <v>39007.6622434701</v>
      </c>
      <c r="R1735" s="147" t="n">
        <v>0.264222279276568</v>
      </c>
      <c r="S1735" s="147" t="n">
        <v>0.0936761185503064</v>
      </c>
      <c r="T1735" s="147" t="n">
        <v>0.00323019538236828</v>
      </c>
    </row>
    <row r="1736" customFormat="false" ht="12.75" hidden="false" customHeight="true" outlineLevel="0" collapsed="false">
      <c r="P1736" s="1" t="n">
        <v>1733</v>
      </c>
      <c r="Q1736" s="147" t="n">
        <v>39030.3393998371</v>
      </c>
      <c r="R1736" s="147" t="n">
        <v>0.265190934921538</v>
      </c>
      <c r="S1736" s="147" t="n">
        <v>0.0931807726436792</v>
      </c>
      <c r="T1736" s="147" t="n">
        <v>0.00305106021914422</v>
      </c>
    </row>
    <row r="1737" customFormat="false" ht="12.75" hidden="false" customHeight="true" outlineLevel="0" collapsed="false">
      <c r="P1737" s="1" t="n">
        <v>1734</v>
      </c>
      <c r="Q1737" s="147" t="n">
        <v>39052.9390266651</v>
      </c>
      <c r="R1737" s="147" t="n">
        <v>0.2659736912712</v>
      </c>
      <c r="S1737" s="147" t="n">
        <v>0.0932251055316703</v>
      </c>
      <c r="T1737" s="147" t="n">
        <v>0.00231751836237557</v>
      </c>
    </row>
    <row r="1738" customFormat="false" ht="12.75" hidden="false" customHeight="true" outlineLevel="0" collapsed="false">
      <c r="P1738" s="1" t="n">
        <v>1735</v>
      </c>
      <c r="Q1738" s="147" t="n">
        <v>39075.6563996111</v>
      </c>
      <c r="R1738" s="147" t="n">
        <v>0.266519783675546</v>
      </c>
      <c r="S1738" s="147" t="n">
        <v>0.0934828545986512</v>
      </c>
      <c r="T1738" s="147" t="n">
        <v>0.00141347899871171</v>
      </c>
    </row>
    <row r="1739" customFormat="false" ht="12.75" hidden="false" customHeight="true" outlineLevel="0" collapsed="false">
      <c r="P1739" s="1" t="n">
        <v>1736</v>
      </c>
      <c r="Q1739" s="147" t="n">
        <v>39098.1197345761</v>
      </c>
      <c r="R1739" s="147" t="n">
        <v>0.266987845702468</v>
      </c>
      <c r="S1739" s="147" t="n">
        <v>0.0938700897856708</v>
      </c>
      <c r="T1739" s="147" t="n">
        <v>0.000621924217485688</v>
      </c>
    </row>
    <row r="1740" customFormat="false" ht="12.75" hidden="false" customHeight="true" outlineLevel="0" collapsed="false">
      <c r="P1740" s="1" t="n">
        <v>1737</v>
      </c>
      <c r="Q1740" s="147" t="n">
        <v>39120.8607130971</v>
      </c>
      <c r="R1740" s="147" t="n">
        <v>0.267414298410746</v>
      </c>
      <c r="S1740" s="147" t="n">
        <v>0.0928284913193743</v>
      </c>
      <c r="T1740" s="147" t="n">
        <v>0.000352160146476061</v>
      </c>
    </row>
    <row r="1741" customFormat="false" ht="12.75" hidden="false" customHeight="true" outlineLevel="0" collapsed="false">
      <c r="P1741" s="1" t="n">
        <v>1738</v>
      </c>
      <c r="Q1741" s="147" t="n">
        <v>39143.5136467411</v>
      </c>
      <c r="R1741" s="147" t="n">
        <v>0.268196887265755</v>
      </c>
      <c r="S1741" s="147" t="n">
        <v>0.0909216981517938</v>
      </c>
      <c r="T1741" s="147" t="n">
        <v>0.000819967102705686</v>
      </c>
    </row>
    <row r="1742" customFormat="false" ht="12.75" hidden="false" customHeight="true" outlineLevel="0" collapsed="false">
      <c r="P1742" s="1" t="n">
        <v>1739</v>
      </c>
      <c r="Q1742" s="147" t="n">
        <v>39166.1561663201</v>
      </c>
      <c r="R1742" s="147" t="n">
        <v>0.268565286604519</v>
      </c>
      <c r="S1742" s="147" t="n">
        <v>0.0898330018874246</v>
      </c>
      <c r="T1742" s="147" t="n">
        <v>0.00125241716256514</v>
      </c>
    </row>
    <row r="1743" customFormat="false" ht="12.75" hidden="false" customHeight="true" outlineLevel="0" collapsed="false">
      <c r="P1743" s="1" t="n">
        <v>1740</v>
      </c>
      <c r="Q1743" s="147" t="n">
        <v>39188.7326728051</v>
      </c>
      <c r="R1743" s="147" t="n">
        <v>0.268526197452166</v>
      </c>
      <c r="S1743" s="147" t="n">
        <v>0.0888974447273197</v>
      </c>
      <c r="T1743" s="147" t="n">
        <v>0.00153392407924422</v>
      </c>
    </row>
    <row r="1744" customFormat="false" ht="12.75" hidden="false" customHeight="true" outlineLevel="0" collapsed="false">
      <c r="P1744" s="1" t="n">
        <v>1741</v>
      </c>
      <c r="Q1744" s="147" t="n">
        <v>39211.0925891981</v>
      </c>
      <c r="R1744" s="147" t="n">
        <v>0.267882106181444</v>
      </c>
      <c r="S1744" s="147" t="n">
        <v>0.0878547479347339</v>
      </c>
      <c r="T1744" s="147" t="n">
        <v>0.0015742845283066</v>
      </c>
    </row>
    <row r="1745" customFormat="false" ht="12.75" hidden="false" customHeight="true" outlineLevel="0" collapsed="false">
      <c r="P1745" s="1" t="n">
        <v>1742</v>
      </c>
      <c r="Q1745" s="147" t="n">
        <v>39233.5165256641</v>
      </c>
      <c r="R1745" s="147" t="n">
        <v>0.266751299481964</v>
      </c>
      <c r="S1745" s="147" t="n">
        <v>0.0868779274961472</v>
      </c>
      <c r="T1745" s="147" t="n">
        <v>0.0015175490980928</v>
      </c>
    </row>
    <row r="1746" customFormat="false" ht="12.75" hidden="false" customHeight="true" outlineLevel="0" collapsed="false">
      <c r="P1746" s="1" t="n">
        <v>1743</v>
      </c>
      <c r="Q1746" s="147" t="n">
        <v>39256.1573928911</v>
      </c>
      <c r="R1746" s="147" t="n">
        <v>0.265604814914835</v>
      </c>
      <c r="S1746" s="147" t="n">
        <v>0.0858635317153996</v>
      </c>
      <c r="T1746" s="147" t="n">
        <v>0.00121186746702558</v>
      </c>
    </row>
    <row r="1747" customFormat="false" ht="12.75" hidden="false" customHeight="true" outlineLevel="0" collapsed="false">
      <c r="P1747" s="1" t="n">
        <v>1744</v>
      </c>
      <c r="Q1747" s="147" t="n">
        <v>39278.4259171701</v>
      </c>
      <c r="R1747" s="147" t="n">
        <v>0.264614157431143</v>
      </c>
      <c r="S1747" s="147" t="n">
        <v>0.0843993884591066</v>
      </c>
      <c r="T1747" s="147" t="n">
        <v>0.00043679665943088</v>
      </c>
    </row>
    <row r="1748" customFormat="false" ht="12.75" hidden="false" customHeight="true" outlineLevel="0" collapsed="false">
      <c r="P1748" s="1" t="n">
        <v>1745</v>
      </c>
      <c r="Q1748" s="147" t="n">
        <v>39300.6785320121</v>
      </c>
      <c r="R1748" s="147" t="n">
        <v>0.263977026030987</v>
      </c>
      <c r="S1748" s="147" t="n">
        <v>0.0833402652732743</v>
      </c>
      <c r="T1748" s="147" t="n">
        <v>-0.000166651855061891</v>
      </c>
    </row>
    <row r="1749" customFormat="false" ht="12.75" hidden="false" customHeight="true" outlineLevel="0" collapsed="false">
      <c r="P1749" s="1" t="n">
        <v>1746</v>
      </c>
      <c r="Q1749" s="147" t="n">
        <v>39323.5587588501</v>
      </c>
      <c r="R1749" s="147" t="n">
        <v>0.263959586106574</v>
      </c>
      <c r="S1749" s="147" t="n">
        <v>0.0834212215739247</v>
      </c>
      <c r="T1749" s="147" t="n">
        <v>-0.00171115670734317</v>
      </c>
    </row>
    <row r="1750" customFormat="false" ht="12.75" hidden="false" customHeight="true" outlineLevel="0" collapsed="false">
      <c r="P1750" s="1" t="n">
        <v>1747</v>
      </c>
      <c r="Q1750" s="147" t="n">
        <v>39346.2392919391</v>
      </c>
      <c r="R1750" s="147" t="n">
        <v>0.263967337926794</v>
      </c>
      <c r="S1750" s="147" t="n">
        <v>0.0855165799564579</v>
      </c>
      <c r="T1750" s="147" t="n">
        <v>-0.00243744681276248</v>
      </c>
    </row>
    <row r="1751" customFormat="false" ht="12.75" hidden="false" customHeight="true" outlineLevel="0" collapsed="false">
      <c r="P1751" s="1" t="n">
        <v>1748</v>
      </c>
      <c r="Q1751" s="147" t="n">
        <v>39369.0742468181</v>
      </c>
      <c r="R1751" s="147" t="n">
        <v>0.264836746072126</v>
      </c>
      <c r="S1751" s="147" t="n">
        <v>0.0858421339931466</v>
      </c>
      <c r="T1751" s="147" t="n">
        <v>-0.00269483042937932</v>
      </c>
    </row>
    <row r="1752" customFormat="false" ht="12.75" hidden="false" customHeight="true" outlineLevel="0" collapsed="false">
      <c r="P1752" s="1" t="n">
        <v>1749</v>
      </c>
      <c r="Q1752" s="147" t="n">
        <v>39391.8546223851</v>
      </c>
      <c r="R1752" s="147" t="n">
        <v>0.266329824022415</v>
      </c>
      <c r="S1752" s="147" t="n">
        <v>0.0850822066832131</v>
      </c>
      <c r="T1752" s="147" t="n">
        <v>-0.00275133427160023</v>
      </c>
    </row>
    <row r="1753" customFormat="false" ht="12.75" hidden="false" customHeight="true" outlineLevel="0" collapsed="false">
      <c r="P1753" s="1" t="n">
        <v>1750</v>
      </c>
      <c r="Q1753" s="147" t="n">
        <v>39414.5522345051</v>
      </c>
      <c r="R1753" s="147" t="n">
        <v>0.268185850245951</v>
      </c>
      <c r="S1753" s="147" t="n">
        <v>0.0829098815789506</v>
      </c>
      <c r="T1753" s="147" t="n">
        <v>-0.00251228830070021</v>
      </c>
    </row>
    <row r="1754" customFormat="false" ht="12.75" hidden="false" customHeight="true" outlineLevel="0" collapsed="false">
      <c r="P1754" s="1" t="n">
        <v>1751</v>
      </c>
      <c r="Q1754" s="147" t="n">
        <v>39437.1253554141</v>
      </c>
      <c r="R1754" s="147" t="n">
        <v>0.270191805582312</v>
      </c>
      <c r="S1754" s="147" t="n">
        <v>0.079289666862876</v>
      </c>
      <c r="T1754" s="147" t="n">
        <v>-0.00186010612766564</v>
      </c>
    </row>
    <row r="1755" customFormat="false" ht="12.75" hidden="false" customHeight="true" outlineLevel="0" collapsed="false">
      <c r="P1755" s="1" t="n">
        <v>1752</v>
      </c>
      <c r="Q1755" s="147" t="n">
        <v>39459.7180470141</v>
      </c>
      <c r="R1755" s="147" t="n">
        <v>0.271957952989999</v>
      </c>
      <c r="S1755" s="147" t="n">
        <v>0.0756193995396173</v>
      </c>
      <c r="T1755" s="147" t="n">
        <v>-0.000776982549194294</v>
      </c>
    </row>
    <row r="1756" customFormat="false" ht="12.75" hidden="false" customHeight="true" outlineLevel="0" collapsed="false">
      <c r="P1756" s="1" t="n">
        <v>1753</v>
      </c>
      <c r="Q1756" s="147" t="n">
        <v>39482.3338247311</v>
      </c>
      <c r="R1756" s="147" t="n">
        <v>0.273060601276904</v>
      </c>
      <c r="S1756" s="147" t="n">
        <v>0.0726109015992298</v>
      </c>
      <c r="T1756" s="147" t="n">
        <v>0.000761383895728729</v>
      </c>
    </row>
    <row r="1757" customFormat="false" ht="12.75" hidden="false" customHeight="true" outlineLevel="0" collapsed="false">
      <c r="P1757" s="1" t="n">
        <v>1754</v>
      </c>
      <c r="Q1757" s="147" t="n">
        <v>39505.0056138541</v>
      </c>
      <c r="R1757" s="147" t="n">
        <v>0.273223379270236</v>
      </c>
      <c r="S1757" s="147" t="n">
        <v>0.0711646547803387</v>
      </c>
      <c r="T1757" s="147" t="n">
        <v>0.00257133408569332</v>
      </c>
    </row>
    <row r="1758" customFormat="false" ht="12.75" hidden="false" customHeight="true" outlineLevel="0" collapsed="false">
      <c r="P1758" s="1" t="n">
        <v>1755</v>
      </c>
      <c r="Q1758" s="147" t="n">
        <v>39527.6207076051</v>
      </c>
      <c r="R1758" s="147" t="n">
        <v>0.272779617123792</v>
      </c>
      <c r="S1758" s="147" t="n">
        <v>0.0718548588464687</v>
      </c>
      <c r="T1758" s="147" t="n">
        <v>0.00403915804099686</v>
      </c>
    </row>
    <row r="1759" customFormat="false" ht="12.75" hidden="false" customHeight="true" outlineLevel="0" collapsed="false">
      <c r="P1759" s="1" t="n">
        <v>1756</v>
      </c>
      <c r="Q1759" s="147" t="n">
        <v>39550.1325717291</v>
      </c>
      <c r="R1759" s="147" t="n">
        <v>0.271730666965097</v>
      </c>
      <c r="S1759" s="147" t="n">
        <v>0.0750778572612725</v>
      </c>
      <c r="T1759" s="147" t="n">
        <v>0.00557310617639964</v>
      </c>
    </row>
    <row r="1760" customFormat="false" ht="12.75" hidden="false" customHeight="true" outlineLevel="0" collapsed="false">
      <c r="P1760" s="1" t="n">
        <v>1757</v>
      </c>
      <c r="Q1760" s="147" t="n">
        <v>39573.1161880421</v>
      </c>
      <c r="R1760" s="147" t="n">
        <v>0.270475696387836</v>
      </c>
      <c r="S1760" s="147" t="n">
        <v>0.0804387016086442</v>
      </c>
      <c r="T1760" s="147" t="n">
        <v>0.00673028487310296</v>
      </c>
    </row>
    <row r="1761" customFormat="false" ht="12.75" hidden="false" customHeight="true" outlineLevel="0" collapsed="false">
      <c r="P1761" s="1" t="n">
        <v>1758</v>
      </c>
      <c r="Q1761" s="147" t="n">
        <v>39596.2468537461</v>
      </c>
      <c r="R1761" s="147" t="n">
        <v>0.26893845405299</v>
      </c>
      <c r="S1761" s="147" t="n">
        <v>0.0868944441610983</v>
      </c>
      <c r="T1761" s="147" t="n">
        <v>0.00727530004505995</v>
      </c>
    </row>
    <row r="1762" customFormat="false" ht="12.75" hidden="false" customHeight="true" outlineLevel="0" collapsed="false">
      <c r="P1762" s="1" t="n">
        <v>1759</v>
      </c>
      <c r="Q1762" s="147" t="n">
        <v>39619.0729783811</v>
      </c>
      <c r="R1762" s="147" t="n">
        <v>0.267378582291631</v>
      </c>
      <c r="S1762" s="147" t="n">
        <v>0.0925898047889289</v>
      </c>
      <c r="T1762" s="147" t="n">
        <v>0.00771411912069223</v>
      </c>
    </row>
    <row r="1763" customFormat="false" ht="12.75" hidden="false" customHeight="true" outlineLevel="0" collapsed="false">
      <c r="P1763" s="1" t="n">
        <v>1760</v>
      </c>
      <c r="Q1763" s="147" t="n">
        <v>39641.7353228321</v>
      </c>
      <c r="R1763" s="147" t="n">
        <v>0.266193802978867</v>
      </c>
      <c r="S1763" s="147" t="n">
        <v>0.097250123839911</v>
      </c>
      <c r="T1763" s="147" t="n">
        <v>0.00808849360253711</v>
      </c>
    </row>
    <row r="1764" customFormat="false" ht="12.75" hidden="false" customHeight="true" outlineLevel="0" collapsed="false">
      <c r="P1764" s="1" t="n">
        <v>1761</v>
      </c>
      <c r="Q1764" s="147" t="n">
        <v>39664.4857944001</v>
      </c>
      <c r="R1764" s="147" t="n">
        <v>0.265497086240795</v>
      </c>
      <c r="S1764" s="147" t="n">
        <v>0.100222214275216</v>
      </c>
      <c r="T1764" s="147" t="n">
        <v>0.00844652885629644</v>
      </c>
    </row>
    <row r="1765" customFormat="false" ht="12.75" hidden="false" customHeight="true" outlineLevel="0" collapsed="false">
      <c r="P1765" s="1" t="n">
        <v>1762</v>
      </c>
      <c r="Q1765" s="147" t="n">
        <v>39687.8028416881</v>
      </c>
      <c r="R1765" s="147" t="n">
        <v>0.265437238477841</v>
      </c>
      <c r="S1765" s="147" t="n">
        <v>0.101308233946451</v>
      </c>
      <c r="T1765" s="147" t="n">
        <v>0.00906189372244094</v>
      </c>
    </row>
    <row r="1766" customFormat="false" ht="12.75" hidden="false" customHeight="true" outlineLevel="0" collapsed="false">
      <c r="P1766" s="1" t="n">
        <v>1763</v>
      </c>
      <c r="Q1766" s="147" t="n">
        <v>39710.3375420011</v>
      </c>
      <c r="R1766" s="147" t="n">
        <v>0.266161035098721</v>
      </c>
      <c r="S1766" s="147" t="n">
        <v>0.100441108821003</v>
      </c>
      <c r="T1766" s="147" t="n">
        <v>0.00996269471577682</v>
      </c>
    </row>
    <row r="1767" customFormat="false" ht="12.75" hidden="false" customHeight="true" outlineLevel="0" collapsed="false">
      <c r="P1767" s="1" t="n">
        <v>1764</v>
      </c>
      <c r="Q1767" s="147" t="n">
        <v>39733.1288394451</v>
      </c>
      <c r="R1767" s="147" t="n">
        <v>0.267267703039599</v>
      </c>
      <c r="S1767" s="147" t="n">
        <v>0.0976959182491392</v>
      </c>
      <c r="T1767" s="147" t="n">
        <v>0.0108256744193591</v>
      </c>
    </row>
    <row r="1768" customFormat="false" ht="12.75" hidden="false" customHeight="true" outlineLevel="0" collapsed="false">
      <c r="P1768" s="1" t="n">
        <v>1765</v>
      </c>
      <c r="Q1768" s="147" t="n">
        <v>39756.1913886531</v>
      </c>
      <c r="R1768" s="147" t="n">
        <v>0.268742665242505</v>
      </c>
      <c r="S1768" s="147" t="n">
        <v>0.0936044334533625</v>
      </c>
      <c r="T1768" s="147" t="n">
        <v>0.0119459088047833</v>
      </c>
    </row>
    <row r="1769" customFormat="false" ht="12.75" hidden="false" customHeight="true" outlineLevel="0" collapsed="false">
      <c r="P1769" s="1" t="n">
        <v>1766</v>
      </c>
      <c r="Q1769" s="147" t="n">
        <v>39778.9389041831</v>
      </c>
      <c r="R1769" s="147" t="n">
        <v>0.270172658653755</v>
      </c>
      <c r="S1769" s="147" t="n">
        <v>0.0885032175409112</v>
      </c>
      <c r="T1769" s="147" t="n">
        <v>0.0125666929835504</v>
      </c>
    </row>
    <row r="1770" customFormat="false" ht="12.75" hidden="false" customHeight="true" outlineLevel="0" collapsed="false">
      <c r="P1770" s="1" t="n">
        <v>1767</v>
      </c>
      <c r="Q1770" s="147" t="n">
        <v>39801.7911203631</v>
      </c>
      <c r="R1770" s="147" t="n">
        <v>0.271666792482903</v>
      </c>
      <c r="S1770" s="147" t="n">
        <v>0.0831519188416482</v>
      </c>
      <c r="T1770" s="147" t="n">
        <v>0.0126135451972944</v>
      </c>
    </row>
    <row r="1771" customFormat="false" ht="12.75" hidden="false" customHeight="true" outlineLevel="0" collapsed="false">
      <c r="P1771" s="1" t="n">
        <v>1768</v>
      </c>
      <c r="Q1771" s="147" t="n">
        <v>39824.3938906231</v>
      </c>
      <c r="R1771" s="147" t="n">
        <v>0.272921382235066</v>
      </c>
      <c r="S1771" s="147" t="n">
        <v>0.0786636365015871</v>
      </c>
      <c r="T1771" s="147" t="n">
        <v>0.0122813353675041</v>
      </c>
    </row>
    <row r="1772" customFormat="false" ht="12.75" hidden="false" customHeight="true" outlineLevel="0" collapsed="false">
      <c r="P1772" s="1" t="n">
        <v>1769</v>
      </c>
      <c r="Q1772" s="147" t="n">
        <v>39846.8583074071</v>
      </c>
      <c r="R1772" s="147" t="n">
        <v>0.273855905192966</v>
      </c>
      <c r="S1772" s="147" t="n">
        <v>0.0765510561711147</v>
      </c>
      <c r="T1772" s="147" t="n">
        <v>0.0112803026996875</v>
      </c>
    </row>
    <row r="1773" customFormat="false" ht="12.75" hidden="false" customHeight="true" outlineLevel="0" collapsed="false">
      <c r="P1773" s="1" t="n">
        <v>1770</v>
      </c>
      <c r="Q1773" s="147" t="n">
        <v>39869.3494239141</v>
      </c>
      <c r="R1773" s="147" t="n">
        <v>0.274272098135687</v>
      </c>
      <c r="S1773" s="147" t="n">
        <v>0.0772122536259255</v>
      </c>
      <c r="T1773" s="147" t="n">
        <v>0.00989836527323688</v>
      </c>
    </row>
    <row r="1774" customFormat="false" ht="12.75" hidden="false" customHeight="true" outlineLevel="0" collapsed="false">
      <c r="P1774" s="1" t="n">
        <v>1771</v>
      </c>
      <c r="Q1774" s="147" t="n">
        <v>39891.9022434941</v>
      </c>
      <c r="R1774" s="147" t="n">
        <v>0.273324515638591</v>
      </c>
      <c r="S1774" s="147" t="n">
        <v>0.0816480359970264</v>
      </c>
      <c r="T1774" s="147" t="n">
        <v>0.00913509553745395</v>
      </c>
    </row>
    <row r="1775" customFormat="false" ht="12.75" hidden="false" customHeight="true" outlineLevel="0" collapsed="false">
      <c r="P1775" s="1" t="n">
        <v>1772</v>
      </c>
      <c r="Q1775" s="147" t="n">
        <v>39914.3485430711</v>
      </c>
      <c r="R1775" s="147" t="n">
        <v>0.272637424974911</v>
      </c>
      <c r="S1775" s="147" t="n">
        <v>0.0867918673567904</v>
      </c>
      <c r="T1775" s="147" t="n">
        <v>0.00744152127062358</v>
      </c>
    </row>
    <row r="1776" customFormat="false" ht="12.75" hidden="false" customHeight="true" outlineLevel="0" collapsed="false">
      <c r="P1776" s="1" t="n">
        <v>1773</v>
      </c>
      <c r="Q1776" s="147" t="n">
        <v>39937.5566844261</v>
      </c>
      <c r="R1776" s="147" t="n">
        <v>0.270399373482776</v>
      </c>
      <c r="S1776" s="147" t="n">
        <v>0.0983061476047968</v>
      </c>
      <c r="T1776" s="147" t="n">
        <v>0.0074259318977618</v>
      </c>
    </row>
    <row r="1777" customFormat="false" ht="12.75" hidden="false" customHeight="true" outlineLevel="0" collapsed="false">
      <c r="P1777" s="1" t="n">
        <v>1774</v>
      </c>
      <c r="Q1777" s="147" t="n">
        <v>39959.631945159</v>
      </c>
      <c r="R1777" s="147" t="n">
        <v>0.269254780794576</v>
      </c>
      <c r="S1777" s="147" t="n">
        <v>0.103823440027297</v>
      </c>
      <c r="T1777" s="147" t="n">
        <v>0.00704835600428492</v>
      </c>
    </row>
    <row r="1778" customFormat="false" ht="12.75" hidden="false" customHeight="true" outlineLevel="0" collapsed="false">
      <c r="P1778" s="1" t="n">
        <v>1775</v>
      </c>
      <c r="Q1778" s="147" t="n">
        <v>39982.4199371871</v>
      </c>
      <c r="R1778" s="147" t="n">
        <v>0.267455958589629</v>
      </c>
      <c r="S1778" s="147" t="n">
        <v>0.112642064134077</v>
      </c>
      <c r="T1778" s="147" t="n">
        <v>0.00775009193772419</v>
      </c>
    </row>
    <row r="1779" customFormat="false" ht="12.75" hidden="false" customHeight="true" outlineLevel="0" collapsed="false">
      <c r="P1779" s="1" t="n">
        <v>1776</v>
      </c>
      <c r="Q1779" s="147" t="n">
        <v>40004.9000639381</v>
      </c>
      <c r="R1779" s="147" t="n">
        <v>0.266186647836129</v>
      </c>
      <c r="S1779" s="147" t="n">
        <v>0.115611267533656</v>
      </c>
      <c r="T1779" s="147" t="n">
        <v>0.00888746715394775</v>
      </c>
    </row>
    <row r="1780" customFormat="false" ht="12.75" hidden="false" customHeight="true" outlineLevel="0" collapsed="false">
      <c r="P1780" s="1" t="n">
        <v>1777</v>
      </c>
      <c r="Q1780" s="147" t="n">
        <v>40027.573079476</v>
      </c>
      <c r="R1780" s="147" t="n">
        <v>0.265340442597512</v>
      </c>
      <c r="S1780" s="147" t="n">
        <v>0.113739991118241</v>
      </c>
      <c r="T1780" s="147" t="n">
        <v>0.00994896184682464</v>
      </c>
    </row>
    <row r="1781" customFormat="false" ht="12.75" hidden="false" customHeight="true" outlineLevel="0" collapsed="false">
      <c r="P1781" s="1" t="n">
        <v>1778</v>
      </c>
      <c r="Q1781" s="147" t="n">
        <v>40049.5909268091</v>
      </c>
      <c r="R1781" s="147" t="n">
        <v>0.264958661193269</v>
      </c>
      <c r="S1781" s="147" t="n">
        <v>0.113108868526616</v>
      </c>
      <c r="T1781" s="147" t="n">
        <v>0.0120813724932081</v>
      </c>
    </row>
    <row r="1782" customFormat="false" ht="12.75" hidden="false" customHeight="true" outlineLevel="0" collapsed="false">
      <c r="P1782" s="1" t="n">
        <v>1779</v>
      </c>
      <c r="Q1782" s="147" t="n">
        <v>40072.7083198971</v>
      </c>
      <c r="R1782" s="147" t="n">
        <v>0.264978946016882</v>
      </c>
      <c r="S1782" s="147" t="n">
        <v>0.105277108494113</v>
      </c>
      <c r="T1782" s="147" t="n">
        <v>0.0125195038551777</v>
      </c>
    </row>
    <row r="1783" customFormat="false" ht="12.75" hidden="false" customHeight="true" outlineLevel="0" collapsed="false">
      <c r="P1783" s="1" t="n">
        <v>1780</v>
      </c>
      <c r="Q1783" s="147" t="n">
        <v>40094.5821258771</v>
      </c>
      <c r="R1783" s="147" t="n">
        <v>0.265313999980749</v>
      </c>
      <c r="S1783" s="147" t="n">
        <v>0.102955687595218</v>
      </c>
      <c r="T1783" s="147" t="n">
        <v>0.0155119349663592</v>
      </c>
    </row>
    <row r="1784" customFormat="false" ht="12.75" hidden="false" customHeight="true" outlineLevel="0" collapsed="false">
      <c r="P1784" s="1" t="n">
        <v>1781</v>
      </c>
      <c r="Q1784" s="147" t="n">
        <v>40117.5142495671</v>
      </c>
      <c r="R1784" s="147" t="n">
        <v>0.265984709522541</v>
      </c>
      <c r="S1784" s="147" t="n">
        <v>0.0951581149019836</v>
      </c>
      <c r="T1784" s="147" t="n">
        <v>0.0159575750979165</v>
      </c>
    </row>
    <row r="1785" customFormat="false" ht="12.75" hidden="false" customHeight="true" outlineLevel="0" collapsed="false">
      <c r="P1785" s="1" t="n">
        <v>1782</v>
      </c>
      <c r="Q1785" s="147" t="n">
        <v>40139.6401241771</v>
      </c>
      <c r="R1785" s="147" t="n">
        <v>0.266856625044967</v>
      </c>
      <c r="S1785" s="147" t="n">
        <v>0.0926280628794763</v>
      </c>
      <c r="T1785" s="147" t="n">
        <v>0.0184733249838476</v>
      </c>
    </row>
    <row r="1786" customFormat="false" ht="12.75" hidden="false" customHeight="true" outlineLevel="0" collapsed="false">
      <c r="P1786" s="1" t="n">
        <v>1783</v>
      </c>
      <c r="Q1786" s="147" t="n">
        <v>40162.3690244721</v>
      </c>
      <c r="R1786" s="147" t="n">
        <v>0.26781827441575</v>
      </c>
      <c r="S1786" s="147" t="n">
        <v>0.088611340842616</v>
      </c>
      <c r="T1786" s="147" t="n">
        <v>0.0185497091926592</v>
      </c>
    </row>
    <row r="1787" customFormat="false" ht="12.75" hidden="false" customHeight="true" outlineLevel="0" collapsed="false">
      <c r="P1787" s="1" t="n">
        <v>1784</v>
      </c>
      <c r="Q1787" s="147" t="n">
        <v>40184.1853570221</v>
      </c>
      <c r="R1787" s="147" t="n">
        <v>0.268644481910342</v>
      </c>
      <c r="S1787" s="147" t="n">
        <v>0.0870845002998456</v>
      </c>
      <c r="T1787" s="147" t="n">
        <v>0.0205198149412771</v>
      </c>
    </row>
    <row r="1788" customFormat="false" ht="12.75" hidden="false" customHeight="true" outlineLevel="0" collapsed="false">
      <c r="P1788" s="1" t="n">
        <v>1785</v>
      </c>
      <c r="Q1788" s="147" t="n">
        <v>40206.4829119831</v>
      </c>
      <c r="R1788" s="147" t="n">
        <v>0.269699919459419</v>
      </c>
      <c r="S1788" s="147" t="n">
        <v>0.0863074712195323</v>
      </c>
      <c r="T1788" s="147" t="n">
        <v>0.0217862820664583</v>
      </c>
    </row>
    <row r="1789" customFormat="false" ht="12.75" hidden="false" customHeight="true" outlineLevel="0" collapsed="false">
      <c r="P1789" s="1" t="n">
        <v>1786</v>
      </c>
      <c r="Q1789" s="147" t="n">
        <v>40228.897771436</v>
      </c>
      <c r="R1789" s="147" t="n">
        <v>0.270541386965684</v>
      </c>
      <c r="S1789" s="147" t="n">
        <v>0.0880979395662708</v>
      </c>
      <c r="T1789" s="147" t="n">
        <v>0.0225474527209754</v>
      </c>
    </row>
    <row r="1790" customFormat="false" ht="12.75" hidden="false" customHeight="true" outlineLevel="0" collapsed="false">
      <c r="P1790" s="1" t="n">
        <v>1787</v>
      </c>
      <c r="Q1790" s="147" t="n">
        <v>40250.733343102</v>
      </c>
      <c r="R1790" s="147" t="n">
        <v>0.271422915646017</v>
      </c>
      <c r="S1790" s="147" t="n">
        <v>0.0889908393879908</v>
      </c>
      <c r="T1790" s="147" t="n">
        <v>0.0230609376171685</v>
      </c>
    </row>
    <row r="1791" customFormat="false" ht="12.75" hidden="false" customHeight="true" outlineLevel="0" collapsed="false">
      <c r="P1791" s="1" t="n">
        <v>1788</v>
      </c>
      <c r="Q1791" s="147" t="n">
        <v>40273.5104733391</v>
      </c>
      <c r="R1791" s="147" t="n">
        <v>0.271879672381632</v>
      </c>
      <c r="S1791" s="147" t="n">
        <v>0.096202378177313</v>
      </c>
      <c r="T1791" s="147" t="n">
        <v>0.024110437194553</v>
      </c>
    </row>
    <row r="1792" customFormat="false" ht="12.75" hidden="false" customHeight="true" outlineLevel="0" collapsed="false">
      <c r="P1792" s="1" t="n">
        <v>1789</v>
      </c>
      <c r="Q1792" s="147" t="n">
        <v>40295.428432576</v>
      </c>
      <c r="R1792" s="147" t="n">
        <v>0.272770028412026</v>
      </c>
      <c r="S1792" s="147" t="n">
        <v>0.0975367038713526</v>
      </c>
      <c r="T1792" s="147" t="n">
        <v>0.0234542281752013</v>
      </c>
    </row>
    <row r="1793" customFormat="false" ht="12.75" hidden="false" customHeight="true" outlineLevel="0" collapsed="false">
      <c r="P1793" s="1" t="n">
        <v>1790</v>
      </c>
      <c r="Q1793" s="147" t="n">
        <v>40318.337069248</v>
      </c>
      <c r="R1793" s="147" t="n">
        <v>0.27260904619741</v>
      </c>
      <c r="S1793" s="147" t="n">
        <v>0.10062425939295</v>
      </c>
      <c r="T1793" s="147" t="n">
        <v>0.0232667489428354</v>
      </c>
    </row>
    <row r="1794" customFormat="false" ht="12.75" hidden="false" customHeight="true" outlineLevel="0" collapsed="false">
      <c r="P1794" s="1" t="n">
        <v>1791</v>
      </c>
      <c r="Q1794" s="147" t="n">
        <v>40340.46682632</v>
      </c>
      <c r="R1794" s="147" t="n">
        <v>0.272619750016377</v>
      </c>
      <c r="S1794" s="147" t="n">
        <v>0.101760891447405</v>
      </c>
      <c r="T1794" s="147" t="n">
        <v>0.0215252191691813</v>
      </c>
    </row>
    <row r="1795" customFormat="false" ht="12.75" hidden="false" customHeight="true" outlineLevel="0" collapsed="false">
      <c r="P1795" s="1" t="n">
        <v>1792</v>
      </c>
      <c r="Q1795" s="147" t="n">
        <v>40363.086381686</v>
      </c>
      <c r="R1795" s="147" t="n">
        <v>0.271235068151859</v>
      </c>
      <c r="S1795" s="147" t="n">
        <v>0.101222989622852</v>
      </c>
      <c r="T1795" s="147" t="n">
        <v>0.0210591043281341</v>
      </c>
    </row>
    <row r="1796" customFormat="false" ht="12.75" hidden="false" customHeight="true" outlineLevel="0" collapsed="false">
      <c r="P1796" s="1" t="n">
        <v>1793</v>
      </c>
      <c r="Q1796" s="147" t="n">
        <v>40384.778042386</v>
      </c>
      <c r="R1796" s="147" t="n">
        <v>0.270160453358147</v>
      </c>
      <c r="S1796" s="147" t="n">
        <v>0.102114747143992</v>
      </c>
      <c r="T1796" s="147" t="n">
        <v>0.0188626859329069</v>
      </c>
    </row>
    <row r="1797" customFormat="false" ht="12.75" hidden="false" customHeight="true" outlineLevel="0" collapsed="false">
      <c r="P1797" s="1" t="n">
        <v>1794</v>
      </c>
      <c r="Q1797" s="147" t="n">
        <v>40407.7133600811</v>
      </c>
      <c r="R1797" s="147" t="n">
        <v>0.268070067495039</v>
      </c>
      <c r="S1797" s="147" t="n">
        <v>0.100612446238002</v>
      </c>
      <c r="T1797" s="147" t="n">
        <v>0.0189003826633491</v>
      </c>
    </row>
    <row r="1798" customFormat="false" ht="12.75" hidden="false" customHeight="true" outlineLevel="0" collapsed="false">
      <c r="P1798" s="1" t="n">
        <v>1795</v>
      </c>
      <c r="Q1798" s="147" t="n">
        <v>40429.681272729</v>
      </c>
      <c r="R1798" s="147" t="n">
        <v>0.266365260305224</v>
      </c>
      <c r="S1798" s="147" t="n">
        <v>0.101108211016769</v>
      </c>
      <c r="T1798" s="147" t="n">
        <v>0.0170926282964824</v>
      </c>
    </row>
    <row r="1799" customFormat="false" ht="12.75" hidden="false" customHeight="true" outlineLevel="0" collapsed="false">
      <c r="P1799" s="1" t="n">
        <v>1796</v>
      </c>
      <c r="Q1799" s="147" t="n">
        <v>40452.349064502</v>
      </c>
      <c r="R1799" s="147" t="n">
        <v>0.264308029417385</v>
      </c>
      <c r="S1799" s="147" t="n">
        <v>0.100460015421401</v>
      </c>
      <c r="T1799" s="147" t="n">
        <v>0.0177086080281445</v>
      </c>
    </row>
    <row r="1800" customFormat="false" ht="12.75" hidden="false" customHeight="true" outlineLevel="0" collapsed="false">
      <c r="P1800" s="1" t="n">
        <v>1797</v>
      </c>
      <c r="Q1800" s="147" t="n">
        <v>40474.172584806</v>
      </c>
      <c r="R1800" s="147" t="n">
        <v>0.262583772266102</v>
      </c>
      <c r="S1800" s="147" t="n">
        <v>0.100822212491162</v>
      </c>
      <c r="T1800" s="147" t="n">
        <v>0.0163427416431493</v>
      </c>
    </row>
    <row r="1801" customFormat="false" ht="12.75" hidden="false" customHeight="true" outlineLevel="0" collapsed="false">
      <c r="P1801" s="1" t="n">
        <v>1798</v>
      </c>
      <c r="Q1801" s="147" t="n">
        <v>40497.1189515671</v>
      </c>
      <c r="R1801" s="147" t="n">
        <v>0.261629470555642</v>
      </c>
      <c r="S1801" s="147" t="n">
        <v>0.103604843834535</v>
      </c>
      <c r="T1801" s="147" t="n">
        <v>0.0174004919305208</v>
      </c>
    </row>
    <row r="1802" customFormat="false" ht="12.75" hidden="false" customHeight="true" outlineLevel="0" collapsed="false">
      <c r="P1802" s="1" t="n">
        <v>1799</v>
      </c>
      <c r="Q1802" s="147" t="n">
        <v>40519.3728527131</v>
      </c>
      <c r="R1802" s="147" t="n">
        <v>0.260682046624603</v>
      </c>
      <c r="S1802" s="147" t="n">
        <v>0.103330794103494</v>
      </c>
      <c r="T1802" s="147" t="n">
        <v>0.0172064529207662</v>
      </c>
    </row>
    <row r="1803" customFormat="false" ht="12.75" hidden="false" customHeight="true" outlineLevel="0" collapsed="false">
      <c r="P1803" s="1" t="n">
        <v>1800</v>
      </c>
      <c r="Q1803" s="147" t="n">
        <v>40542.4078202701</v>
      </c>
      <c r="R1803" s="147" t="n">
        <v>0.260857938017139</v>
      </c>
      <c r="S1803" s="147" t="n">
        <v>0.105371172281521</v>
      </c>
      <c r="T1803" s="147" t="n">
        <v>0.019023011855536</v>
      </c>
    </row>
    <row r="1804" customFormat="false" ht="12.75" hidden="false" customHeight="true" outlineLevel="0" collapsed="false">
      <c r="P1804" s="1" t="n">
        <v>1801</v>
      </c>
      <c r="Q1804" s="147" t="n">
        <v>40564.4431437791</v>
      </c>
      <c r="R1804" s="147" t="n">
        <v>0.261271063867096</v>
      </c>
      <c r="S1804" s="147" t="n">
        <v>0.103911291319004</v>
      </c>
      <c r="T1804" s="147" t="n">
        <v>0.0202298429100806</v>
      </c>
    </row>
    <row r="1805" customFormat="false" ht="12.75" hidden="false" customHeight="true" outlineLevel="0" collapsed="false">
      <c r="P1805" s="1" t="n">
        <v>1802</v>
      </c>
      <c r="Q1805" s="147" t="n">
        <v>40587.1822793071</v>
      </c>
      <c r="R1805" s="147" t="n">
        <v>0.262305042133708</v>
      </c>
      <c r="S1805" s="147" t="n">
        <v>0.101491652819825</v>
      </c>
      <c r="T1805" s="147" t="n">
        <v>0.0224776537412849</v>
      </c>
    </row>
    <row r="1806" customFormat="false" ht="12.75" hidden="false" customHeight="true" outlineLevel="0" collapsed="false">
      <c r="P1806" s="1" t="n">
        <v>1803</v>
      </c>
      <c r="Q1806" s="147" t="n">
        <v>40609.3470566091</v>
      </c>
      <c r="R1806" s="147" t="n">
        <v>0.263549352547896</v>
      </c>
      <c r="S1806" s="147" t="n">
        <v>0.0995423212972071</v>
      </c>
      <c r="T1806" s="147" t="n">
        <v>0.0244355536518368</v>
      </c>
    </row>
    <row r="1807" customFormat="false" ht="12.75" hidden="false" customHeight="true" outlineLevel="0" collapsed="false">
      <c r="P1807" s="1" t="n">
        <v>1804</v>
      </c>
      <c r="Q1807" s="147" t="n">
        <v>40631.5437827631</v>
      </c>
      <c r="R1807" s="147" t="n">
        <v>0.264603256023865</v>
      </c>
      <c r="S1807" s="147" t="n">
        <v>0.0975092227151912</v>
      </c>
      <c r="T1807" s="147" t="n">
        <v>0.0259744881731336</v>
      </c>
    </row>
    <row r="1808" customFormat="false" ht="12.75" hidden="false" customHeight="true" outlineLevel="0" collapsed="false">
      <c r="P1808" s="1" t="n">
        <v>1805</v>
      </c>
      <c r="Q1808" s="147" t="n">
        <v>40654.4134528501</v>
      </c>
      <c r="R1808" s="147" t="n">
        <v>0.265736023837928</v>
      </c>
      <c r="S1808" s="147" t="n">
        <v>0.0941566820431578</v>
      </c>
      <c r="T1808" s="147" t="n">
        <v>0.0260110344761679</v>
      </c>
    </row>
    <row r="1809" customFormat="false" ht="12.75" hidden="false" customHeight="true" outlineLevel="0" collapsed="false">
      <c r="P1809" s="1" t="n">
        <v>1806</v>
      </c>
      <c r="Q1809" s="147" t="n">
        <v>40676.1783746281</v>
      </c>
      <c r="R1809" s="147" t="n">
        <v>0.266195894523303</v>
      </c>
      <c r="S1809" s="147" t="n">
        <v>0.0943140530651252</v>
      </c>
      <c r="T1809" s="147" t="n">
        <v>0.0265182942543975</v>
      </c>
    </row>
    <row r="1810" customFormat="false" ht="12.75" hidden="false" customHeight="true" outlineLevel="0" collapsed="false">
      <c r="P1810" s="1" t="n">
        <v>1807</v>
      </c>
      <c r="Q1810" s="147" t="n">
        <v>40699.0834445641</v>
      </c>
      <c r="R1810" s="147" t="n">
        <v>0.266610437014828</v>
      </c>
      <c r="S1810" s="147" t="n">
        <v>0.0949965193600672</v>
      </c>
      <c r="T1810" s="147" t="n">
        <v>0.0254041331131591</v>
      </c>
    </row>
    <row r="1811" customFormat="false" ht="12.75" hidden="false" customHeight="true" outlineLevel="0" collapsed="false">
      <c r="P1811" s="1" t="n">
        <v>1808</v>
      </c>
      <c r="Q1811" s="147" t="n">
        <v>40720.9105134731</v>
      </c>
      <c r="R1811" s="147" t="n">
        <v>0.266984543938698</v>
      </c>
      <c r="S1811" s="147" t="n">
        <v>0.0969172000369122</v>
      </c>
      <c r="T1811" s="147" t="n">
        <v>0.0250877632064137</v>
      </c>
    </row>
    <row r="1812" customFormat="false" ht="12.75" hidden="false" customHeight="true" outlineLevel="0" collapsed="false">
      <c r="P1812" s="1" t="n">
        <v>1809</v>
      </c>
      <c r="Q1812" s="147" t="n">
        <v>40743.9187879171</v>
      </c>
      <c r="R1812" s="147" t="n">
        <v>0.266791411642248</v>
      </c>
      <c r="S1812" s="147" t="n">
        <v>0.110421082605564</v>
      </c>
      <c r="T1812" s="147" t="n">
        <v>0.0238727027117593</v>
      </c>
    </row>
    <row r="1813" customFormat="false" ht="12.75" hidden="false" customHeight="true" outlineLevel="0" collapsed="false">
      <c r="P1813" s="1" t="n">
        <v>1810</v>
      </c>
      <c r="Q1813" s="147" t="n">
        <v>40766.0110831181</v>
      </c>
      <c r="R1813" s="147" t="n">
        <v>0.266963205902114</v>
      </c>
      <c r="S1813" s="147" t="n">
        <v>0.112679534994031</v>
      </c>
      <c r="T1813" s="147" t="n">
        <v>0.0227576167340791</v>
      </c>
    </row>
    <row r="1814" customFormat="false" ht="12.75" hidden="false" customHeight="true" outlineLevel="0" collapsed="false">
      <c r="P1814" s="1" t="n">
        <v>1811</v>
      </c>
      <c r="Q1814" s="147" t="n">
        <v>40788.6144983991</v>
      </c>
      <c r="R1814" s="147" t="n">
        <v>0.26716255585935</v>
      </c>
      <c r="S1814" s="147" t="n">
        <v>0.116068220088724</v>
      </c>
      <c r="T1814" s="147" t="n">
        <v>0.0212863987021389</v>
      </c>
    </row>
    <row r="1815" customFormat="false" ht="12.75" hidden="false" customHeight="true" outlineLevel="0" collapsed="false">
      <c r="P1815" s="1" t="n">
        <v>1812</v>
      </c>
      <c r="Q1815" s="147" t="n">
        <v>40811.4071075541</v>
      </c>
      <c r="R1815" s="147" t="n">
        <v>0.267076196908477</v>
      </c>
      <c r="S1815" s="147" t="n">
        <v>0.11872891855132</v>
      </c>
      <c r="T1815" s="147" t="n">
        <v>0.0212859104050256</v>
      </c>
    </row>
    <row r="1816" customFormat="false" ht="12.75" hidden="false" customHeight="true" outlineLevel="0" collapsed="false">
      <c r="P1816" s="1" t="n">
        <v>1813</v>
      </c>
      <c r="Q1816" s="147" t="n">
        <v>40834.4235894161</v>
      </c>
      <c r="R1816" s="147" t="n">
        <v>0.266576492088884</v>
      </c>
      <c r="S1816" s="147" t="n">
        <v>0.118443318381886</v>
      </c>
      <c r="T1816" s="147" t="n">
        <v>0.0200549202043941</v>
      </c>
    </row>
    <row r="1817" customFormat="false" ht="12.75" hidden="false" customHeight="true" outlineLevel="0" collapsed="false">
      <c r="P1817" s="1" t="n">
        <v>1814</v>
      </c>
      <c r="Q1817" s="147" t="n">
        <v>40857.4033274141</v>
      </c>
      <c r="R1817" s="147" t="n">
        <v>0.266030247874285</v>
      </c>
      <c r="S1817" s="147" t="n">
        <v>0.113274420640758</v>
      </c>
      <c r="T1817" s="147" t="n">
        <v>0.0199251461875118</v>
      </c>
    </row>
    <row r="1818" customFormat="false" ht="12.75" hidden="false" customHeight="true" outlineLevel="0" collapsed="false">
      <c r="P1818" s="1" t="n">
        <v>1815</v>
      </c>
      <c r="Q1818" s="147" t="n">
        <v>40880.2842357761</v>
      </c>
      <c r="R1818" s="147" t="n">
        <v>0.26532303579383</v>
      </c>
      <c r="S1818" s="147" t="n">
        <v>0.107233871584028</v>
      </c>
      <c r="T1818" s="147" t="n">
        <v>0.0191762593812874</v>
      </c>
    </row>
    <row r="1819" customFormat="false" ht="12.75" hidden="false" customHeight="true" outlineLevel="0" collapsed="false">
      <c r="P1819" s="1" t="n">
        <v>1816</v>
      </c>
      <c r="Q1819" s="147" t="n">
        <v>40903.0405618261</v>
      </c>
      <c r="R1819" s="147" t="n">
        <v>0.264476650683737</v>
      </c>
      <c r="S1819" s="147" t="n">
        <v>0.102583923669888</v>
      </c>
      <c r="T1819" s="147" t="n">
        <v>0.0186489857828307</v>
      </c>
    </row>
    <row r="1820" customFormat="false" ht="12.75" hidden="false" customHeight="true" outlineLevel="0" collapsed="false">
      <c r="P1820" s="1" t="n">
        <v>1817</v>
      </c>
      <c r="Q1820" s="147" t="n">
        <v>40925.9986618201</v>
      </c>
      <c r="R1820" s="147" t="n">
        <v>0.263400767626541</v>
      </c>
      <c r="S1820" s="147" t="n">
        <v>0.0981481373899758</v>
      </c>
      <c r="T1820" s="147" t="n">
        <v>0.0188590829467304</v>
      </c>
    </row>
    <row r="1821" customFormat="false" ht="12.75" hidden="false" customHeight="true" outlineLevel="0" collapsed="false">
      <c r="P1821" s="1" t="n">
        <v>1818</v>
      </c>
      <c r="Q1821" s="147" t="n">
        <v>40948.2632697631</v>
      </c>
      <c r="R1821" s="147" t="n">
        <v>0.262325863679557</v>
      </c>
      <c r="S1821" s="147" t="n">
        <v>0.0964433217194468</v>
      </c>
      <c r="T1821" s="147" t="n">
        <v>0.0184923514570165</v>
      </c>
    </row>
    <row r="1822" customFormat="false" ht="12.75" hidden="false" customHeight="true" outlineLevel="0" collapsed="false">
      <c r="P1822" s="1" t="n">
        <v>1819</v>
      </c>
      <c r="Q1822" s="147" t="n">
        <v>40970.9835684071</v>
      </c>
      <c r="R1822" s="147" t="n">
        <v>0.260918144565267</v>
      </c>
      <c r="S1822" s="147" t="n">
        <v>0.0936801601510227</v>
      </c>
      <c r="T1822" s="147" t="n">
        <v>0.018742378318513</v>
      </c>
    </row>
    <row r="1823" customFormat="false" ht="12.75" hidden="false" customHeight="true" outlineLevel="0" collapsed="false">
      <c r="P1823" s="1" t="n">
        <v>1820</v>
      </c>
      <c r="Q1823" s="147" t="n">
        <v>40992.9726733601</v>
      </c>
      <c r="R1823" s="147" t="n">
        <v>0.26011626373038</v>
      </c>
      <c r="S1823" s="147" t="n">
        <v>0.0941204653997713</v>
      </c>
      <c r="T1823" s="147" t="n">
        <v>0.018955835000059</v>
      </c>
    </row>
    <row r="1824" customFormat="false" ht="12.75" hidden="false" customHeight="true" outlineLevel="0" collapsed="false">
      <c r="P1824" s="1" t="n">
        <v>1821</v>
      </c>
      <c r="Q1824" s="147" t="n">
        <v>41015.5509527801</v>
      </c>
      <c r="R1824" s="147" t="n">
        <v>0.259628241018504</v>
      </c>
      <c r="S1824" s="147" t="n">
        <v>0.0958516168986759</v>
      </c>
      <c r="T1824" s="147" t="n">
        <v>0.0184389580776406</v>
      </c>
    </row>
    <row r="1825" customFormat="false" ht="12.75" hidden="false" customHeight="true" outlineLevel="0" collapsed="false">
      <c r="P1825" s="1" t="n">
        <v>1822</v>
      </c>
      <c r="Q1825" s="147" t="n">
        <v>41037.9222058481</v>
      </c>
      <c r="R1825" s="147" t="n">
        <v>0.259799313657647</v>
      </c>
      <c r="S1825" s="147" t="n">
        <v>0.0972258037129127</v>
      </c>
      <c r="T1825" s="147" t="n">
        <v>0.0194556019099476</v>
      </c>
    </row>
    <row r="1826" customFormat="false" ht="12.75" hidden="false" customHeight="true" outlineLevel="0" collapsed="false">
      <c r="P1826" s="1" t="n">
        <v>1823</v>
      </c>
      <c r="Q1826" s="147" t="n">
        <v>41060.8926610831</v>
      </c>
      <c r="R1826" s="147" t="n">
        <v>0.260819177232805</v>
      </c>
      <c r="S1826" s="147" t="n">
        <v>0.103140281306634</v>
      </c>
      <c r="T1826" s="147" t="n">
        <v>0.0189199117896744</v>
      </c>
    </row>
    <row r="1827" customFormat="false" ht="12.75" hidden="false" customHeight="true" outlineLevel="0" collapsed="false">
      <c r="P1827" s="1" t="n">
        <v>1824</v>
      </c>
      <c r="Q1827" s="147" t="n">
        <v>41083.5302022171</v>
      </c>
      <c r="R1827" s="147" t="n">
        <v>0.262415691137572</v>
      </c>
      <c r="S1827" s="147" t="n">
        <v>0.106537627296566</v>
      </c>
      <c r="T1827" s="147" t="n">
        <v>0.0201710780271202</v>
      </c>
    </row>
    <row r="1828" customFormat="false" ht="12.75" hidden="false" customHeight="true" outlineLevel="0" collapsed="false">
      <c r="P1828" s="1" t="n">
        <v>1825</v>
      </c>
      <c r="Q1828" s="147" t="n">
        <v>41106.1874116621</v>
      </c>
      <c r="R1828" s="147" t="n">
        <v>0.264279155274646</v>
      </c>
      <c r="S1828" s="147" t="n">
        <v>0.109426514357975</v>
      </c>
      <c r="T1828" s="147" t="n">
        <v>0.0208110020397829</v>
      </c>
    </row>
    <row r="1829" customFormat="false" ht="12.75" hidden="false" customHeight="true" outlineLevel="0" collapsed="false">
      <c r="P1829" s="1" t="n">
        <v>1826</v>
      </c>
      <c r="Q1829" s="147" t="n">
        <v>41128.6897609561</v>
      </c>
      <c r="R1829" s="147" t="n">
        <v>0.266195059813879</v>
      </c>
      <c r="S1829" s="147" t="n">
        <v>0.109341438131335</v>
      </c>
      <c r="T1829" s="147" t="n">
        <v>0.0211463179732944</v>
      </c>
    </row>
    <row r="1830" customFormat="false" ht="12.75" hidden="false" customHeight="true" outlineLevel="0" collapsed="false">
      <c r="P1830" s="1" t="n">
        <v>1827</v>
      </c>
      <c r="Q1830" s="147" t="n">
        <v>41151.3031890161</v>
      </c>
      <c r="R1830" s="147" t="n">
        <v>0.267567685809562</v>
      </c>
      <c r="S1830" s="147" t="n">
        <v>0.107046016598604</v>
      </c>
      <c r="T1830" s="147" t="n">
        <v>0.0214906975882263</v>
      </c>
    </row>
    <row r="1831" customFormat="false" ht="12.75" hidden="false" customHeight="true" outlineLevel="0" collapsed="false">
      <c r="P1831" s="1" t="n">
        <v>1828</v>
      </c>
      <c r="Q1831" s="147" t="n">
        <v>41173.9203415121</v>
      </c>
      <c r="R1831" s="147" t="n">
        <v>0.268398135774279</v>
      </c>
      <c r="S1831" s="147" t="n">
        <v>0.103255382941073</v>
      </c>
      <c r="T1831" s="147" t="n">
        <v>0.0214186179363003</v>
      </c>
    </row>
    <row r="1832" customFormat="false" ht="12.75" hidden="false" customHeight="true" outlineLevel="0" collapsed="false">
      <c r="P1832" s="1" t="n">
        <v>1829</v>
      </c>
      <c r="Q1832" s="147" t="n">
        <v>41196.4398369971</v>
      </c>
      <c r="R1832" s="147" t="n">
        <v>0.268607571764221</v>
      </c>
      <c r="S1832" s="147" t="n">
        <v>0.10046218166602</v>
      </c>
      <c r="T1832" s="147" t="n">
        <v>0.0216615037783902</v>
      </c>
    </row>
    <row r="1833" customFormat="false" ht="12.75" hidden="false" customHeight="true" outlineLevel="0" collapsed="false">
      <c r="P1833" s="1" t="n">
        <v>1830</v>
      </c>
      <c r="Q1833" s="147" t="n">
        <v>41218.7389884421</v>
      </c>
      <c r="R1833" s="147" t="n">
        <v>0.268661497932758</v>
      </c>
      <c r="S1833" s="147" t="n">
        <v>0.0979838988615708</v>
      </c>
      <c r="T1833" s="147" t="n">
        <v>0.0214881677949666</v>
      </c>
    </row>
    <row r="1834" customFormat="false" ht="12.75" hidden="false" customHeight="true" outlineLevel="0" collapsed="false">
      <c r="P1834" s="1" t="n">
        <v>1831</v>
      </c>
      <c r="Q1834" s="147" t="n">
        <v>41240.9940988371</v>
      </c>
      <c r="R1834" s="147" t="n">
        <v>0.268451560069262</v>
      </c>
      <c r="S1834" s="147" t="n">
        <v>0.0962773497144215</v>
      </c>
      <c r="T1834" s="147" t="n">
        <v>0.0215136692910914</v>
      </c>
    </row>
    <row r="1835" customFormat="false" ht="12.75" hidden="false" customHeight="true" outlineLevel="0" collapsed="false">
      <c r="P1835" s="1" t="n">
        <v>1832</v>
      </c>
      <c r="Q1835" s="147" t="n">
        <v>41263.2202065611</v>
      </c>
      <c r="R1835" s="147" t="n">
        <v>0.268444452083508</v>
      </c>
      <c r="S1835" s="147" t="n">
        <v>0.0937579282901075</v>
      </c>
      <c r="T1835" s="147" t="n">
        <v>0.0216626224870016</v>
      </c>
    </row>
    <row r="1836" customFormat="false" ht="12.75" hidden="false" customHeight="true" outlineLevel="0" collapsed="false">
      <c r="P1836" s="1" t="n">
        <v>1833</v>
      </c>
      <c r="Q1836" s="147" t="n">
        <v>41285.2379919671</v>
      </c>
      <c r="R1836" s="147" t="n">
        <v>0.268613552556352</v>
      </c>
      <c r="S1836" s="147" t="n">
        <v>0.0913277614350897</v>
      </c>
      <c r="T1836" s="147" t="n">
        <v>0.0221332270842814</v>
      </c>
    </row>
    <row r="1837" customFormat="false" ht="12.75" hidden="false" customHeight="true" outlineLevel="0" collapsed="false">
      <c r="P1837" s="1" t="n">
        <v>1834</v>
      </c>
      <c r="Q1837" s="147" t="n">
        <v>41307.8246722901</v>
      </c>
      <c r="R1837" s="147" t="n">
        <v>0.268934136470289</v>
      </c>
      <c r="S1837" s="147" t="n">
        <v>0.0885805829054873</v>
      </c>
      <c r="T1837" s="147" t="n">
        <v>0.0230244524573218</v>
      </c>
    </row>
    <row r="1838" customFormat="false" ht="12.75" hidden="false" customHeight="true" outlineLevel="0" collapsed="false">
      <c r="P1838" s="1" t="n">
        <v>1835</v>
      </c>
      <c r="Q1838" s="147" t="n">
        <v>41330.4895714711</v>
      </c>
      <c r="R1838" s="147" t="n">
        <v>0.26920328320833</v>
      </c>
      <c r="S1838" s="147" t="n">
        <v>0.087774310876765</v>
      </c>
      <c r="T1838" s="147" t="n">
        <v>0.02343954137174</v>
      </c>
    </row>
    <row r="1839" customFormat="false" ht="12.75" hidden="false" customHeight="true" outlineLevel="0" collapsed="false">
      <c r="P1839" s="1" t="n">
        <v>1836</v>
      </c>
      <c r="Q1839" s="147" t="n">
        <v>41352.8199862281</v>
      </c>
      <c r="R1839" s="147" t="n">
        <v>0.269544443047359</v>
      </c>
      <c r="S1839" s="147" t="n">
        <v>0.0883620018567266</v>
      </c>
      <c r="T1839" s="147" t="n">
        <v>0.0233982587698786</v>
      </c>
    </row>
    <row r="1840" customFormat="false" ht="12.75" hidden="false" customHeight="true" outlineLevel="0" collapsed="false">
      <c r="P1840" s="1" t="n">
        <v>1837</v>
      </c>
      <c r="Q1840" s="147" t="n">
        <v>41375.2969569501</v>
      </c>
      <c r="R1840" s="147" t="n">
        <v>0.269661445695365</v>
      </c>
      <c r="S1840" s="147" t="n">
        <v>0.0903107156259004</v>
      </c>
      <c r="T1840" s="147" t="n">
        <v>0.0225922711487574</v>
      </c>
    </row>
    <row r="1841" customFormat="false" ht="12.75" hidden="false" customHeight="true" outlineLevel="0" collapsed="false">
      <c r="P1841" s="1" t="n">
        <v>1838</v>
      </c>
      <c r="Q1841" s="147" t="n">
        <v>41397.8525639871</v>
      </c>
      <c r="R1841" s="147" t="n">
        <v>0.269560768758039</v>
      </c>
      <c r="S1841" s="147" t="n">
        <v>0.0930461034279774</v>
      </c>
      <c r="T1841" s="147" t="n">
        <v>0.0211886106507746</v>
      </c>
    </row>
    <row r="1842" customFormat="false" ht="12.75" hidden="false" customHeight="true" outlineLevel="0" collapsed="false">
      <c r="P1842" s="1" t="n">
        <v>1839</v>
      </c>
      <c r="Q1842" s="147" t="n">
        <v>41420.0168692781</v>
      </c>
      <c r="R1842" s="147" t="n">
        <v>0.269228660201016</v>
      </c>
      <c r="S1842" s="147" t="n">
        <v>0.0956696590289784</v>
      </c>
      <c r="T1842" s="147" t="n">
        <v>0.0194184864611348</v>
      </c>
    </row>
    <row r="1843" customFormat="false" ht="12.75" hidden="false" customHeight="true" outlineLevel="0" collapsed="false">
      <c r="P1843" s="1" t="n">
        <v>1840</v>
      </c>
      <c r="Q1843" s="147" t="n">
        <v>41442.3359345711</v>
      </c>
      <c r="R1843" s="147" t="n">
        <v>0.268776117304722</v>
      </c>
      <c r="S1843" s="147" t="n">
        <v>0.0982099213719722</v>
      </c>
      <c r="T1843" s="147" t="n">
        <v>0.0177680320337668</v>
      </c>
    </row>
    <row r="1844" customFormat="false" ht="12.75" hidden="false" customHeight="true" outlineLevel="0" collapsed="false">
      <c r="P1844" s="1" t="n">
        <v>1841</v>
      </c>
      <c r="Q1844" s="147" t="n">
        <v>41464.3800749121</v>
      </c>
      <c r="R1844" s="147" t="n">
        <v>0.268258225018225</v>
      </c>
      <c r="S1844" s="147" t="n">
        <v>0.0995372796611429</v>
      </c>
      <c r="T1844" s="147" t="n">
        <v>0.0164373779105948</v>
      </c>
    </row>
    <row r="1845" customFormat="false" ht="12.75" hidden="false" customHeight="true" outlineLevel="0" collapsed="false">
      <c r="P1845" s="1" t="n">
        <v>1842</v>
      </c>
      <c r="Q1845" s="147" t="n">
        <v>41486.6323512311</v>
      </c>
      <c r="R1845" s="147" t="n">
        <v>0.267882450849558</v>
      </c>
      <c r="S1845" s="147" t="n">
        <v>0.101388611462716</v>
      </c>
      <c r="T1845" s="147" t="n">
        <v>0.015712485931114</v>
      </c>
    </row>
    <row r="1846" customFormat="false" ht="12.75" hidden="false" customHeight="true" outlineLevel="0" collapsed="false">
      <c r="P1846" s="1" t="n">
        <v>1843</v>
      </c>
      <c r="Q1846" s="147" t="n">
        <v>41508.2348755361</v>
      </c>
      <c r="R1846" s="147" t="n">
        <v>0.267837493425074</v>
      </c>
      <c r="S1846" s="147" t="n">
        <v>0.100883849531364</v>
      </c>
      <c r="T1846" s="147" t="n">
        <v>0.0153806982111328</v>
      </c>
    </row>
    <row r="1847" customFormat="false" ht="12.75" hidden="false" customHeight="true" outlineLevel="0" collapsed="false">
      <c r="P1847" s="1" t="n">
        <v>1844</v>
      </c>
      <c r="Q1847" s="147" t="n">
        <v>41530.8413832401</v>
      </c>
      <c r="R1847" s="147" t="n">
        <v>0.268277409113481</v>
      </c>
      <c r="S1847" s="147" t="n">
        <v>0.0998245582761533</v>
      </c>
      <c r="T1847" s="147" t="n">
        <v>0.0167101222928078</v>
      </c>
    </row>
    <row r="1848" customFormat="false" ht="12.75" hidden="false" customHeight="true" outlineLevel="0" collapsed="false">
      <c r="P1848" s="1" t="n">
        <v>1845</v>
      </c>
      <c r="Q1848" s="147" t="n">
        <v>41552.7056959391</v>
      </c>
      <c r="R1848" s="147" t="n">
        <v>0.268783939660263</v>
      </c>
      <c r="S1848" s="147" t="n">
        <v>0.0985090104799152</v>
      </c>
      <c r="T1848" s="147" t="n">
        <v>0.0175767102240119</v>
      </c>
    </row>
    <row r="1849" customFormat="false" ht="12.75" hidden="false" customHeight="true" outlineLevel="0" collapsed="false">
      <c r="P1849" s="1" t="n">
        <v>1846</v>
      </c>
      <c r="Q1849" s="147" t="n">
        <v>41575.2152120511</v>
      </c>
      <c r="R1849" s="147" t="n">
        <v>0.269737329321006</v>
      </c>
      <c r="S1849" s="147" t="n">
        <v>0.0968807439260106</v>
      </c>
      <c r="T1849" s="147" t="n">
        <v>0.0198885578273872</v>
      </c>
    </row>
    <row r="1850" customFormat="false" ht="12.75" hidden="false" customHeight="true" outlineLevel="0" collapsed="false">
      <c r="P1850" s="1" t="n">
        <v>1847</v>
      </c>
      <c r="Q1850" s="147" t="n">
        <v>41597.2210049951</v>
      </c>
      <c r="R1850" s="147" t="n">
        <v>0.270383548127551</v>
      </c>
      <c r="S1850" s="147" t="n">
        <v>0.0958303299739953</v>
      </c>
      <c r="T1850" s="147" t="n">
        <v>0.0219488371012392</v>
      </c>
    </row>
    <row r="1851" customFormat="false" ht="12.75" hidden="false" customHeight="true" outlineLevel="0" collapsed="false">
      <c r="P1851" s="1" t="n">
        <v>1848</v>
      </c>
      <c r="Q1851" s="147" t="n">
        <v>41620.0811323261</v>
      </c>
      <c r="R1851" s="147" t="n">
        <v>0.271337092883286</v>
      </c>
      <c r="S1851" s="147" t="n">
        <v>0.095723697916905</v>
      </c>
      <c r="T1851" s="147" t="n">
        <v>0.0248860998980119</v>
      </c>
    </row>
    <row r="1852" customFormat="false" ht="12.75" hidden="false" customHeight="true" outlineLevel="0" collapsed="false">
      <c r="P1852" s="1" t="n">
        <v>1849</v>
      </c>
      <c r="Q1852" s="147" t="n">
        <v>41642.2136744941</v>
      </c>
      <c r="R1852" s="147" t="n">
        <v>0.271660146147864</v>
      </c>
      <c r="S1852" s="147" t="n">
        <v>0.0965202266810313</v>
      </c>
      <c r="T1852" s="147" t="n">
        <v>0.0278586091066993</v>
      </c>
    </row>
    <row r="1853" customFormat="false" ht="12.75" hidden="false" customHeight="true" outlineLevel="0" collapsed="false">
      <c r="P1853" s="1" t="n">
        <v>1850</v>
      </c>
      <c r="Q1853" s="147" t="n">
        <v>41664.8530206161</v>
      </c>
      <c r="R1853" s="147" t="n">
        <v>0.271522399880385</v>
      </c>
      <c r="S1853" s="147" t="n">
        <v>0.0994999815761744</v>
      </c>
      <c r="T1853" s="147" t="n">
        <v>0.0301404182336501</v>
      </c>
    </row>
    <row r="1854" customFormat="false" ht="12.75" hidden="false" customHeight="true" outlineLevel="0" collapsed="false">
      <c r="P1854" s="1" t="n">
        <v>1851</v>
      </c>
      <c r="Q1854" s="147" t="n">
        <v>41687.3161436341</v>
      </c>
      <c r="R1854" s="147" t="n">
        <v>0.271304454118885</v>
      </c>
      <c r="S1854" s="147" t="n">
        <v>0.103638881960559</v>
      </c>
      <c r="T1854" s="147" t="n">
        <v>0.0327532259747803</v>
      </c>
    </row>
    <row r="1855" customFormat="false" ht="12.75" hidden="false" customHeight="true" outlineLevel="0" collapsed="false">
      <c r="P1855" s="1" t="n">
        <v>1852</v>
      </c>
      <c r="Q1855" s="147" t="n">
        <v>41709.8237172731</v>
      </c>
      <c r="R1855" s="147" t="n">
        <v>0.270485669107733</v>
      </c>
      <c r="S1855" s="147" t="n">
        <v>0.107870060691155</v>
      </c>
      <c r="T1855" s="147" t="n">
        <v>0.0346016802418157</v>
      </c>
    </row>
    <row r="1856" customFormat="false" ht="12.75" hidden="false" customHeight="true" outlineLevel="0" collapsed="false">
      <c r="P1856" s="1" t="n">
        <v>1853</v>
      </c>
      <c r="Q1856" s="147" t="n">
        <v>41732.1880839741</v>
      </c>
      <c r="R1856" s="147" t="n">
        <v>0.269899202858801</v>
      </c>
      <c r="S1856" s="147" t="n">
        <v>0.11053690552474</v>
      </c>
      <c r="T1856" s="147" t="n">
        <v>0.0362882098210474</v>
      </c>
    </row>
    <row r="1857" customFormat="false" ht="12.75" hidden="false" customHeight="true" outlineLevel="0" collapsed="false">
      <c r="P1857" s="1" t="n">
        <v>1854</v>
      </c>
      <c r="Q1857" s="147" t="n">
        <v>41754.6416075501</v>
      </c>
      <c r="R1857" s="147" t="n">
        <v>0.269173280637545</v>
      </c>
      <c r="S1857" s="147" t="n">
        <v>0.111489860109834</v>
      </c>
      <c r="T1857" s="147" t="n">
        <v>0.0372915295568243</v>
      </c>
    </row>
    <row r="1858" customFormat="false" ht="12.75" hidden="false" customHeight="true" outlineLevel="0" collapsed="false">
      <c r="P1858" s="1" t="n">
        <v>1855</v>
      </c>
      <c r="Q1858" s="147" t="n">
        <v>41777.0643432181</v>
      </c>
      <c r="R1858" s="147" t="n">
        <v>0.268394264616423</v>
      </c>
      <c r="S1858" s="147" t="n">
        <v>0.109349829757462</v>
      </c>
      <c r="T1858" s="147" t="n">
        <v>0.0375321677306565</v>
      </c>
    </row>
    <row r="1859" customFormat="false" ht="12.75" hidden="false" customHeight="true" outlineLevel="0" collapsed="false">
      <c r="P1859" s="1" t="n">
        <v>1856</v>
      </c>
      <c r="Q1859" s="147" t="n">
        <v>41799.8548870771</v>
      </c>
      <c r="R1859" s="147" t="n">
        <v>0.267753378942706</v>
      </c>
      <c r="S1859" s="147" t="n">
        <v>0.102924442335036</v>
      </c>
      <c r="T1859" s="147" t="n">
        <v>0.0371813536430049</v>
      </c>
    </row>
    <row r="1860" customFormat="false" ht="12.75" hidden="false" customHeight="true" outlineLevel="0" collapsed="false">
      <c r="P1860" s="1" t="n">
        <v>1857</v>
      </c>
      <c r="Q1860" s="147" t="n">
        <v>41822.7602726471</v>
      </c>
      <c r="R1860" s="147" t="n">
        <v>0.267121781260625</v>
      </c>
      <c r="S1860" s="147" t="n">
        <v>0.0955774862535051</v>
      </c>
      <c r="T1860" s="147" t="n">
        <v>0.0365598580998488</v>
      </c>
    </row>
    <row r="1861" customFormat="false" ht="12.75" hidden="false" customHeight="true" outlineLevel="0" collapsed="false">
      <c r="P1861" s="1" t="n">
        <v>1858</v>
      </c>
      <c r="Q1861" s="147" t="n">
        <v>41845.6984548861</v>
      </c>
      <c r="R1861" s="147" t="n">
        <v>0.266453643393755</v>
      </c>
      <c r="S1861" s="147" t="n">
        <v>0.0891572964852464</v>
      </c>
      <c r="T1861" s="147" t="n">
        <v>0.0352829322962529</v>
      </c>
    </row>
    <row r="1862" customFormat="false" ht="12.75" hidden="false" customHeight="true" outlineLevel="0" collapsed="false">
      <c r="P1862" s="1" t="n">
        <v>1859</v>
      </c>
      <c r="Q1862" s="147" t="n">
        <v>41868.6692453651</v>
      </c>
      <c r="R1862" s="147" t="n">
        <v>0.265981729902795</v>
      </c>
      <c r="S1862" s="147" t="n">
        <v>0.0834808322632012</v>
      </c>
      <c r="T1862" s="147" t="n">
        <v>0.033558349618234</v>
      </c>
    </row>
    <row r="1863" customFormat="false" ht="12.75" hidden="false" customHeight="true" outlineLevel="0" collapsed="false">
      <c r="P1863" s="1" t="n">
        <v>1860</v>
      </c>
      <c r="Q1863" s="147" t="n">
        <v>41891.2846933231</v>
      </c>
      <c r="R1863" s="147" t="n">
        <v>0.265768938966596</v>
      </c>
      <c r="S1863" s="147" t="n">
        <v>0.0790220972045628</v>
      </c>
      <c r="T1863" s="147" t="n">
        <v>0.0315958559191996</v>
      </c>
    </row>
    <row r="1864" customFormat="false" ht="12.75" hidden="false" customHeight="true" outlineLevel="0" collapsed="false">
      <c r="P1864" s="1" t="n">
        <v>1861</v>
      </c>
      <c r="Q1864" s="147" t="n">
        <v>41914.1181339111</v>
      </c>
      <c r="R1864" s="147" t="n">
        <v>0.265865760515296</v>
      </c>
      <c r="S1864" s="147" t="n">
        <v>0.0758818112808099</v>
      </c>
      <c r="T1864" s="147" t="n">
        <v>0.0297908811664126</v>
      </c>
    </row>
    <row r="1865" customFormat="false" ht="12.75" hidden="false" customHeight="true" outlineLevel="0" collapsed="false">
      <c r="P1865" s="1" t="n">
        <v>1862</v>
      </c>
      <c r="Q1865" s="147" t="n">
        <v>41936.9412120691</v>
      </c>
      <c r="R1865" s="147" t="n">
        <v>0.266052934110324</v>
      </c>
      <c r="S1865" s="147" t="n">
        <v>0.0740004228490656</v>
      </c>
      <c r="T1865" s="147" t="n">
        <v>0.0279580991726017</v>
      </c>
    </row>
    <row r="1866" customFormat="false" ht="12.75" hidden="false" customHeight="true" outlineLevel="0" collapsed="false">
      <c r="P1866" s="1" t="n">
        <v>1863</v>
      </c>
      <c r="Q1866" s="147" t="n">
        <v>41959.835587854</v>
      </c>
      <c r="R1866" s="147" t="n">
        <v>0.266334151106018</v>
      </c>
      <c r="S1866" s="147" t="n">
        <v>0.0741982394662142</v>
      </c>
      <c r="T1866" s="147" t="n">
        <v>0.026674829468694</v>
      </c>
    </row>
    <row r="1867" customFormat="false" ht="12.75" hidden="false" customHeight="true" outlineLevel="0" collapsed="false">
      <c r="P1867" s="1" t="n">
        <v>1864</v>
      </c>
      <c r="Q1867" s="147" t="n">
        <v>41982.6999397181</v>
      </c>
      <c r="R1867" s="147" t="n">
        <v>0.26664718514134</v>
      </c>
      <c r="S1867" s="147" t="n">
        <v>0.0759053078688151</v>
      </c>
      <c r="T1867" s="147" t="n">
        <v>0.0253984653074786</v>
      </c>
    </row>
    <row r="1868" customFormat="false" ht="12.75" hidden="false" customHeight="true" outlineLevel="0" collapsed="false">
      <c r="P1868" s="1" t="n">
        <v>1865</v>
      </c>
      <c r="Q1868" s="147" t="n">
        <v>42005.272996685</v>
      </c>
      <c r="R1868" s="147" t="n">
        <v>0.267129039245642</v>
      </c>
      <c r="S1868" s="147" t="n">
        <v>0.0779899162726796</v>
      </c>
      <c r="T1868" s="147" t="n">
        <v>0.0242625367446841</v>
      </c>
    </row>
    <row r="1869" customFormat="false" ht="12.75" hidden="false" customHeight="true" outlineLevel="0" collapsed="false">
      <c r="P1869" s="1" t="n">
        <v>1866</v>
      </c>
      <c r="Q1869" s="147" t="n">
        <v>42028.190994245</v>
      </c>
      <c r="R1869" s="147" t="n">
        <v>0.267824110079512</v>
      </c>
      <c r="S1869" s="147" t="n">
        <v>0.0802478704841478</v>
      </c>
      <c r="T1869" s="147" t="n">
        <v>0.0234056989262822</v>
      </c>
    </row>
    <row r="1870" customFormat="false" ht="12.75" hidden="false" customHeight="true" outlineLevel="0" collapsed="false">
      <c r="P1870" s="1" t="n">
        <v>1867</v>
      </c>
      <c r="Q1870" s="147" t="n">
        <v>42050.894072783</v>
      </c>
      <c r="R1870" s="147" t="n">
        <v>0.26855580920681</v>
      </c>
      <c r="S1870" s="147" t="n">
        <v>0.0826019527637039</v>
      </c>
      <c r="T1870" s="147" t="n">
        <v>0.0226847028332478</v>
      </c>
    </row>
    <row r="1871" customFormat="false" ht="12.75" hidden="false" customHeight="true" outlineLevel="0" collapsed="false">
      <c r="P1871" s="1" t="n">
        <v>1868</v>
      </c>
      <c r="Q1871" s="147" t="n">
        <v>42073.511915302</v>
      </c>
      <c r="R1871" s="147" t="n">
        <v>0.269314281818334</v>
      </c>
      <c r="S1871" s="147" t="n">
        <v>0.0849583737247489</v>
      </c>
      <c r="T1871" s="147" t="n">
        <v>0.0219750881218787</v>
      </c>
    </row>
    <row r="1872" customFormat="false" ht="12.75" hidden="false" customHeight="true" outlineLevel="0" collapsed="false">
      <c r="P1872" s="1" t="n">
        <v>1869</v>
      </c>
      <c r="Q1872" s="147" t="n">
        <v>42096.008633925</v>
      </c>
      <c r="R1872" s="147" t="n">
        <v>0.270174417860213</v>
      </c>
      <c r="S1872" s="147" t="n">
        <v>0.0872829519271945</v>
      </c>
      <c r="T1872" s="147" t="n">
        <v>0.0212534213571685</v>
      </c>
    </row>
    <row r="1873" customFormat="false" ht="12.75" hidden="false" customHeight="true" outlineLevel="0" collapsed="false">
      <c r="P1873" s="1" t="n">
        <v>1870</v>
      </c>
      <c r="Q1873" s="147" t="n">
        <v>42118.61499581</v>
      </c>
      <c r="R1873" s="147" t="n">
        <v>0.270840836718371</v>
      </c>
      <c r="S1873" s="147" t="n">
        <v>0.0895267372144713</v>
      </c>
      <c r="T1873" s="147" t="n">
        <v>0.0205143449720283</v>
      </c>
    </row>
    <row r="1874" customFormat="false" ht="12.75" hidden="false" customHeight="true" outlineLevel="0" collapsed="false">
      <c r="P1874" s="1" t="n">
        <v>1871</v>
      </c>
      <c r="Q1874" s="147" t="n">
        <v>42141.314770151</v>
      </c>
      <c r="R1874" s="147" t="n">
        <v>0.270913978071173</v>
      </c>
      <c r="S1874" s="147" t="n">
        <v>0.0911282495146566</v>
      </c>
      <c r="T1874" s="147" t="n">
        <v>0.0198763411229486</v>
      </c>
    </row>
    <row r="1875" customFormat="false" ht="12.75" hidden="false" customHeight="true" outlineLevel="0" collapsed="false">
      <c r="P1875" s="1" t="n">
        <v>1872</v>
      </c>
      <c r="Q1875" s="147" t="n">
        <v>42163.674387492</v>
      </c>
      <c r="R1875" s="147" t="n">
        <v>0.270905028841884</v>
      </c>
      <c r="S1875" s="147" t="n">
        <v>0.092890620806077</v>
      </c>
      <c r="T1875" s="147" t="n">
        <v>0.0192986750280725</v>
      </c>
    </row>
    <row r="1876" customFormat="false" ht="12.75" hidden="false" customHeight="true" outlineLevel="0" collapsed="false">
      <c r="P1876" s="1" t="n">
        <v>1873</v>
      </c>
      <c r="Q1876" s="147" t="n">
        <v>42186.365826516</v>
      </c>
      <c r="R1876" s="147" t="n">
        <v>0.270467301612009</v>
      </c>
      <c r="S1876" s="147" t="n">
        <v>0.0938530247996902</v>
      </c>
      <c r="T1876" s="147" t="n">
        <v>0.0187723426993748</v>
      </c>
    </row>
    <row r="1877" customFormat="false" ht="12.75" hidden="false" customHeight="true" outlineLevel="0" collapsed="false">
      <c r="P1877" s="1" t="n">
        <v>1874</v>
      </c>
      <c r="Q1877" s="147" t="n">
        <v>42208.844940539</v>
      </c>
      <c r="R1877" s="147" t="n">
        <v>0.270257462048917</v>
      </c>
      <c r="S1877" s="147" t="n">
        <v>0.0937137532035071</v>
      </c>
      <c r="T1877" s="147" t="n">
        <v>0.0182981871484579</v>
      </c>
    </row>
    <row r="1878" customFormat="false" ht="12.75" hidden="false" customHeight="true" outlineLevel="0" collapsed="false">
      <c r="P1878" s="1" t="n">
        <v>1875</v>
      </c>
      <c r="Q1878" s="147" t="n">
        <v>42231.296609372</v>
      </c>
      <c r="R1878" s="147" t="n">
        <v>0.269927696285018</v>
      </c>
      <c r="S1878" s="147" t="n">
        <v>0.0929649450511668</v>
      </c>
      <c r="T1878" s="147" t="n">
        <v>0.0179366513748755</v>
      </c>
    </row>
    <row r="1879" customFormat="false" ht="12.75" hidden="false" customHeight="true" outlineLevel="0" collapsed="false">
      <c r="P1879" s="1" t="n">
        <v>1876</v>
      </c>
      <c r="Q1879" s="147" t="n">
        <v>42254.182396031</v>
      </c>
      <c r="R1879" s="147" t="n">
        <v>0.269501854893722</v>
      </c>
      <c r="S1879" s="147" t="n">
        <v>0.0922543350727405</v>
      </c>
      <c r="T1879" s="147" t="n">
        <v>0.0177820915613367</v>
      </c>
    </row>
    <row r="1880" customFormat="false" ht="12.75" hidden="false" customHeight="true" outlineLevel="0" collapsed="false">
      <c r="P1880" s="1" t="n">
        <v>1877</v>
      </c>
      <c r="Q1880" s="147" t="n">
        <v>42276.392551256</v>
      </c>
      <c r="R1880" s="147" t="n">
        <v>0.269053518752207</v>
      </c>
      <c r="S1880" s="147" t="n">
        <v>0.0921082801381972</v>
      </c>
      <c r="T1880" s="147" t="n">
        <v>0.0178292118980205</v>
      </c>
    </row>
    <row r="1881" customFormat="false" ht="12.75" hidden="false" customHeight="true" outlineLevel="0" collapsed="false">
      <c r="P1881" s="1" t="n">
        <v>1878</v>
      </c>
      <c r="Q1881" s="147" t="n">
        <v>42298.81245778</v>
      </c>
      <c r="R1881" s="147" t="n">
        <v>0.268647465476203</v>
      </c>
      <c r="S1881" s="147" t="n">
        <v>0.0919757989377554</v>
      </c>
      <c r="T1881" s="147" t="n">
        <v>0.0180579330835479</v>
      </c>
    </row>
    <row r="1882" customFormat="false" ht="12.75" hidden="false" customHeight="true" outlineLevel="0" collapsed="false">
      <c r="P1882" s="1" t="n">
        <v>1879</v>
      </c>
      <c r="Q1882" s="147" t="n">
        <v>42321.10119972</v>
      </c>
      <c r="R1882" s="147" t="n">
        <v>0.268471850196101</v>
      </c>
      <c r="S1882" s="147" t="n">
        <v>0.0917035306053046</v>
      </c>
      <c r="T1882" s="147" t="n">
        <v>0.0183479490724644</v>
      </c>
    </row>
    <row r="1883" customFormat="false" ht="12.75" hidden="false" customHeight="true" outlineLevel="0" collapsed="false">
      <c r="P1883" s="1" t="n">
        <v>1880</v>
      </c>
      <c r="Q1883" s="147" t="n">
        <v>42343.535633836</v>
      </c>
      <c r="R1883" s="147" t="n">
        <v>0.268545763306521</v>
      </c>
      <c r="S1883" s="147" t="n">
        <v>0.0909989017493134</v>
      </c>
      <c r="T1883" s="147" t="n">
        <v>0.0187738568512801</v>
      </c>
    </row>
    <row r="1884" customFormat="false" ht="12.75" hidden="false" customHeight="true" outlineLevel="0" collapsed="false">
      <c r="P1884" s="1" t="n">
        <v>1881</v>
      </c>
      <c r="Q1884" s="147" t="n">
        <v>42366.121462395</v>
      </c>
      <c r="R1884" s="147" t="n">
        <v>0.268686490503303</v>
      </c>
      <c r="S1884" s="147" t="n">
        <v>0.0898967837338544</v>
      </c>
      <c r="T1884" s="147" t="n">
        <v>0.0194470048904668</v>
      </c>
    </row>
    <row r="1885" customFormat="false" ht="12.75" hidden="false" customHeight="true" outlineLevel="0" collapsed="false">
      <c r="P1885" s="1" t="n">
        <v>1882</v>
      </c>
      <c r="Q1885" s="147" t="n">
        <v>42388.146506601</v>
      </c>
      <c r="R1885" s="147" t="n">
        <v>0.269081762244074</v>
      </c>
      <c r="S1885" s="147" t="n">
        <v>0.088509747167887</v>
      </c>
      <c r="T1885" s="147" t="n">
        <v>0.0194969504682414</v>
      </c>
    </row>
    <row r="1886" customFormat="false" ht="12.75" hidden="false" customHeight="true" outlineLevel="0" collapsed="false">
      <c r="P1886" s="1" t="n">
        <v>1883</v>
      </c>
      <c r="Q1886" s="147" t="n">
        <v>42410.743972754</v>
      </c>
      <c r="R1886" s="147" t="n">
        <v>0.268999979500457</v>
      </c>
      <c r="S1886" s="147" t="n">
        <v>0.0877981837100409</v>
      </c>
      <c r="T1886" s="147" t="n">
        <v>0.0203537104467199</v>
      </c>
    </row>
    <row r="1887" customFormat="false" ht="12.75" hidden="false" customHeight="true" outlineLevel="0" collapsed="false">
      <c r="P1887" s="1" t="n">
        <v>1884</v>
      </c>
      <c r="Q1887" s="147" t="n">
        <v>42432.922660535</v>
      </c>
      <c r="R1887" s="147" t="n">
        <v>0.269306706676963</v>
      </c>
      <c r="S1887" s="147" t="n">
        <v>0.0875290659952265</v>
      </c>
      <c r="T1887" s="147" t="n">
        <v>0.0195434793135013</v>
      </c>
    </row>
    <row r="1888" customFormat="false" ht="12.75" hidden="false" customHeight="true" outlineLevel="0" collapsed="false">
      <c r="P1888" s="1" t="n">
        <v>1885</v>
      </c>
      <c r="Q1888" s="147" t="n">
        <v>42455.913743219</v>
      </c>
      <c r="R1888" s="147" t="n">
        <v>0.26917664150901</v>
      </c>
      <c r="S1888" s="147" t="n">
        <v>0.0892993296992477</v>
      </c>
      <c r="T1888" s="147" t="n">
        <v>0.0197792028502551</v>
      </c>
    </row>
    <row r="1889" customFormat="false" ht="12.75" hidden="false" customHeight="true" outlineLevel="0" collapsed="false">
      <c r="P1889" s="1" t="n">
        <v>1886</v>
      </c>
      <c r="Q1889" s="147" t="n">
        <v>42478.221868981</v>
      </c>
      <c r="R1889" s="147" t="n">
        <v>0.26913847917348</v>
      </c>
      <c r="S1889" s="147" t="n">
        <v>0.0900568771888243</v>
      </c>
      <c r="T1889" s="147" t="n">
        <v>0.0180731496898701</v>
      </c>
    </row>
    <row r="1890" customFormat="false" ht="12.75" hidden="false" customHeight="true" outlineLevel="0" collapsed="false">
      <c r="P1890" s="1" t="n">
        <v>1887</v>
      </c>
      <c r="Q1890" s="147" t="n">
        <v>42501.104481001</v>
      </c>
      <c r="R1890" s="147" t="n">
        <v>0.269005315895137</v>
      </c>
      <c r="S1890" s="147" t="n">
        <v>0.0936595683744219</v>
      </c>
      <c r="T1890" s="147" t="n">
        <v>0.0175160623658846</v>
      </c>
    </row>
    <row r="1891" customFormat="false" ht="12.75" hidden="false" customHeight="true" outlineLevel="0" collapsed="false">
      <c r="P1891" s="1" t="n">
        <v>1888</v>
      </c>
      <c r="Q1891" s="147" t="n">
        <v>42523.3283956</v>
      </c>
      <c r="R1891" s="147" t="n">
        <v>0.268789840291008</v>
      </c>
      <c r="S1891" s="147" t="n">
        <v>0.0947713772795021</v>
      </c>
      <c r="T1891" s="147" t="n">
        <v>0.0153438641659583</v>
      </c>
    </row>
    <row r="1892" customFormat="false" ht="12.75" hidden="false" customHeight="true" outlineLevel="0" collapsed="false">
      <c r="P1892" s="1" t="n">
        <v>1889</v>
      </c>
      <c r="Q1892" s="147" t="n">
        <v>42546.357424183</v>
      </c>
      <c r="R1892" s="147" t="n">
        <v>0.268847087667719</v>
      </c>
      <c r="S1892" s="147" t="n">
        <v>0.0961003366220125</v>
      </c>
      <c r="T1892" s="147" t="n">
        <v>0.0136822720955086</v>
      </c>
    </row>
    <row r="1893" customFormat="false" ht="12.75" hidden="false" customHeight="true" outlineLevel="0" collapsed="false">
      <c r="P1893" s="1" t="n">
        <v>1890</v>
      </c>
      <c r="Q1893" s="147" t="n">
        <v>42568.75655044</v>
      </c>
      <c r="R1893" s="147" t="n">
        <v>0.268811359696359</v>
      </c>
      <c r="S1893" s="147" t="n">
        <v>0.0964043116163452</v>
      </c>
      <c r="T1893" s="147" t="n">
        <v>0.0121175678996634</v>
      </c>
    </row>
    <row r="1894" customFormat="false" ht="12.75" hidden="false" customHeight="true" outlineLevel="0" collapsed="false">
      <c r="P1894" s="1" t="n">
        <v>1891</v>
      </c>
      <c r="Q1894" s="147" t="n">
        <v>42591.49628559</v>
      </c>
      <c r="R1894" s="147" t="n">
        <v>0.268839047437974</v>
      </c>
      <c r="S1894" s="147" t="n">
        <v>0.0948148928568283</v>
      </c>
      <c r="T1894" s="147" t="n">
        <v>0.0105323387769013</v>
      </c>
    </row>
    <row r="1895" customFormat="false" ht="12.75" hidden="false" customHeight="true" outlineLevel="0" collapsed="false">
      <c r="P1895" s="1" t="n">
        <v>1892</v>
      </c>
      <c r="Q1895" s="147" t="n">
        <v>42614.083782593</v>
      </c>
      <c r="R1895" s="147" t="n">
        <v>0.26915718972423</v>
      </c>
      <c r="S1895" s="147" t="n">
        <v>0.0928782027922195</v>
      </c>
      <c r="T1895" s="147" t="n">
        <v>0.00912350104919376</v>
      </c>
    </row>
    <row r="1896" customFormat="false" ht="12.75" hidden="false" customHeight="true" outlineLevel="0" collapsed="false">
      <c r="P1896" s="1" t="n">
        <v>1893</v>
      </c>
      <c r="Q1896" s="147" t="n">
        <v>42636.675856557</v>
      </c>
      <c r="R1896" s="147" t="n">
        <v>0.26952723553937</v>
      </c>
      <c r="S1896" s="147" t="n">
        <v>0.0872371550926831</v>
      </c>
      <c r="T1896" s="147" t="n">
        <v>0.00800070756145755</v>
      </c>
    </row>
    <row r="1897" customFormat="false" ht="12.75" hidden="false" customHeight="true" outlineLevel="0" collapsed="false">
      <c r="P1897" s="1" t="n">
        <v>1894</v>
      </c>
      <c r="Q1897" s="147" t="n">
        <v>42658.966200471</v>
      </c>
      <c r="R1897" s="147" t="n">
        <v>0.269936169468354</v>
      </c>
      <c r="S1897" s="147" t="n">
        <v>0.0849714810739608</v>
      </c>
      <c r="T1897" s="147" t="n">
        <v>0.00827096878502296</v>
      </c>
    </row>
    <row r="1898" customFormat="false" ht="12.75" hidden="false" customHeight="true" outlineLevel="0" collapsed="false">
      <c r="P1898" s="1" t="n">
        <v>1895</v>
      </c>
      <c r="Q1898" s="147" t="n">
        <v>42681.829154999</v>
      </c>
      <c r="R1898" s="147" t="n">
        <v>0.269939751701194</v>
      </c>
      <c r="S1898" s="147" t="n">
        <v>0.0740378320539011</v>
      </c>
      <c r="T1898" s="147" t="n">
        <v>0.00731072733621222</v>
      </c>
    </row>
    <row r="1899" customFormat="false" ht="12.75" hidden="false" customHeight="true" outlineLevel="0" collapsed="false">
      <c r="P1899" s="1" t="n">
        <v>1896</v>
      </c>
      <c r="Q1899" s="147" t="n">
        <v>42703.60369849</v>
      </c>
      <c r="R1899" s="147" t="n">
        <v>0.27040377469744</v>
      </c>
      <c r="S1899" s="147" t="n">
        <v>0.0723174636095631</v>
      </c>
      <c r="T1899" s="147" t="n">
        <v>0.00905678388295643</v>
      </c>
    </row>
    <row r="1900" customFormat="false" ht="12.75" hidden="false" customHeight="true" outlineLevel="0" collapsed="false">
      <c r="P1900" s="1" t="n">
        <v>1897</v>
      </c>
      <c r="Q1900" s="147" t="n">
        <v>42725.970538407</v>
      </c>
      <c r="R1900" s="147" t="n">
        <v>0.270405874659902</v>
      </c>
      <c r="S1900" s="147" t="n">
        <v>0.0676532729980418</v>
      </c>
      <c r="T1900" s="147" t="n">
        <v>0.00995610923010738</v>
      </c>
    </row>
    <row r="1901" customFormat="false" ht="12.75" hidden="false" customHeight="true" outlineLevel="0" collapsed="false">
      <c r="P1901" s="1" t="n">
        <v>1898</v>
      </c>
      <c r="Q1901" s="147" t="n">
        <v>42748.602141973</v>
      </c>
      <c r="R1901" s="147" t="n">
        <v>0.270591065656299</v>
      </c>
      <c r="S1901" s="147" t="n">
        <v>0.063001197283804</v>
      </c>
      <c r="T1901" s="147" t="n">
        <v>0.0104801898619787</v>
      </c>
    </row>
    <row r="1902" customFormat="false" ht="12.75" hidden="false" customHeight="true" outlineLevel="0" collapsed="false">
      <c r="P1902" s="1" t="n">
        <v>1899</v>
      </c>
      <c r="Q1902" s="147" t="n">
        <v>42770.859405139</v>
      </c>
      <c r="R1902" s="147" t="n">
        <v>0.270938839859137</v>
      </c>
      <c r="S1902" s="147" t="n">
        <v>0.0626711997164753</v>
      </c>
      <c r="T1902" s="147" t="n">
        <v>0.0123609351862585</v>
      </c>
    </row>
    <row r="1903" customFormat="false" ht="12.75" hidden="false" customHeight="true" outlineLevel="0" collapsed="false">
      <c r="P1903" s="1" t="n">
        <v>1900</v>
      </c>
      <c r="Q1903" s="147" t="n">
        <v>42794.042470164</v>
      </c>
      <c r="R1903" s="147" t="n">
        <v>0.270908450121904</v>
      </c>
      <c r="S1903" s="147" t="n">
        <v>0.0661791967547546</v>
      </c>
      <c r="T1903" s="147" t="n">
        <v>0.0125269734423089</v>
      </c>
    </row>
    <row r="1904" customFormat="false" ht="12.75" hidden="false" customHeight="true" outlineLevel="0" collapsed="false">
      <c r="P1904" s="1" t="n">
        <v>1901</v>
      </c>
      <c r="Q1904" s="147" t="n">
        <v>42817.006973733</v>
      </c>
      <c r="R1904" s="147" t="n">
        <v>0.271113556025608</v>
      </c>
      <c r="S1904" s="147" t="n">
        <v>0.0725590664101576</v>
      </c>
      <c r="T1904" s="147" t="n">
        <v>0.0138787994653002</v>
      </c>
    </row>
    <row r="1905" customFormat="false" ht="12.75" hidden="false" customHeight="true" outlineLevel="0" collapsed="false">
      <c r="P1905" s="1" t="n">
        <v>1902</v>
      </c>
      <c r="Q1905" s="147" t="n">
        <v>42839.781653515</v>
      </c>
      <c r="R1905" s="147" t="n">
        <v>0.270809456139867</v>
      </c>
      <c r="S1905" s="147" t="n">
        <v>0.079370486075104</v>
      </c>
      <c r="T1905" s="147" t="n">
        <v>0.0142135371264023</v>
      </c>
    </row>
    <row r="1906" customFormat="false" ht="12.75" hidden="false" customHeight="true" outlineLevel="0" collapsed="false">
      <c r="P1906" s="1" t="n">
        <v>1903</v>
      </c>
      <c r="Q1906" s="147" t="n">
        <v>42861.975691935</v>
      </c>
      <c r="R1906" s="147" t="n">
        <v>0.270718702856324</v>
      </c>
      <c r="S1906" s="147" t="n">
        <v>0.0822791848160684</v>
      </c>
      <c r="T1906" s="147" t="n">
        <v>0.0147786214050434</v>
      </c>
    </row>
    <row r="1907" customFormat="false" ht="12.75" hidden="false" customHeight="true" outlineLevel="0" collapsed="false">
      <c r="P1907" s="1" t="n">
        <v>1904</v>
      </c>
      <c r="Q1907" s="147" t="n">
        <v>42884.881020383</v>
      </c>
      <c r="R1907" s="147" t="n">
        <v>0.270752717178899</v>
      </c>
      <c r="S1907" s="147" t="n">
        <v>0.089711717651433</v>
      </c>
      <c r="T1907" s="147" t="n">
        <v>0.013962847824719</v>
      </c>
    </row>
    <row r="1908" customFormat="false" ht="12.75" hidden="false" customHeight="true" outlineLevel="0" collapsed="false">
      <c r="P1908" s="1" t="n">
        <v>1905</v>
      </c>
      <c r="Q1908" s="147" t="n">
        <v>42907.149363955</v>
      </c>
      <c r="R1908" s="147" t="n">
        <v>0.270208255168717</v>
      </c>
      <c r="S1908" s="147" t="n">
        <v>0.0908405935821022</v>
      </c>
      <c r="T1908" s="147" t="n">
        <v>0.0138600073558776</v>
      </c>
    </row>
    <row r="1909" customFormat="false" ht="12.75" hidden="false" customHeight="true" outlineLevel="0" collapsed="false">
      <c r="P1909" s="1" t="n">
        <v>1906</v>
      </c>
      <c r="Q1909" s="147" t="n">
        <v>42929.957302464</v>
      </c>
      <c r="R1909" s="147" t="n">
        <v>0.270187236731961</v>
      </c>
      <c r="S1909" s="147" t="n">
        <v>0.0921036055814293</v>
      </c>
      <c r="T1909" s="147" t="n">
        <v>0.0134568747254113</v>
      </c>
    </row>
    <row r="1910" customFormat="false" ht="12.75" hidden="false" customHeight="true" outlineLevel="0" collapsed="false">
      <c r="P1910" s="1" t="n">
        <v>1907</v>
      </c>
      <c r="Q1910" s="147" t="n">
        <v>42952.45904053</v>
      </c>
      <c r="R1910" s="147" t="n">
        <v>0.270067157285908</v>
      </c>
      <c r="S1910" s="147" t="n">
        <v>0.091284864806759</v>
      </c>
      <c r="T1910" s="147" t="n">
        <v>0.0119624389266919</v>
      </c>
    </row>
    <row r="1911" customFormat="false" ht="12.75" hidden="false" customHeight="true" outlineLevel="0" collapsed="false">
      <c r="P1911" s="1" t="n">
        <v>1908</v>
      </c>
      <c r="Q1911" s="147" t="n">
        <v>42975.040859495</v>
      </c>
      <c r="R1911" s="147" t="n">
        <v>0.270247301852177</v>
      </c>
      <c r="S1911" s="147" t="n">
        <v>0.0883369197169703</v>
      </c>
      <c r="T1911" s="147" t="n">
        <v>0.0101696981183477</v>
      </c>
    </row>
    <row r="1912" customFormat="false" ht="12.75" hidden="false" customHeight="true" outlineLevel="0" collapsed="false">
      <c r="P1912" s="1" t="n">
        <v>1909</v>
      </c>
      <c r="Q1912" s="147" t="n">
        <v>42997.836146504</v>
      </c>
      <c r="R1912" s="147" t="n">
        <v>0.270396500162739</v>
      </c>
      <c r="S1912" s="147" t="n">
        <v>0.0833412694886794</v>
      </c>
      <c r="T1912" s="147" t="n">
        <v>0.00812971154659199</v>
      </c>
    </row>
    <row r="1913" customFormat="false" ht="12.75" hidden="false" customHeight="true" outlineLevel="0" collapsed="false">
      <c r="P1913" s="1" t="n">
        <v>1910</v>
      </c>
      <c r="Q1913" s="147" t="n">
        <v>43020.643576614</v>
      </c>
      <c r="R1913" s="147" t="n">
        <v>0.270129659706327</v>
      </c>
      <c r="S1913" s="147" t="n">
        <v>0.0770007172463759</v>
      </c>
      <c r="T1913" s="147" t="n">
        <v>0.00585704737788838</v>
      </c>
    </row>
    <row r="1914" customFormat="false" ht="12.75" hidden="false" customHeight="true" outlineLevel="0" collapsed="false">
      <c r="P1914" s="1" t="n">
        <v>1911</v>
      </c>
      <c r="Q1914" s="147" t="n">
        <v>43042.982111264</v>
      </c>
      <c r="R1914" s="147" t="n">
        <v>0.270209842619897</v>
      </c>
      <c r="S1914" s="147" t="n">
        <v>0.0723448411811289</v>
      </c>
      <c r="T1914" s="147" t="n">
        <v>0.0037844834435936</v>
      </c>
    </row>
    <row r="1915" customFormat="false" ht="12.75" hidden="false" customHeight="true" outlineLevel="0" collapsed="false">
      <c r="P1915" s="1" t="n">
        <v>1912</v>
      </c>
      <c r="Q1915" s="147" t="n">
        <v>43065.373562463</v>
      </c>
      <c r="R1915" s="147" t="n">
        <v>0.270558891302741</v>
      </c>
      <c r="S1915" s="147" t="n">
        <v>0.0686501070718495</v>
      </c>
      <c r="T1915" s="147" t="n">
        <v>0.00313482898541879</v>
      </c>
    </row>
    <row r="1916" customFormat="false" ht="12.75" hidden="false" customHeight="true" outlineLevel="0" collapsed="false">
      <c r="P1916" s="1" t="n">
        <v>1913</v>
      </c>
      <c r="Q1916" s="147" t="n">
        <v>43088.360450204</v>
      </c>
      <c r="R1916" s="147" t="n">
        <v>0.271124622394352</v>
      </c>
      <c r="S1916" s="147" t="n">
        <v>0.0666648490212922</v>
      </c>
      <c r="T1916" s="147" t="n">
        <v>0.00290602152868148</v>
      </c>
    </row>
    <row r="1917" customFormat="false" ht="12.75" hidden="false" customHeight="true" outlineLevel="0" collapsed="false">
      <c r="P1917" s="1" t="n">
        <v>1914</v>
      </c>
      <c r="Q1917" s="147" t="n">
        <v>43111.08917554</v>
      </c>
      <c r="R1917" s="147" t="n">
        <v>0.272102272387111</v>
      </c>
      <c r="S1917" s="147" t="n">
        <v>0.0674417819566319</v>
      </c>
      <c r="T1917" s="147" t="n">
        <v>0.00374789946115218</v>
      </c>
    </row>
    <row r="1918" customFormat="false" ht="12.75" hidden="false" customHeight="true" outlineLevel="0" collapsed="false">
      <c r="P1918" s="1" t="n">
        <v>1915</v>
      </c>
      <c r="Q1918" s="147" t="n">
        <v>43133.796652772</v>
      </c>
      <c r="R1918" s="147" t="n">
        <v>0.272496478148664</v>
      </c>
      <c r="S1918" s="147" t="n">
        <v>0.0732092293026419</v>
      </c>
      <c r="T1918" s="147" t="n">
        <v>0.00538226348743318</v>
      </c>
    </row>
    <row r="1919" customFormat="false" ht="12.75" hidden="false" customHeight="true" outlineLevel="0" collapsed="false">
      <c r="P1919" s="1" t="n">
        <v>1916</v>
      </c>
      <c r="Q1919" s="147" t="n">
        <v>43157.386424786</v>
      </c>
      <c r="R1919" s="147" t="n">
        <v>0.272603142536939</v>
      </c>
      <c r="S1919" s="147" t="n">
        <v>0.0813038233542726</v>
      </c>
      <c r="T1919" s="147" t="n">
        <v>0.00700902831249638</v>
      </c>
    </row>
    <row r="1920" customFormat="false" ht="12.75" hidden="false" customHeight="true" outlineLevel="0" collapsed="false">
      <c r="P1920" s="1" t="n">
        <v>1917</v>
      </c>
      <c r="Q1920" s="147" t="n">
        <v>43180.232516522</v>
      </c>
      <c r="R1920" s="147" t="n">
        <v>0.27218111534569</v>
      </c>
      <c r="S1920" s="147" t="n">
        <v>0.0902544059264045</v>
      </c>
      <c r="T1920" s="147" t="n">
        <v>0.00887524465742121</v>
      </c>
    </row>
    <row r="1921" customFormat="false" ht="12.75" hidden="false" customHeight="true" outlineLevel="0" collapsed="false">
      <c r="P1921" s="1" t="n">
        <v>1918</v>
      </c>
      <c r="Q1921" s="147" t="n">
        <v>43202.912386734</v>
      </c>
      <c r="R1921" s="147" t="n">
        <v>0.271388866015307</v>
      </c>
      <c r="S1921" s="147" t="n">
        <v>0.0997413277120273</v>
      </c>
      <c r="T1921" s="147" t="n">
        <v>0.0106307114689946</v>
      </c>
    </row>
    <row r="1922" customFormat="false" ht="12.75" hidden="false" customHeight="true" outlineLevel="0" collapsed="false">
      <c r="P1922" s="1" t="n">
        <v>1919</v>
      </c>
      <c r="Q1922" s="147" t="n">
        <v>43225.426830719</v>
      </c>
      <c r="R1922" s="147" t="n">
        <v>0.270161277255461</v>
      </c>
      <c r="S1922" s="147" t="n">
        <v>0.108184628290572</v>
      </c>
      <c r="T1922" s="147" t="n">
        <v>0.0124185533513904</v>
      </c>
    </row>
    <row r="1923" customFormat="false" ht="12.75" hidden="false" customHeight="true" outlineLevel="0" collapsed="false">
      <c r="P1923" s="1" t="n">
        <v>1920</v>
      </c>
      <c r="Q1923" s="147" t="n">
        <v>43247.97475997</v>
      </c>
      <c r="R1923" s="147" t="n">
        <v>0.268479287117542</v>
      </c>
      <c r="S1923" s="147" t="n">
        <v>0.116491713320418</v>
      </c>
      <c r="T1923" s="147" t="n">
        <v>0.0136308755466173</v>
      </c>
    </row>
    <row r="1924" customFormat="false" ht="12.75" hidden="false" customHeight="true" outlineLevel="0" collapsed="false">
      <c r="P1924" s="1" t="n">
        <v>1921</v>
      </c>
      <c r="Q1924" s="147" t="n">
        <v>43270.283166981</v>
      </c>
      <c r="R1924" s="147" t="n">
        <v>0.26685589968675</v>
      </c>
      <c r="S1924" s="147" t="n">
        <v>0.12254029963945</v>
      </c>
      <c r="T1924" s="147" t="n">
        <v>0.0148083950251756</v>
      </c>
    </row>
    <row r="1925" customFormat="false" ht="12.75" hidden="false" customHeight="true" outlineLevel="0" collapsed="false">
      <c r="P1925" s="1" t="n">
        <v>1922</v>
      </c>
      <c r="Q1925" s="147" t="n">
        <v>43292.64699465</v>
      </c>
      <c r="R1925" s="147" t="n">
        <v>0.264960467147794</v>
      </c>
      <c r="S1925" s="147" t="n">
        <v>0.127142037044614</v>
      </c>
      <c r="T1925" s="147" t="n">
        <v>0.0155583608083897</v>
      </c>
    </row>
    <row r="1926" customFormat="false" ht="12.75" hidden="false" customHeight="true" outlineLevel="0" collapsed="false">
      <c r="P1926" s="1" t="n">
        <v>1923</v>
      </c>
      <c r="Q1926" s="147" t="n">
        <v>43314.928519951</v>
      </c>
      <c r="R1926" s="147" t="n">
        <v>0.263580889418759</v>
      </c>
      <c r="S1926" s="147" t="n">
        <v>0.129198561273556</v>
      </c>
      <c r="T1926" s="147" t="n">
        <v>0.0164571061684472</v>
      </c>
    </row>
    <row r="1927" customFormat="false" ht="12.75" hidden="false" customHeight="true" outlineLevel="0" collapsed="false">
      <c r="P1927" s="1" t="n">
        <v>1924</v>
      </c>
      <c r="Q1927" s="147" t="n">
        <v>43337.568951249</v>
      </c>
      <c r="R1927" s="147" t="n">
        <v>0.262664857420352</v>
      </c>
      <c r="S1927" s="147" t="n">
        <v>0.127877117918702</v>
      </c>
      <c r="T1927" s="147" t="n">
        <v>0.0172803600932288</v>
      </c>
    </row>
    <row r="1928" customFormat="false" ht="12.75" hidden="false" customHeight="true" outlineLevel="0" collapsed="false">
      <c r="P1928" s="1" t="n">
        <v>1925</v>
      </c>
      <c r="Q1928" s="147" t="n">
        <v>43360.228789029</v>
      </c>
      <c r="R1928" s="147" t="n">
        <v>0.262090061303316</v>
      </c>
      <c r="S1928" s="147" t="n">
        <v>0.123017094251901</v>
      </c>
      <c r="T1928" s="147" t="n">
        <v>0.018433446015619</v>
      </c>
    </row>
    <row r="1929" customFormat="false" ht="12.75" hidden="false" customHeight="true" outlineLevel="0" collapsed="false">
      <c r="P1929" s="1" t="n">
        <v>1926</v>
      </c>
      <c r="Q1929" s="147" t="n">
        <v>43383.323911086</v>
      </c>
      <c r="R1929" s="147" t="n">
        <v>0.262284696730409</v>
      </c>
      <c r="S1929" s="147" t="n">
        <v>0.112931503785423</v>
      </c>
      <c r="T1929" s="147" t="n">
        <v>0.0194852611892152</v>
      </c>
    </row>
    <row r="1930" customFormat="false" ht="12.75" hidden="false" customHeight="true" outlineLevel="0" collapsed="false">
      <c r="P1930" s="1" t="n">
        <v>1927</v>
      </c>
      <c r="Q1930" s="147" t="n">
        <v>43405.925999088</v>
      </c>
      <c r="R1930" s="147" t="n">
        <v>0.262385505550576</v>
      </c>
      <c r="S1930" s="147" t="n">
        <v>0.102956524077727</v>
      </c>
      <c r="T1930" s="147" t="n">
        <v>0.0205861598569173</v>
      </c>
    </row>
    <row r="1931" customFormat="false" ht="12.75" hidden="false" customHeight="true" outlineLevel="0" collapsed="false">
      <c r="P1931" s="1" t="n">
        <v>1928</v>
      </c>
      <c r="Q1931" s="147" t="n">
        <v>43428.878024198</v>
      </c>
      <c r="R1931" s="147" t="n">
        <v>0.262780315767265</v>
      </c>
      <c r="S1931" s="147" t="n">
        <v>0.0935088428611577</v>
      </c>
      <c r="T1931" s="147" t="n">
        <v>0.0212158610885623</v>
      </c>
    </row>
    <row r="1932" customFormat="false" ht="12.75" hidden="false" customHeight="true" outlineLevel="0" collapsed="false">
      <c r="P1932" s="1" t="n">
        <v>1929</v>
      </c>
      <c r="Q1932" s="147" t="n">
        <v>43452.000380886</v>
      </c>
      <c r="R1932" s="147" t="n">
        <v>0.263180854535539</v>
      </c>
      <c r="S1932" s="147" t="n">
        <v>0.0853976845128036</v>
      </c>
      <c r="T1932" s="147" t="n">
        <v>0.0218337836054865</v>
      </c>
    </row>
    <row r="1933" customFormat="false" ht="12.75" hidden="false" customHeight="true" outlineLevel="0" collapsed="false">
      <c r="P1933" s="1" t="n">
        <v>1930</v>
      </c>
      <c r="Q1933" s="147" t="n">
        <v>43474.408315865</v>
      </c>
      <c r="R1933" s="147" t="n">
        <v>0.263688673321039</v>
      </c>
      <c r="S1933" s="147" t="n">
        <v>0.0802248459541569</v>
      </c>
      <c r="T1933" s="147" t="n">
        <v>0.0221360011464107</v>
      </c>
    </row>
    <row r="1934" customFormat="false" ht="12.75" hidden="false" customHeight="true" outlineLevel="0" collapsed="false">
      <c r="P1934" s="1" t="n">
        <v>1931</v>
      </c>
      <c r="Q1934" s="147" t="n">
        <v>43496.779222422</v>
      </c>
      <c r="R1934" s="147" t="n">
        <v>0.263981366350655</v>
      </c>
      <c r="S1934" s="147" t="n">
        <v>0.0774880271696416</v>
      </c>
      <c r="T1934" s="147" t="n">
        <v>0.0226310254103876</v>
      </c>
    </row>
    <row r="1935" customFormat="false" ht="12.75" hidden="false" customHeight="true" outlineLevel="0" collapsed="false">
      <c r="P1935" s="1" t="n">
        <v>1932</v>
      </c>
      <c r="Q1935" s="147" t="n">
        <v>43519.521648211</v>
      </c>
      <c r="R1935" s="147" t="n">
        <v>0.264015575815237</v>
      </c>
      <c r="S1935" s="147" t="n">
        <v>0.078897082653616</v>
      </c>
      <c r="T1935" s="147" t="n">
        <v>0.023577664828414</v>
      </c>
    </row>
    <row r="1936" customFormat="false" ht="12.75" hidden="false" customHeight="true" outlineLevel="0" collapsed="false">
      <c r="P1936" s="1" t="n">
        <v>1933</v>
      </c>
      <c r="Q1936" s="147" t="n">
        <v>43542.390481484</v>
      </c>
      <c r="R1936" s="147" t="n">
        <v>0.264375516087115</v>
      </c>
      <c r="S1936" s="147" t="n">
        <v>0.0877977773450929</v>
      </c>
      <c r="T1936" s="147" t="n">
        <v>0.0235015000043727</v>
      </c>
    </row>
    <row r="1937" customFormat="false" ht="12.75" hidden="false" customHeight="true" outlineLevel="0" collapsed="false">
      <c r="P1937" s="1" t="n">
        <v>1934</v>
      </c>
      <c r="Q1937" s="147" t="n">
        <v>43565.417101696</v>
      </c>
      <c r="R1937" s="147" t="n">
        <v>0.264259541156998</v>
      </c>
      <c r="S1937" s="147" t="n">
        <v>0.0956729053944236</v>
      </c>
      <c r="T1937" s="147" t="n">
        <v>0.0241452227821585</v>
      </c>
    </row>
    <row r="1938" customFormat="false" ht="12.75" hidden="false" customHeight="true" outlineLevel="0" collapsed="false">
      <c r="P1938" s="1" t="n">
        <v>1935</v>
      </c>
      <c r="Q1938" s="147" t="n">
        <v>43588.08590983</v>
      </c>
      <c r="R1938" s="147" t="n">
        <v>0.263814230390794</v>
      </c>
      <c r="S1938" s="147" t="n">
        <v>0.101017231285962</v>
      </c>
      <c r="T1938" s="147" t="n">
        <v>0.025249757510259</v>
      </c>
    </row>
    <row r="1939" customFormat="false" ht="12.75" hidden="false" customHeight="true" outlineLevel="0" collapsed="false">
      <c r="P1939" s="1" t="n">
        <v>1936</v>
      </c>
      <c r="Q1939" s="147" t="n">
        <v>43610.896362077</v>
      </c>
      <c r="R1939" s="147" t="n">
        <v>0.263226444551085</v>
      </c>
      <c r="S1939" s="147" t="n">
        <v>0.104424742760051</v>
      </c>
      <c r="T1939" s="147" t="n">
        <v>0.0263769954873285</v>
      </c>
    </row>
    <row r="1940" customFormat="false" ht="12.75" hidden="false" customHeight="true" outlineLevel="0" collapsed="false">
      <c r="P1940" s="1" t="n">
        <v>1937</v>
      </c>
      <c r="Q1940" s="147" t="n">
        <v>43633.632645811</v>
      </c>
      <c r="R1940" s="147" t="n">
        <v>0.262635476818816</v>
      </c>
      <c r="S1940" s="147" t="n">
        <v>0.105976520947132</v>
      </c>
      <c r="T1940" s="147" t="n">
        <v>0.0274644155492592</v>
      </c>
    </row>
    <row r="1941" customFormat="false" ht="12.75" hidden="false" customHeight="true" outlineLevel="0" collapsed="false">
      <c r="P1941" s="1" t="n">
        <v>1938</v>
      </c>
      <c r="Q1941" s="147" t="n">
        <v>43655.978680038</v>
      </c>
      <c r="R1941" s="147" t="n">
        <v>0.262033795431777</v>
      </c>
      <c r="S1941" s="147" t="n">
        <v>0.105565663109409</v>
      </c>
      <c r="T1941" s="147" t="n">
        <v>0.0283571547333361</v>
      </c>
    </row>
    <row r="1942" customFormat="false" ht="12.75" hidden="false" customHeight="true" outlineLevel="0" collapsed="false">
      <c r="P1942" s="1" t="n">
        <v>1939</v>
      </c>
      <c r="Q1942" s="147" t="n">
        <v>43678.86265225</v>
      </c>
      <c r="R1942" s="147" t="n">
        <v>0.262219461995064</v>
      </c>
      <c r="S1942" s="147" t="n">
        <v>0.101528425430057</v>
      </c>
      <c r="T1942" s="147" t="n">
        <v>0.0283526877157906</v>
      </c>
    </row>
    <row r="1943" customFormat="false" ht="12.75" hidden="false" customHeight="true" outlineLevel="0" collapsed="false">
      <c r="P1943" s="1" t="n">
        <v>1940</v>
      </c>
      <c r="Q1943" s="147" t="n">
        <v>43700.996688596</v>
      </c>
      <c r="R1943" s="147" t="n">
        <v>0.26181939684822</v>
      </c>
      <c r="S1943" s="147" t="n">
        <v>0.0979076927608825</v>
      </c>
      <c r="T1943" s="147" t="n">
        <v>0.0289448502493372</v>
      </c>
    </row>
    <row r="1944" customFormat="false" ht="12.75" hidden="false" customHeight="true" outlineLevel="0" collapsed="false">
      <c r="P1944" s="1" t="n">
        <v>1941</v>
      </c>
      <c r="Q1944" s="147" t="n">
        <v>43724.000051271</v>
      </c>
      <c r="R1944" s="147" t="n">
        <v>0.263102692813128</v>
      </c>
      <c r="S1944" s="147" t="n">
        <v>0.0860365452142121</v>
      </c>
      <c r="T1944" s="147" t="n">
        <v>0.0284334309539469</v>
      </c>
    </row>
    <row r="1945" customFormat="false" ht="12.75" hidden="false" customHeight="true" outlineLevel="0" collapsed="false">
      <c r="P1945" s="1" t="n">
        <v>1942</v>
      </c>
      <c r="Q1945" s="147" t="n">
        <v>43746.984522681</v>
      </c>
      <c r="R1945" s="147" t="n">
        <v>0.263555398631476</v>
      </c>
      <c r="S1945" s="147" t="n">
        <v>0.0737573877499601</v>
      </c>
      <c r="T1945" s="147" t="n">
        <v>0.0288060866726038</v>
      </c>
    </row>
    <row r="1946" customFormat="false" ht="12.75" hidden="false" customHeight="true" outlineLevel="0" collapsed="false">
      <c r="P1946" s="1" t="n">
        <v>1943</v>
      </c>
      <c r="Q1946" s="147" t="n">
        <v>43769.262237721</v>
      </c>
      <c r="R1946" s="147" t="n">
        <v>0.264242556854725</v>
      </c>
      <c r="S1946" s="147" t="n">
        <v>0.0682782807026011</v>
      </c>
      <c r="T1946" s="147" t="n">
        <v>0.0292016013838568</v>
      </c>
    </row>
    <row r="1947" customFormat="false" ht="12.75" hidden="false" customHeight="true" outlineLevel="0" collapsed="false">
      <c r="P1947" s="1" t="n">
        <v>1944</v>
      </c>
      <c r="Q1947" s="147" t="n">
        <v>43792.392596137</v>
      </c>
      <c r="R1947" s="147" t="n">
        <v>0.265597418249952</v>
      </c>
      <c r="S1947" s="147" t="n">
        <v>0.0609345603329503</v>
      </c>
      <c r="T1947" s="147" t="n">
        <v>0.0296188856338189</v>
      </c>
    </row>
    <row r="1948" customFormat="false" ht="12.75" hidden="false" customHeight="true" outlineLevel="0" collapsed="false">
      <c r="P1948" s="1" t="n">
        <v>1945</v>
      </c>
      <c r="Q1948" s="147" t="n">
        <v>43814.221003757</v>
      </c>
      <c r="R1948" s="147" t="n">
        <v>0.265903923164877</v>
      </c>
      <c r="S1948" s="147" t="n">
        <v>0.0574795496934272</v>
      </c>
      <c r="T1948" s="147" t="n">
        <v>0.0301399455719219</v>
      </c>
    </row>
    <row r="1949" customFormat="false" ht="12.75" hidden="false" customHeight="true" outlineLevel="0" collapsed="false">
      <c r="P1949" s="1" t="n">
        <v>1946</v>
      </c>
      <c r="Q1949" s="147" t="n">
        <v>43837.160697696</v>
      </c>
      <c r="R1949" s="147" t="n">
        <v>0.266557193384092</v>
      </c>
      <c r="S1949" s="147" t="n">
        <v>0.0523094449024093</v>
      </c>
      <c r="T1949" s="147" t="n">
        <v>0.0312756837639021</v>
      </c>
    </row>
    <row r="1950" customFormat="false" ht="12.75" hidden="false" customHeight="true" outlineLevel="0" collapsed="false">
      <c r="P1950" s="1" t="n">
        <v>1947</v>
      </c>
      <c r="Q1950" s="147" t="n">
        <v>43859.198767916</v>
      </c>
      <c r="R1950" s="147" t="n">
        <v>0.266698222018882</v>
      </c>
      <c r="S1950" s="147" t="n">
        <v>0.0524133802659212</v>
      </c>
      <c r="T1950" s="147" t="n">
        <v>0.0311594762506342</v>
      </c>
    </row>
    <row r="1951" customFormat="false" ht="12.75" hidden="false" customHeight="true" outlineLevel="0" collapsed="false">
      <c r="P1951" s="1" t="n">
        <v>1948</v>
      </c>
      <c r="Q1951" s="147" t="n">
        <v>43881.973342597</v>
      </c>
      <c r="R1951" s="147" t="n">
        <v>0.266702585765838</v>
      </c>
      <c r="S1951" s="147" t="n">
        <v>0.0553652310336037</v>
      </c>
      <c r="T1951" s="147" t="n">
        <v>0.0319208277503326</v>
      </c>
    </row>
    <row r="1952" customFormat="false" ht="12.75" hidden="false" customHeight="true" outlineLevel="0" collapsed="false">
      <c r="P1952" s="1" t="n">
        <v>1949</v>
      </c>
      <c r="Q1952" s="147" t="n">
        <v>43904.533020228</v>
      </c>
      <c r="R1952" s="147" t="n">
        <v>0.266779451852158</v>
      </c>
      <c r="S1952" s="147" t="n">
        <v>0.0580437476880506</v>
      </c>
      <c r="T1952" s="147" t="n">
        <v>0.0318752713595242</v>
      </c>
    </row>
    <row r="1953" customFormat="false" ht="12.75" hidden="false" customHeight="true" outlineLevel="0" collapsed="false">
      <c r="P1953" s="1" t="n">
        <v>1950</v>
      </c>
      <c r="Q1953" s="147" t="n">
        <v>43927.308773624</v>
      </c>
      <c r="R1953" s="147" t="n">
        <v>0.266753802813104</v>
      </c>
      <c r="S1953" s="147" t="n">
        <v>0.0616729620376556</v>
      </c>
      <c r="T1953" s="147" t="n">
        <v>0.0319676670540507</v>
      </c>
    </row>
    <row r="1954" customFormat="false" ht="12.75" hidden="false" customHeight="true" outlineLevel="0" collapsed="false">
      <c r="P1954" s="1" t="n">
        <v>1951</v>
      </c>
      <c r="Q1954" s="147" t="n">
        <v>43950.037952357</v>
      </c>
      <c r="R1954" s="147" t="n">
        <v>0.266873041875381</v>
      </c>
      <c r="S1954" s="147" t="n">
        <v>0.0646982389903542</v>
      </c>
      <c r="T1954" s="147" t="n">
        <v>0.0319472980591629</v>
      </c>
    </row>
    <row r="1955" customFormat="false" ht="12.75" hidden="false" customHeight="true" outlineLevel="0" collapsed="false">
      <c r="P1955" s="1" t="n">
        <v>1952</v>
      </c>
      <c r="Q1955" s="147" t="n">
        <v>43972.35509764</v>
      </c>
      <c r="R1955" s="147" t="n">
        <v>0.266526800037122</v>
      </c>
      <c r="S1955" s="147" t="n">
        <v>0.0667055476521895</v>
      </c>
      <c r="T1955" s="147" t="n">
        <v>0.032069068261778</v>
      </c>
    </row>
    <row r="1956" customFormat="false" ht="12.75" hidden="false" customHeight="true" outlineLevel="0" collapsed="false">
      <c r="P1956" s="1" t="n">
        <v>1953</v>
      </c>
      <c r="Q1956" s="147" t="n">
        <v>43994.513697977</v>
      </c>
      <c r="R1956" s="147" t="n">
        <v>0.265903281252689</v>
      </c>
      <c r="S1956" s="147" t="n">
        <v>0.0677243101656406</v>
      </c>
      <c r="T1956" s="147" t="n">
        <v>0.032278239751869</v>
      </c>
    </row>
    <row r="1957" customFormat="false" ht="12.75" hidden="false" customHeight="true" outlineLevel="0" collapsed="false">
      <c r="P1957" s="1" t="n">
        <v>1954</v>
      </c>
      <c r="Q1957" s="147" t="n">
        <v>44016.575032544</v>
      </c>
      <c r="R1957" s="147" t="n">
        <v>0.26519173151335</v>
      </c>
      <c r="S1957" s="147" t="n">
        <v>0.068227865736448</v>
      </c>
      <c r="T1957" s="147" t="n">
        <v>0.0322932391650523</v>
      </c>
    </row>
    <row r="1958" customFormat="false" ht="12.75" hidden="false" customHeight="true" outlineLevel="0" collapsed="false">
      <c r="P1958" s="1" t="n">
        <v>1955</v>
      </c>
      <c r="Q1958" s="147" t="n">
        <v>44038.740156225</v>
      </c>
      <c r="R1958" s="147" t="n">
        <v>0.264449871218398</v>
      </c>
      <c r="S1958" s="147" t="n">
        <v>0.0682852171457694</v>
      </c>
      <c r="T1958" s="147" t="n">
        <v>0.0322074970598456</v>
      </c>
    </row>
    <row r="1959" customFormat="false" ht="12.75" hidden="false" customHeight="true" outlineLevel="0" collapsed="false">
      <c r="P1959" s="1" t="n">
        <v>1956</v>
      </c>
      <c r="Q1959" s="147" t="n">
        <v>44060.952987856</v>
      </c>
      <c r="R1959" s="147" t="n">
        <v>0.264213340289022</v>
      </c>
      <c r="S1959" s="147" t="n">
        <v>0.0688318701471355</v>
      </c>
      <c r="T1959" s="147" t="n">
        <v>0.0321181995124287</v>
      </c>
    </row>
    <row r="1960" customFormat="false" ht="12.75" hidden="false" customHeight="true" outlineLevel="0" collapsed="false">
      <c r="P1960" s="1" t="n">
        <v>1957</v>
      </c>
      <c r="Q1960" s="147" t="n">
        <v>44083.425219906</v>
      </c>
      <c r="R1960" s="147" t="n">
        <v>0.264638539673494</v>
      </c>
      <c r="S1960" s="147" t="n">
        <v>0.0740600015330818</v>
      </c>
      <c r="T1960" s="147" t="n">
        <v>0.0317701657463078</v>
      </c>
    </row>
    <row r="1961" customFormat="false" ht="12.75" hidden="false" customHeight="true" outlineLevel="0" collapsed="false">
      <c r="P1961" s="1" t="n">
        <v>1958</v>
      </c>
      <c r="Q1961" s="147" t="n">
        <v>44106.358601891</v>
      </c>
      <c r="R1961" s="147" t="n">
        <v>0.264724095396988</v>
      </c>
      <c r="S1961" s="147" t="n">
        <v>0.0803036350338697</v>
      </c>
      <c r="T1961" s="147" t="n">
        <v>0.0315783487532965</v>
      </c>
    </row>
    <row r="1962" customFormat="false" ht="12.75" hidden="false" customHeight="true" outlineLevel="0" collapsed="false">
      <c r="P1962" s="1" t="n">
        <v>1959</v>
      </c>
      <c r="Q1962" s="147" t="n">
        <v>44129.027160696</v>
      </c>
      <c r="R1962" s="147" t="n">
        <v>0.265600137001951</v>
      </c>
      <c r="S1962" s="147" t="n">
        <v>0.0857129695891182</v>
      </c>
      <c r="T1962" s="147" t="n">
        <v>0.0317161124964103</v>
      </c>
    </row>
    <row r="1963" customFormat="false" ht="12.75" hidden="false" customHeight="true" outlineLevel="0" collapsed="false">
      <c r="P1963" s="1" t="n">
        <v>1960</v>
      </c>
      <c r="Q1963" s="147" t="n">
        <v>44152.012470133</v>
      </c>
      <c r="R1963" s="147" t="n">
        <v>0.26636728449303</v>
      </c>
      <c r="S1963" s="147" t="n">
        <v>0.0923484241054896</v>
      </c>
      <c r="T1963" s="147" t="n">
        <v>0.0321348514302862</v>
      </c>
    </row>
    <row r="1964" customFormat="false" ht="12.75" hidden="false" customHeight="true" outlineLevel="0" collapsed="false">
      <c r="P1964" s="1" t="n">
        <v>1961</v>
      </c>
      <c r="Q1964" s="147" t="n">
        <v>44175.008149968</v>
      </c>
      <c r="R1964" s="147" t="n">
        <v>0.267195483334314</v>
      </c>
      <c r="S1964" s="147" t="n">
        <v>0.0987294950973959</v>
      </c>
      <c r="T1964" s="147" t="n">
        <v>0.0325053943440281</v>
      </c>
    </row>
    <row r="1965" customFormat="false" ht="12.75" hidden="false" customHeight="true" outlineLevel="0" collapsed="false">
      <c r="P1965" s="1" t="n">
        <v>1962</v>
      </c>
      <c r="Q1965" s="147" t="n">
        <v>44197.886089325</v>
      </c>
      <c r="R1965" s="147" t="n">
        <v>0.267892570051332</v>
      </c>
      <c r="S1965" s="147" t="n">
        <v>0.104397306635874</v>
      </c>
      <c r="T1965" s="147" t="n">
        <v>0.0327809139519549</v>
      </c>
    </row>
    <row r="1966" customFormat="false" ht="12.75" hidden="false" customHeight="true" outlineLevel="0" collapsed="false">
      <c r="P1966" s="1" t="n">
        <v>1963</v>
      </c>
      <c r="Q1966" s="147" t="n">
        <v>44220.417028962</v>
      </c>
      <c r="R1966" s="147" t="n">
        <v>0.26846509573286</v>
      </c>
      <c r="S1966" s="147" t="n">
        <v>0.108084375390146</v>
      </c>
      <c r="T1966" s="147" t="n">
        <v>0.0327104687908792</v>
      </c>
    </row>
    <row r="1967" customFormat="false" ht="12.75" hidden="false" customHeight="true" outlineLevel="0" collapsed="false">
      <c r="P1967" s="1" t="n">
        <v>1964</v>
      </c>
      <c r="Q1967" s="147" t="n">
        <v>44242.967974859</v>
      </c>
      <c r="R1967" s="147" t="n">
        <v>0.268749194495142</v>
      </c>
      <c r="S1967" s="147" t="n">
        <v>0.112220983570075</v>
      </c>
      <c r="T1967" s="147" t="n">
        <v>0.0317283375650566</v>
      </c>
    </row>
    <row r="1968" customFormat="false" ht="12.75" hidden="false" customHeight="true" outlineLevel="0" collapsed="false">
      <c r="P1968" s="1" t="n">
        <v>1965</v>
      </c>
      <c r="Q1968" s="147" t="n">
        <v>44265.127724761</v>
      </c>
      <c r="R1968" s="147" t="n">
        <v>0.268733100168753</v>
      </c>
      <c r="S1968" s="147" t="n">
        <v>0.114312882293502</v>
      </c>
      <c r="T1968" s="147" t="n">
        <v>0.030911984745496</v>
      </c>
    </row>
    <row r="1969" customFormat="false" ht="12.75" hidden="false" customHeight="true" outlineLevel="0" collapsed="false">
      <c r="P1969" s="1" t="n">
        <v>1966</v>
      </c>
      <c r="Q1969" s="147" t="n">
        <v>44287.59810322</v>
      </c>
      <c r="R1969" s="147" t="n">
        <v>0.26823008889841</v>
      </c>
      <c r="S1969" s="147" t="n">
        <v>0.117473532003592</v>
      </c>
      <c r="T1969" s="147" t="n">
        <v>0.0289175123004346</v>
      </c>
    </row>
    <row r="1970" customFormat="false" ht="12.75" hidden="false" customHeight="true" outlineLevel="0" collapsed="false">
      <c r="P1970" s="1" t="n">
        <v>1967</v>
      </c>
      <c r="Q1970" s="147" t="n">
        <v>44310.333685778</v>
      </c>
      <c r="R1970" s="147" t="n">
        <v>0.267396862158557</v>
      </c>
      <c r="S1970" s="147" t="n">
        <v>0.118625584055468</v>
      </c>
      <c r="T1970" s="147" t="n">
        <v>0.0268966019039005</v>
      </c>
    </row>
    <row r="1971" customFormat="false" ht="12.75" hidden="false" customHeight="true" outlineLevel="0" collapsed="false">
      <c r="P1971" s="1" t="n">
        <v>1968</v>
      </c>
      <c r="Q1971" s="147" t="n">
        <v>44333.307884518</v>
      </c>
      <c r="R1971" s="147" t="n">
        <v>0.267184568813927</v>
      </c>
      <c r="S1971" s="147" t="n">
        <v>0.11730120812111</v>
      </c>
      <c r="T1971" s="147" t="n">
        <v>0.0258759131820953</v>
      </c>
    </row>
    <row r="1972" customFormat="false" ht="12.75" hidden="false" customHeight="true" outlineLevel="0" collapsed="false">
      <c r="P1972" s="1" t="n">
        <v>1969</v>
      </c>
      <c r="Q1972" s="147" t="n">
        <v>44356.15498671</v>
      </c>
      <c r="R1972" s="147" t="n">
        <v>0.267001472914154</v>
      </c>
      <c r="S1972" s="147" t="n">
        <v>0.115926590135355</v>
      </c>
      <c r="T1972" s="147" t="n">
        <v>0.0248966667535303</v>
      </c>
    </row>
    <row r="1973" customFormat="false" ht="12.75" hidden="false" customHeight="true" outlineLevel="0" collapsed="false">
      <c r="P1973" s="1" t="n">
        <v>1970</v>
      </c>
      <c r="Q1973" s="147" t="n">
        <v>44379.022875449</v>
      </c>
      <c r="R1973" s="147" t="n">
        <v>0.26700116087682</v>
      </c>
      <c r="S1973" s="147" t="n">
        <v>0.112530466469441</v>
      </c>
      <c r="T1973" s="147" t="n">
        <v>0.0242403085931447</v>
      </c>
    </row>
    <row r="1974" customFormat="false" ht="12.75" hidden="false" customHeight="true" outlineLevel="0" collapsed="false">
      <c r="P1974" s="1" t="n">
        <v>1971</v>
      </c>
      <c r="Q1974" s="147" t="n">
        <v>44400.938641812</v>
      </c>
      <c r="R1974" s="147" t="n">
        <v>0.266989601131584</v>
      </c>
      <c r="S1974" s="147" t="n">
        <v>0.112158348122061</v>
      </c>
      <c r="T1974" s="147" t="n">
        <v>0.023476804733631</v>
      </c>
    </row>
    <row r="1975" customFormat="false" ht="12.75" hidden="false" customHeight="true" outlineLevel="0" collapsed="false">
      <c r="P1975" s="1" t="n">
        <v>1972</v>
      </c>
      <c r="Q1975" s="147" t="n">
        <v>44424.100105395</v>
      </c>
      <c r="R1975" s="147" t="n">
        <v>0.267290235681848</v>
      </c>
      <c r="S1975" s="147" t="n">
        <v>0.10568228176839</v>
      </c>
      <c r="T1975" s="147" t="n">
        <v>0.024052383965746</v>
      </c>
    </row>
    <row r="1976" customFormat="false" ht="12.75" hidden="false" customHeight="true" outlineLevel="0" collapsed="false">
      <c r="P1976" s="1" t="n">
        <v>1973</v>
      </c>
      <c r="Q1976" s="147" t="n">
        <v>44446.247432889</v>
      </c>
      <c r="R1976" s="147" t="n">
        <v>0.267287925467575</v>
      </c>
      <c r="S1976" s="147" t="n">
        <v>0.104307543715778</v>
      </c>
      <c r="T1976" s="147" t="n">
        <v>0.0240204981515714</v>
      </c>
    </row>
    <row r="1977" customFormat="false" ht="12.75" hidden="false" customHeight="true" outlineLevel="0" collapsed="false">
      <c r="P1977" s="1" t="n">
        <v>1974</v>
      </c>
      <c r="Q1977" s="147" t="n">
        <v>44468.603800817</v>
      </c>
      <c r="R1977" s="147" t="n">
        <v>0.26732176411563</v>
      </c>
      <c r="S1977" s="147" t="n">
        <v>0.101354581115871</v>
      </c>
      <c r="T1977" s="147" t="n">
        <v>0.0243879216427816</v>
      </c>
    </row>
    <row r="1978" customFormat="false" ht="12.75" hidden="false" customHeight="true" outlineLevel="0" collapsed="false">
      <c r="P1978" s="1" t="n">
        <v>1975</v>
      </c>
      <c r="Q1978" s="147" t="n">
        <v>44490.65922407</v>
      </c>
      <c r="R1978" s="147" t="n">
        <v>0.267770874193323</v>
      </c>
      <c r="S1978" s="147" t="n">
        <v>0.09906246750988</v>
      </c>
      <c r="T1978" s="147" t="n">
        <v>0.0248216957373031</v>
      </c>
    </row>
    <row r="1979" customFormat="false" ht="12.75" hidden="false" customHeight="true" outlineLevel="0" collapsed="false">
      <c r="P1979" s="1" t="n">
        <v>1976</v>
      </c>
      <c r="Q1979" s="147" t="n">
        <v>44513.262374619</v>
      </c>
      <c r="R1979" s="147" t="n">
        <v>0.26852102399352</v>
      </c>
      <c r="S1979" s="147" t="n">
        <v>0.0997521215495367</v>
      </c>
      <c r="T1979" s="147" t="n">
        <v>0.0249381325981795</v>
      </c>
    </row>
    <row r="1980" customFormat="false" ht="12.75" hidden="false" customHeight="true" outlineLevel="0" collapsed="false">
      <c r="P1980" s="1" t="n">
        <v>1977</v>
      </c>
      <c r="Q1980" s="147" t="n">
        <v>44536.0872995</v>
      </c>
      <c r="R1980" s="147" t="n">
        <v>0.268907712295646</v>
      </c>
      <c r="S1980" s="147" t="n">
        <v>0.108454086794086</v>
      </c>
      <c r="T1980" s="147" t="n">
        <v>0.0236371937733118</v>
      </c>
    </row>
    <row r="1981" customFormat="false" ht="12.75" hidden="false" customHeight="true" outlineLevel="0" collapsed="false">
      <c r="P1981" s="1" t="n">
        <v>1978</v>
      </c>
      <c r="Q1981" s="147" t="n">
        <v>44558.167261765</v>
      </c>
      <c r="R1981" s="147" t="n">
        <v>0.269272358246485</v>
      </c>
      <c r="S1981" s="147" t="n">
        <v>0.108879316404347</v>
      </c>
      <c r="T1981" s="147" t="n">
        <v>0.0230636859197276</v>
      </c>
    </row>
    <row r="1982" customFormat="false" ht="12.75" hidden="false" customHeight="true" outlineLevel="0" collapsed="false">
      <c r="P1982" s="1" t="n">
        <v>1979</v>
      </c>
      <c r="Q1982" s="147" t="n">
        <v>44581.084608926</v>
      </c>
      <c r="R1982" s="147" t="n">
        <v>0.271257554584567</v>
      </c>
      <c r="S1982" s="147" t="n">
        <v>0.119749251803009</v>
      </c>
      <c r="T1982" s="147" t="n">
        <v>0.0212183300342027</v>
      </c>
    </row>
    <row r="1983" customFormat="false" ht="12.75" hidden="false" customHeight="true" outlineLevel="0" collapsed="false">
      <c r="P1983" s="1" t="n">
        <v>1980</v>
      </c>
      <c r="Q1983" s="147" t="n">
        <v>44603.138339855</v>
      </c>
      <c r="R1983" s="147" t="n">
        <v>0.2722792640836</v>
      </c>
      <c r="S1983" s="147" t="n">
        <v>0.120530441877578</v>
      </c>
      <c r="T1983" s="147" t="n">
        <v>0.0206648027225315</v>
      </c>
    </row>
    <row r="1984" customFormat="false" ht="12.75" hidden="false" customHeight="true" outlineLevel="0" collapsed="false">
      <c r="P1984" s="1" t="n">
        <v>1981</v>
      </c>
      <c r="Q1984" s="147" t="n">
        <v>44625.686852323</v>
      </c>
      <c r="R1984" s="147" t="n">
        <v>0.274369364691101</v>
      </c>
      <c r="S1984" s="147" t="n">
        <v>0.125797470514393</v>
      </c>
      <c r="T1984" s="147" t="n">
        <v>0.0189701447512059</v>
      </c>
    </row>
    <row r="1985" customFormat="false" ht="12.75" hidden="false" customHeight="true" outlineLevel="0" collapsed="false">
      <c r="P1985" s="1" t="n">
        <v>1982</v>
      </c>
      <c r="Q1985" s="147" t="n">
        <v>44647.445712614</v>
      </c>
      <c r="R1985" s="147" t="n">
        <v>0.275551670143561</v>
      </c>
      <c r="S1985" s="147" t="n">
        <v>0.126021226990885</v>
      </c>
      <c r="T1985" s="147" t="n">
        <v>0.0182094828432608</v>
      </c>
    </row>
    <row r="1986" customFormat="false" ht="12.75" hidden="false" customHeight="true" outlineLevel="0" collapsed="false">
      <c r="P1986" s="1" t="n">
        <v>1983</v>
      </c>
      <c r="Q1986" s="147" t="n">
        <v>44670.066804591</v>
      </c>
      <c r="R1986" s="147" t="n">
        <v>0.27669659856724</v>
      </c>
      <c r="S1986" s="147" t="n">
        <v>0.127197805761637</v>
      </c>
      <c r="T1986" s="147" t="n">
        <v>0.0165751940080008</v>
      </c>
    </row>
    <row r="1987" customFormat="false" ht="12.75" hidden="false" customHeight="true" outlineLevel="0" collapsed="false">
      <c r="P1987" s="1" t="n">
        <v>1984</v>
      </c>
      <c r="Q1987" s="147" t="n">
        <v>44692.163833697</v>
      </c>
      <c r="R1987" s="147" t="n">
        <v>0.277113094257923</v>
      </c>
      <c r="S1987" s="147" t="n">
        <v>0.126354615528871</v>
      </c>
      <c r="T1987" s="147" t="n">
        <v>0.0164634749941273</v>
      </c>
    </row>
    <row r="1988" customFormat="false" ht="12.75" hidden="false" customHeight="true" outlineLevel="0" collapsed="false">
      <c r="P1988" s="1" t="n">
        <v>1985</v>
      </c>
      <c r="Q1988" s="147" t="n">
        <v>44715.485404529</v>
      </c>
      <c r="R1988" s="147" t="n">
        <v>0.276740077016806</v>
      </c>
      <c r="S1988" s="147" t="n">
        <v>0.116199950020606</v>
      </c>
      <c r="T1988" s="147" t="n">
        <v>0.0182436179755206</v>
      </c>
    </row>
    <row r="1989" customFormat="false" ht="12.75" hidden="false" customHeight="true" outlineLevel="0" collapsed="false">
      <c r="P1989" s="1" t="n">
        <v>1986</v>
      </c>
      <c r="Q1989" s="147" t="n">
        <v>44737.429642257</v>
      </c>
      <c r="R1989" s="147" t="n">
        <v>0.276849288037587</v>
      </c>
      <c r="S1989" s="147" t="n">
        <v>0.115893887350488</v>
      </c>
      <c r="T1989" s="147" t="n">
        <v>0.0176174399214723</v>
      </c>
    </row>
    <row r="1990" customFormat="false" ht="12.75" hidden="false" customHeight="true" outlineLevel="0" collapsed="false">
      <c r="P1990" s="1" t="n">
        <v>1987</v>
      </c>
      <c r="Q1990" s="147" t="n">
        <v>44760.276672169</v>
      </c>
      <c r="R1990" s="147" t="n">
        <v>0.27582693302247</v>
      </c>
      <c r="S1990" s="147" t="n">
        <v>0.112978541878992</v>
      </c>
      <c r="T1990" s="147" t="n">
        <v>0.0191478772142669</v>
      </c>
    </row>
    <row r="1991" customFormat="false" ht="12.75" hidden="false" customHeight="true" outlineLevel="0" collapsed="false">
      <c r="P1991" s="1" t="n">
        <v>1988</v>
      </c>
      <c r="Q1991" s="147" t="n">
        <v>44782.883069825</v>
      </c>
      <c r="R1991" s="147" t="n">
        <v>0.27538348601683</v>
      </c>
      <c r="S1991" s="147" t="n">
        <v>0.111683222352031</v>
      </c>
      <c r="T1991" s="147" t="n">
        <v>0.0201503359475992</v>
      </c>
    </row>
    <row r="1992" customFormat="false" ht="12.75" hidden="false" customHeight="true" outlineLevel="0" collapsed="false">
      <c r="P1992" s="1" t="n">
        <v>1989</v>
      </c>
      <c r="Q1992" s="147" t="n">
        <v>44805.434073483</v>
      </c>
      <c r="R1992" s="147" t="n">
        <v>0.274402864965432</v>
      </c>
      <c r="S1992" s="147" t="n">
        <v>0.108223299345923</v>
      </c>
      <c r="T1992" s="147" t="n">
        <v>0.0221981039657756</v>
      </c>
    </row>
    <row r="1993" customFormat="false" ht="12.75" hidden="false" customHeight="true" outlineLevel="0" collapsed="false">
      <c r="P1993" s="1" t="n">
        <v>1990</v>
      </c>
      <c r="Q1993" s="147" t="n">
        <v>44827.871889055</v>
      </c>
      <c r="R1993" s="147" t="n">
        <v>0.273623649646833</v>
      </c>
      <c r="S1993" s="147" t="n">
        <v>0.106321187832295</v>
      </c>
      <c r="T1993" s="147" t="n">
        <v>0.0236856296259</v>
      </c>
    </row>
    <row r="1994" customFormat="false" ht="12.75" hidden="false" customHeight="true" outlineLevel="0" collapsed="false">
      <c r="P1994" s="1" t="n">
        <v>1991</v>
      </c>
      <c r="Q1994" s="147" t="n">
        <v>44850.301068241</v>
      </c>
      <c r="R1994" s="147" t="n">
        <v>0.272717478056092</v>
      </c>
      <c r="S1994" s="147" t="n">
        <v>0.103018203029828</v>
      </c>
      <c r="T1994" s="147" t="n">
        <v>0.0256107503884819</v>
      </c>
    </row>
    <row r="1995" customFormat="false" ht="12.75" hidden="false" customHeight="true" outlineLevel="0" collapsed="false">
      <c r="P1995" s="1" t="n">
        <v>1992</v>
      </c>
      <c r="Q1995" s="147" t="n">
        <v>44873.027297867</v>
      </c>
      <c r="R1995" s="147" t="n">
        <v>0.27166917017684</v>
      </c>
      <c r="S1995" s="147" t="n">
        <v>0.101012980757055</v>
      </c>
      <c r="T1995" s="147" t="n">
        <v>0.0273932414875471</v>
      </c>
    </row>
    <row r="1996" customFormat="false" ht="12.75" hidden="false" customHeight="true" outlineLevel="0" collapsed="false">
      <c r="P1996" s="1" t="n">
        <v>1993</v>
      </c>
      <c r="Q1996" s="147" t="n">
        <v>44895.705466786</v>
      </c>
      <c r="R1996" s="147" t="n">
        <v>0.270843805764755</v>
      </c>
      <c r="S1996" s="147" t="n">
        <v>0.0984305947072369</v>
      </c>
      <c r="T1996" s="147" t="n">
        <v>0.0290939145752913</v>
      </c>
    </row>
    <row r="1997" customFormat="false" ht="12.75" hidden="false" customHeight="true" outlineLevel="0" collapsed="false">
      <c r="P1997" s="1" t="n">
        <v>1994</v>
      </c>
      <c r="Q1997" s="147" t="n">
        <v>44917.958812545</v>
      </c>
      <c r="R1997" s="147" t="n">
        <v>0.270339798960454</v>
      </c>
      <c r="S1997" s="147" t="n">
        <v>0.0974014672530442</v>
      </c>
      <c r="T1997" s="147" t="n">
        <v>0.030445283991896</v>
      </c>
    </row>
    <row r="1998" customFormat="false" ht="12.75" hidden="false" customHeight="true" outlineLevel="0" collapsed="false">
      <c r="P1998" s="1" t="n">
        <v>1995</v>
      </c>
      <c r="Q1998" s="147" t="n">
        <v>44940.406490847</v>
      </c>
      <c r="R1998" s="147" t="n">
        <v>0.270358025671513</v>
      </c>
      <c r="S1998" s="147" t="n">
        <v>0.0965830777787262</v>
      </c>
      <c r="T1998" s="147" t="n">
        <v>0.0314651243222191</v>
      </c>
    </row>
    <row r="1999" customFormat="false" ht="12.75" hidden="false" customHeight="true" outlineLevel="0" collapsed="false">
      <c r="P1999" s="1" t="n">
        <v>1996</v>
      </c>
      <c r="Q1999" s="147" t="n">
        <v>44962.606119892</v>
      </c>
      <c r="R1999" s="147" t="n">
        <v>0.270850449726331</v>
      </c>
      <c r="S1999" s="147" t="n">
        <v>0.0962276443664907</v>
      </c>
      <c r="T1999" s="147" t="n">
        <v>0.0320164780161609</v>
      </c>
    </row>
    <row r="2000" customFormat="false" ht="12.75" hidden="false" customHeight="true" outlineLevel="0" collapsed="false">
      <c r="P2000" s="1" t="n">
        <v>1997</v>
      </c>
      <c r="Q2000" s="147" t="n">
        <v>44985.055345138</v>
      </c>
      <c r="R2000" s="147" t="n">
        <v>0.271833670886258</v>
      </c>
      <c r="S2000" s="147" t="n">
        <v>0.0957541372898119</v>
      </c>
      <c r="T2000" s="147" t="n">
        <v>0.0320179443138848</v>
      </c>
    </row>
    <row r="2001" customFormat="false" ht="12.75" hidden="false" customHeight="true" outlineLevel="0" collapsed="false">
      <c r="P2001" s="1" t="n">
        <v>1998</v>
      </c>
      <c r="Q2001" s="147" t="n">
        <v>45007.584195295</v>
      </c>
      <c r="R2001" s="147" t="n">
        <v>0.273217316824428</v>
      </c>
      <c r="S2001" s="147" t="n">
        <v>0.0941194630814199</v>
      </c>
      <c r="T2001" s="147" t="n">
        <v>0.0315650695724694</v>
      </c>
    </row>
    <row r="2002" customFormat="false" ht="12.75" hidden="false" customHeight="true" outlineLevel="0" collapsed="false">
      <c r="P2002" s="1" t="n">
        <v>1999</v>
      </c>
      <c r="Q2002" s="147" t="n">
        <v>45030.53533489</v>
      </c>
      <c r="R2002" s="147" t="n">
        <v>0.275106495170623</v>
      </c>
      <c r="S2002" s="147" t="n">
        <v>0.0903242048355433</v>
      </c>
      <c r="T2002" s="147" t="n">
        <v>0.0309822772277912</v>
      </c>
    </row>
    <row r="2003" customFormat="false" ht="12.75" hidden="false" customHeight="true" outlineLevel="0" collapsed="false">
      <c r="P2003" s="1" t="n">
        <v>2000</v>
      </c>
      <c r="Q2003" s="147" t="n">
        <v>45053.287285344</v>
      </c>
      <c r="R2003" s="147" t="n">
        <v>0.27718402843023</v>
      </c>
      <c r="S2003" s="147" t="n">
        <v>0.083631761700271</v>
      </c>
      <c r="T2003" s="147" t="n">
        <v>0.0299235177239574</v>
      </c>
    </row>
    <row r="2004" customFormat="false" ht="12.75" hidden="false" customHeight="true" outlineLevel="0" collapsed="false">
      <c r="P2004" s="1" t="n">
        <v>2001</v>
      </c>
      <c r="Q2004" s="147" t="n">
        <v>45075.953123832</v>
      </c>
      <c r="R2004" s="147" t="n">
        <v>0.279492541251025</v>
      </c>
      <c r="S2004" s="147" t="n">
        <v>0.0757339209574203</v>
      </c>
      <c r="T2004" s="147" t="n">
        <v>0.0288237951728968</v>
      </c>
    </row>
    <row r="2005" customFormat="false" ht="12.75" hidden="false" customHeight="true" outlineLevel="0" collapsed="false">
      <c r="P2005" s="1" t="n">
        <v>2002</v>
      </c>
      <c r="Q2005" s="147" t="n">
        <v>45098.312829836</v>
      </c>
      <c r="R2005" s="147" t="n">
        <v>0.281412885766066</v>
      </c>
      <c r="S2005" s="147" t="n">
        <v>0.066640484034415</v>
      </c>
      <c r="T2005" s="147" t="n">
        <v>0.0277583366159712</v>
      </c>
    </row>
    <row r="2006" customFormat="false" ht="12.75" hidden="false" customHeight="true" outlineLevel="0" collapsed="false">
      <c r="P2006" s="1" t="n">
        <v>2003</v>
      </c>
      <c r="Q2006" s="147" t="n">
        <v>45120.67998452</v>
      </c>
      <c r="R2006" s="147" t="n">
        <v>0.28324561658033</v>
      </c>
      <c r="S2006" s="147" t="n">
        <v>0.0594331969260108</v>
      </c>
      <c r="T2006" s="147" t="n">
        <v>0.0269422822559908</v>
      </c>
    </row>
    <row r="2007" customFormat="false" ht="12.75" hidden="false" customHeight="true" outlineLevel="0" collapsed="false">
      <c r="P2007" s="1" t="n">
        <v>2004</v>
      </c>
      <c r="Q2007" s="147" t="n">
        <v>45143.541525055</v>
      </c>
      <c r="R2007" s="147" t="n">
        <v>0.284711249794629</v>
      </c>
      <c r="S2007" s="147" t="n">
        <v>0.048713251087097</v>
      </c>
      <c r="T2007" s="147" t="n">
        <v>0.0267949391643899</v>
      </c>
    </row>
    <row r="2008" customFormat="false" ht="12.75" hidden="false" customHeight="true" outlineLevel="0" collapsed="false">
      <c r="P2008" s="1" t="n">
        <v>2005</v>
      </c>
      <c r="Q2008" s="147" t="n">
        <v>45165.444310178</v>
      </c>
      <c r="R2008" s="147" t="n">
        <v>0.285624853713296</v>
      </c>
      <c r="S2008" s="147" t="n">
        <v>0.0454228299105976</v>
      </c>
      <c r="T2008" s="147" t="n">
        <v>0.0262227008604902</v>
      </c>
    </row>
    <row r="2009" customFormat="false" ht="12.75" hidden="false" customHeight="true" outlineLevel="0" collapsed="false">
      <c r="P2009" s="1" t="n">
        <v>2006</v>
      </c>
      <c r="Q2009" s="147" t="n">
        <v>45188.302879505</v>
      </c>
      <c r="R2009" s="147" t="n">
        <v>0.286142620477915</v>
      </c>
      <c r="S2009" s="147" t="n">
        <v>0.0387516210632073</v>
      </c>
      <c r="T2009" s="147" t="n">
        <v>0.0271041132926683</v>
      </c>
    </row>
    <row r="2010" customFormat="false" ht="12.75" hidden="false" customHeight="true" outlineLevel="0" collapsed="false">
      <c r="P2010" s="1" t="n">
        <v>2007</v>
      </c>
      <c r="Q2010" s="147" t="n">
        <v>45210.722019711</v>
      </c>
      <c r="R2010" s="147" t="n">
        <v>0.286091147944599</v>
      </c>
      <c r="S2010" s="147" t="n">
        <v>0.0379043699144372</v>
      </c>
      <c r="T2010" s="147" t="n">
        <v>0.027366807254632</v>
      </c>
    </row>
    <row r="2011" customFormat="false" ht="12.75" hidden="false" customHeight="true" outlineLevel="0" collapsed="false">
      <c r="P2011" s="1" t="n">
        <v>2008</v>
      </c>
      <c r="Q2011" s="147" t="n">
        <v>45233.31016979</v>
      </c>
      <c r="R2011" s="147" t="n">
        <v>0.285622274618246</v>
      </c>
      <c r="S2011" s="147" t="n">
        <v>0.0402876649628247</v>
      </c>
      <c r="T2011" s="147" t="n">
        <v>0.0287498769602509</v>
      </c>
    </row>
    <row r="2012" customFormat="false" ht="12.75" hidden="false" customHeight="true" outlineLevel="0" collapsed="false">
      <c r="P2012" s="1" t="n">
        <v>2009</v>
      </c>
      <c r="Q2012" s="147" t="n">
        <v>45256.045001242</v>
      </c>
      <c r="R2012" s="147" t="n">
        <v>0.284513616697407</v>
      </c>
      <c r="S2012" s="147" t="n">
        <v>0.0450814105537401</v>
      </c>
      <c r="T2012" s="147" t="n">
        <v>0.0307176668204949</v>
      </c>
    </row>
    <row r="2013" customFormat="false" ht="12.75" hidden="false" customHeight="true" outlineLevel="0" collapsed="false">
      <c r="P2013" s="1" t="n">
        <v>2010</v>
      </c>
      <c r="Q2013" s="147" t="n">
        <v>45278.85307203</v>
      </c>
      <c r="R2013" s="147" t="n">
        <v>0.283427112212003</v>
      </c>
      <c r="S2013" s="147" t="n">
        <v>0.0506313377949674</v>
      </c>
      <c r="T2013" s="147" t="n">
        <v>0.0324689043554286</v>
      </c>
    </row>
    <row r="2014" customFormat="false" ht="12.75" hidden="false" customHeight="true" outlineLevel="0" collapsed="false">
      <c r="P2014" s="1" t="n">
        <v>2011</v>
      </c>
      <c r="Q2014" s="147" t="n">
        <v>45300.966546181</v>
      </c>
      <c r="R2014" s="147" t="n">
        <v>0.282636098455061</v>
      </c>
      <c r="S2014" s="147" t="n">
        <v>0.0531436334389875</v>
      </c>
      <c r="T2014" s="147" t="n">
        <v>0.0344596992839435</v>
      </c>
    </row>
    <row r="2015" customFormat="false" ht="12.75" hidden="false" customHeight="true" outlineLevel="0" collapsed="false">
      <c r="P2015" s="1" t="n">
        <v>2012</v>
      </c>
      <c r="Q2015" s="147" t="n">
        <v>45324.1964099</v>
      </c>
      <c r="R2015" s="147" t="n">
        <v>0.280991091585948</v>
      </c>
      <c r="S2015" s="147" t="n">
        <v>0.056611900268724</v>
      </c>
      <c r="T2015" s="147" t="n">
        <v>0.0367833660988589</v>
      </c>
    </row>
    <row r="2016" customFormat="false" ht="12.75" hidden="false" customHeight="true" outlineLevel="0" collapsed="false">
      <c r="P2016" s="1" t="n">
        <v>2013</v>
      </c>
      <c r="Q2016" s="147" t="n">
        <v>45346.322987618</v>
      </c>
      <c r="R2016" s="147" t="n">
        <v>0.280540492022291</v>
      </c>
      <c r="S2016" s="147" t="n">
        <v>0.0580417376514416</v>
      </c>
      <c r="T2016" s="147" t="n">
        <v>0.0386257096582657</v>
      </c>
    </row>
    <row r="2017" customFormat="false" ht="12.75" hidden="false" customHeight="true" outlineLevel="0" collapsed="false">
      <c r="P2017" s="1" t="n">
        <v>2014</v>
      </c>
      <c r="Q2017" s="147" t="n">
        <v>45368.780155402</v>
      </c>
      <c r="R2017" s="147" t="n">
        <v>0.279533451480239</v>
      </c>
      <c r="S2017" s="147" t="n">
        <v>0.0586299952277131</v>
      </c>
      <c r="T2017" s="147" t="n">
        <v>0.0396428006447909</v>
      </c>
    </row>
    <row r="2018" customFormat="false" ht="12.75" hidden="false" customHeight="true" outlineLevel="0" collapsed="false">
      <c r="P2018" s="1" t="n">
        <v>2015</v>
      </c>
      <c r="Q2018" s="147" t="n">
        <v>45391.245014346</v>
      </c>
      <c r="R2018" s="147" t="n">
        <v>0.278924501506085</v>
      </c>
      <c r="S2018" s="147" t="n">
        <v>0.0569772544863562</v>
      </c>
      <c r="T2018" s="147" t="n">
        <v>0.0395305044695225</v>
      </c>
    </row>
    <row r="2019" customFormat="false" ht="12.75" hidden="false" customHeight="true" outlineLevel="0" collapsed="false">
      <c r="P2019" s="1" t="n">
        <v>2016</v>
      </c>
      <c r="Q2019" s="147" t="n">
        <v>45414.007855145</v>
      </c>
      <c r="R2019" s="147" t="n">
        <v>0.278583448110539</v>
      </c>
      <c r="S2019" s="147" t="n">
        <v>0.0526790605250075</v>
      </c>
      <c r="T2019" s="147" t="n">
        <v>0.0397824276950783</v>
      </c>
    </row>
    <row r="2020" customFormat="false" ht="12.75" hidden="false" customHeight="true" outlineLevel="0" collapsed="false">
      <c r="P2020" s="1" t="n">
        <v>2017</v>
      </c>
      <c r="Q2020" s="147" t="n">
        <v>45436.657456187</v>
      </c>
      <c r="R2020" s="147" t="n">
        <v>0.278341761182273</v>
      </c>
      <c r="S2020" s="147" t="n">
        <v>0.0486244561938809</v>
      </c>
      <c r="T2020" s="147" t="n">
        <v>0.0404332596075935</v>
      </c>
    </row>
    <row r="2021" customFormat="false" ht="12.75" hidden="false" customHeight="true" outlineLevel="0" collapsed="false">
      <c r="P2021" s="1" t="n">
        <v>2018</v>
      </c>
      <c r="Q2021" s="147" t="n">
        <v>45459.40435402</v>
      </c>
      <c r="R2021" s="147" t="n">
        <v>0.278171664063171</v>
      </c>
      <c r="S2021" s="147" t="n">
        <v>0.0455830534833951</v>
      </c>
      <c r="T2021" s="147" t="n">
        <v>0.0405336265384174</v>
      </c>
    </row>
    <row r="2022" customFormat="false" ht="12.75" hidden="false" customHeight="true" outlineLevel="0" collapsed="false">
      <c r="P2022" s="1" t="n">
        <v>2019</v>
      </c>
      <c r="Q2022" s="147" t="n">
        <v>45481.988905792</v>
      </c>
      <c r="R2022" s="147" t="n">
        <v>0.277820189078182</v>
      </c>
      <c r="S2022" s="147" t="n">
        <v>0.0443604194594814</v>
      </c>
      <c r="T2022" s="147" t="n">
        <v>0.0405707021743821</v>
      </c>
    </row>
    <row r="2023" customFormat="false" ht="12.75" hidden="false" customHeight="true" outlineLevel="0" collapsed="false">
      <c r="P2023" s="1" t="n">
        <v>2020</v>
      </c>
      <c r="Q2023" s="147" t="n">
        <v>45504.175459887</v>
      </c>
      <c r="R2023" s="147" t="n">
        <v>0.277216214942031</v>
      </c>
      <c r="S2023" s="147" t="n">
        <v>0.0445871198469233</v>
      </c>
      <c r="T2023" s="147" t="n">
        <v>0.0401573918242658</v>
      </c>
    </row>
    <row r="2024" customFormat="false" ht="12.75" hidden="false" customHeight="true" outlineLevel="0" collapsed="false">
      <c r="P2024" s="1" t="n">
        <v>2021</v>
      </c>
      <c r="Q2024" s="147" t="n">
        <v>45526.387890058</v>
      </c>
      <c r="R2024" s="147" t="n">
        <v>0.276400126364351</v>
      </c>
      <c r="S2024" s="147" t="n">
        <v>0.0468992334716483</v>
      </c>
      <c r="T2024" s="147" t="n">
        <v>0.0395623658267197</v>
      </c>
    </row>
    <row r="2025" customFormat="false" ht="12.75" hidden="false" customHeight="true" outlineLevel="0" collapsed="false">
      <c r="P2025" s="1" t="n">
        <v>2022</v>
      </c>
      <c r="Q2025" s="147" t="n">
        <v>45548.678976774</v>
      </c>
      <c r="R2025" s="147" t="n">
        <v>0.275471500549477</v>
      </c>
      <c r="S2025" s="147" t="n">
        <v>0.0509934599610608</v>
      </c>
      <c r="T2025" s="147" t="n">
        <v>0.0389682144478155</v>
      </c>
    </row>
    <row r="2026" customFormat="false" ht="12.75" hidden="false" customHeight="true" outlineLevel="0" collapsed="false">
      <c r="P2026" s="1" t="n">
        <v>2023</v>
      </c>
      <c r="Q2026" s="147" t="n">
        <v>45571.206759763</v>
      </c>
      <c r="R2026" s="147" t="n">
        <v>0.274620203764469</v>
      </c>
      <c r="S2026" s="147" t="n">
        <v>0.0583636778239376</v>
      </c>
      <c r="T2026" s="147" t="n">
        <v>0.0392686288022237</v>
      </c>
    </row>
    <row r="2027" customFormat="false" ht="12.75" hidden="false" customHeight="true" outlineLevel="0" collapsed="false">
      <c r="P2027" s="1" t="n">
        <v>2024</v>
      </c>
      <c r="Q2027" s="147" t="n">
        <v>45593.893095309</v>
      </c>
      <c r="R2027" s="147" t="n">
        <v>0.273912478829819</v>
      </c>
      <c r="S2027" s="147" t="n">
        <v>0.0639088998027177</v>
      </c>
      <c r="T2027" s="147" t="n">
        <v>0.0401564967133078</v>
      </c>
    </row>
    <row r="2028" customFormat="false" ht="12.75" hidden="false" customHeight="true" outlineLevel="0" collapsed="false">
      <c r="P2028" s="1" t="n">
        <v>2025</v>
      </c>
      <c r="Q2028" s="147" t="n">
        <v>45616.523270428</v>
      </c>
      <c r="R2028" s="147" t="n">
        <v>0.273742953413661</v>
      </c>
      <c r="S2028" s="147" t="n">
        <v>0.0668919563107962</v>
      </c>
      <c r="T2028" s="147" t="n">
        <v>0.0401232050700065</v>
      </c>
    </row>
    <row r="2029" customFormat="false" ht="12.75" hidden="false" customHeight="true" outlineLevel="0" collapsed="false">
      <c r="P2029" s="1" t="n">
        <v>2026</v>
      </c>
      <c r="Q2029" s="147" t="n">
        <v>45639.292522042</v>
      </c>
      <c r="R2029" s="147" t="n">
        <v>0.273840942444846</v>
      </c>
      <c r="S2029" s="147" t="n">
        <v>0.0684938502312817</v>
      </c>
      <c r="T2029" s="147" t="n">
        <v>0.0414204534491381</v>
      </c>
    </row>
    <row r="2030" customFormat="false" ht="12.75" hidden="false" customHeight="true" outlineLevel="0" collapsed="false">
      <c r="P2030" s="1" t="n">
        <v>2027</v>
      </c>
      <c r="Q2030" s="147" t="n">
        <v>45662.112334763</v>
      </c>
      <c r="R2030" s="147" t="n">
        <v>0.274189438060344</v>
      </c>
      <c r="S2030" s="147" t="n">
        <v>0.0678542880599416</v>
      </c>
      <c r="T2030" s="147" t="n">
        <v>0.0424394643581198</v>
      </c>
    </row>
    <row r="2031" customFormat="false" ht="12.75" hidden="false" customHeight="true" outlineLevel="0" collapsed="false">
      <c r="P2031" s="1" t="n">
        <v>2028</v>
      </c>
      <c r="Q2031" s="147" t="n">
        <v>45684.998449139</v>
      </c>
      <c r="R2031" s="147" t="n">
        <v>0.274673993572892</v>
      </c>
      <c r="S2031" s="147" t="n">
        <v>0.0661215854920255</v>
      </c>
      <c r="T2031" s="147" t="n">
        <v>0.0436874966945682</v>
      </c>
    </row>
    <row r="2032" customFormat="false" ht="12.75" hidden="false" customHeight="true" outlineLevel="0" collapsed="false">
      <c r="P2032" s="1" t="n">
        <v>2029</v>
      </c>
      <c r="Q2032" s="147" t="n">
        <v>45707.584663565</v>
      </c>
      <c r="R2032" s="147" t="n">
        <v>0.274948975994464</v>
      </c>
      <c r="S2032" s="147" t="n">
        <v>0.0643341421931509</v>
      </c>
      <c r="T2032" s="147" t="n">
        <v>0.0451947730363634</v>
      </c>
    </row>
    <row r="2033" customFormat="false" ht="12.75" hidden="false" customHeight="true" outlineLevel="0" collapsed="false">
      <c r="P2033" s="1" t="n">
        <v>2030</v>
      </c>
      <c r="Q2033" s="147" t="n">
        <v>45730.028260112</v>
      </c>
      <c r="R2033" s="147" t="n">
        <v>0.274758697092677</v>
      </c>
      <c r="S2033" s="147" t="n">
        <v>0.0631270625614387</v>
      </c>
      <c r="T2033" s="147" t="n">
        <v>0.0465815749443335</v>
      </c>
    </row>
    <row r="2034" customFormat="false" ht="12.75" hidden="false" customHeight="true" outlineLevel="0" collapsed="false">
      <c r="P2034" s="1" t="n">
        <v>2031</v>
      </c>
      <c r="Q2034" s="147" t="n">
        <v>45752.752788984</v>
      </c>
      <c r="R2034" s="147" t="n">
        <v>0.274041686035901</v>
      </c>
      <c r="S2034" s="147" t="n">
        <v>0.0629487313890502</v>
      </c>
      <c r="T2034" s="147" t="n">
        <v>0.0479505717947762</v>
      </c>
    </row>
    <row r="2035" customFormat="false" ht="12.75" hidden="false" customHeight="true" outlineLevel="0" collapsed="false">
      <c r="P2035" s="1" t="n">
        <v>2032</v>
      </c>
      <c r="Q2035" s="147" t="n">
        <v>45774.983231513</v>
      </c>
      <c r="R2035" s="147" t="n">
        <v>0.272922351013838</v>
      </c>
      <c r="S2035" s="147" t="n">
        <v>0.0641668863363418</v>
      </c>
      <c r="T2035" s="147" t="n">
        <v>0.0489893237162619</v>
      </c>
    </row>
    <row r="2036" customFormat="false" ht="12.75" hidden="false" customHeight="true" outlineLevel="0" collapsed="false">
      <c r="P2036" s="1" t="n">
        <v>2033</v>
      </c>
      <c r="Q2036" s="147" t="n">
        <v>45797.475846843</v>
      </c>
      <c r="R2036" s="147" t="n">
        <v>0.27128316093349</v>
      </c>
      <c r="S2036" s="147" t="n">
        <v>0.0663216179241328</v>
      </c>
      <c r="T2036" s="147" t="n">
        <v>0.049620739301299</v>
      </c>
    </row>
    <row r="2037" customFormat="false" ht="12.75" hidden="false" customHeight="true" outlineLevel="0" collapsed="false">
      <c r="P2037" s="1" t="n">
        <v>2034</v>
      </c>
      <c r="Q2037" s="147" t="n">
        <v>45819.728134574</v>
      </c>
      <c r="R2037" s="147" t="n">
        <v>0.269318819498984</v>
      </c>
      <c r="S2037" s="147" t="n">
        <v>0.0684641225373</v>
      </c>
      <c r="T2037" s="147" t="n">
        <v>0.0497119050075544</v>
      </c>
    </row>
    <row r="2038" customFormat="false" ht="12.75" hidden="false" customHeight="true" outlineLevel="0" collapsed="false">
      <c r="P2038" s="1" t="n">
        <v>2035</v>
      </c>
      <c r="Q2038" s="147" t="n">
        <v>45842.228600842</v>
      </c>
      <c r="R2038" s="147" t="n">
        <v>0.267558103976992</v>
      </c>
      <c r="S2038" s="147" t="n">
        <v>0.0701771189180544</v>
      </c>
      <c r="T2038" s="147" t="n">
        <v>0.0491665291608433</v>
      </c>
    </row>
    <row r="2039" customFormat="false" ht="12.75" hidden="false" customHeight="true" outlineLevel="0" collapsed="false">
      <c r="P2039" s="1" t="n">
        <v>2036</v>
      </c>
      <c r="Q2039" s="147" t="n">
        <v>45864.332219799</v>
      </c>
      <c r="R2039" s="147" t="n">
        <v>0.26600837669391</v>
      </c>
      <c r="S2039" s="147" t="n">
        <v>0.0705860556511728</v>
      </c>
      <c r="T2039" s="147" t="n">
        <v>0.0483646643029584</v>
      </c>
    </row>
    <row r="2040" customFormat="false" ht="12.75" hidden="false" customHeight="true" outlineLevel="0" collapsed="false">
      <c r="P2040" s="1" t="n">
        <v>2037</v>
      </c>
      <c r="Q2040" s="147" t="n">
        <v>45886.744118092</v>
      </c>
      <c r="R2040" s="147" t="n">
        <v>0.264612382226002</v>
      </c>
      <c r="S2040" s="147" t="n">
        <v>0.0692498711258298</v>
      </c>
      <c r="T2040" s="147" t="n">
        <v>0.0475592612945201</v>
      </c>
    </row>
    <row r="2041" customFormat="false" ht="12.75" hidden="false" customHeight="true" outlineLevel="0" collapsed="false">
      <c r="P2041" s="1" t="n">
        <v>2038</v>
      </c>
      <c r="Q2041" s="147" t="n">
        <v>45908.813149526</v>
      </c>
      <c r="R2041" s="147" t="n">
        <v>0.26373663556692</v>
      </c>
      <c r="S2041" s="147" t="n">
        <v>0.0660766961321622</v>
      </c>
      <c r="T2041" s="147" t="n">
        <v>0.046892861398653</v>
      </c>
    </row>
    <row r="2042" customFormat="false" ht="12.75" hidden="false" customHeight="true" outlineLevel="0" collapsed="false">
      <c r="P2042" s="1" t="n">
        <v>2039</v>
      </c>
      <c r="Q2042" s="147" t="n">
        <v>45930.899082843</v>
      </c>
      <c r="R2042" s="147" t="n">
        <v>0.263470774144448</v>
      </c>
      <c r="S2042" s="147" t="n">
        <v>0.061784208627021</v>
      </c>
      <c r="T2042" s="147" t="n">
        <v>0.0466789677070475</v>
      </c>
    </row>
    <row r="2043" customFormat="false" ht="12.75" hidden="false" customHeight="true" outlineLevel="0" collapsed="false">
      <c r="P2043" s="1" t="n">
        <v>2040</v>
      </c>
      <c r="Q2043" s="147" t="n">
        <v>45952.859616522</v>
      </c>
      <c r="R2043" s="147" t="n">
        <v>0.263464086781319</v>
      </c>
      <c r="S2043" s="147" t="n">
        <v>0.0571163320351501</v>
      </c>
      <c r="T2043" s="147" t="n">
        <v>0.0468540724653997</v>
      </c>
    </row>
    <row r="2044" customFormat="false" ht="12.75" hidden="false" customHeight="true" outlineLevel="0" collapsed="false">
      <c r="P2044" s="1" t="n">
        <v>2041</v>
      </c>
      <c r="Q2044" s="147" t="n">
        <v>45975.037111672</v>
      </c>
      <c r="R2044" s="147" t="n">
        <v>0.263695672763312</v>
      </c>
      <c r="S2044" s="147" t="n">
        <v>0.0529459367135701</v>
      </c>
      <c r="T2044" s="147" t="n">
        <v>0.04740434831365</v>
      </c>
    </row>
    <row r="2045" customFormat="false" ht="12.75" hidden="false" customHeight="true" outlineLevel="0" collapsed="false">
      <c r="P2045" s="1" t="n">
        <v>2042</v>
      </c>
      <c r="Q2045" s="147" t="n">
        <v>45997.727242382</v>
      </c>
      <c r="R2045" s="147" t="n">
        <v>0.264252283435678</v>
      </c>
      <c r="S2045" s="147" t="n">
        <v>0.0508006834702039</v>
      </c>
      <c r="T2045" s="147" t="n">
        <v>0.0481525204430399</v>
      </c>
    </row>
    <row r="2046" customFormat="false" ht="12.75" hidden="false" customHeight="true" outlineLevel="0" collapsed="false">
      <c r="P2046" s="1" t="n">
        <v>2043</v>
      </c>
      <c r="Q2046" s="147" t="n">
        <v>46020.720360859</v>
      </c>
      <c r="R2046" s="147" t="n">
        <v>0.265096109223271</v>
      </c>
      <c r="S2046" s="147" t="n">
        <v>0.0575888897089828</v>
      </c>
      <c r="T2046" s="147" t="n">
        <v>0.0485463620070241</v>
      </c>
    </row>
    <row r="2047" customFormat="false" ht="12.75" hidden="false" customHeight="true" outlineLevel="0" collapsed="false">
      <c r="P2047" s="1" t="n">
        <v>2044</v>
      </c>
      <c r="Q2047" s="147" t="n">
        <v>46043.039337474</v>
      </c>
      <c r="R2047" s="147" t="n">
        <v>0.265942713261827</v>
      </c>
      <c r="S2047" s="147" t="n">
        <v>0.0599794171749514</v>
      </c>
      <c r="T2047" s="147" t="n">
        <v>0.0484332633047803</v>
      </c>
    </row>
    <row r="2048" customFormat="false" ht="12.75" hidden="false" customHeight="true" outlineLevel="0" collapsed="false">
      <c r="P2048" s="1" t="n">
        <v>2045</v>
      </c>
      <c r="Q2048" s="147" t="n">
        <v>46065.942539582</v>
      </c>
      <c r="R2048" s="147" t="n">
        <v>0.266099582449334</v>
      </c>
      <c r="S2048" s="147" t="n">
        <v>0.0738558681608512</v>
      </c>
      <c r="T2048" s="147" t="n">
        <v>0.0493575275550703</v>
      </c>
    </row>
    <row r="2049" customFormat="false" ht="12.75" hidden="false" customHeight="true" outlineLevel="0" collapsed="false">
      <c r="P2049" s="1" t="n">
        <v>2046</v>
      </c>
      <c r="Q2049" s="147" t="n">
        <v>46088.116686977</v>
      </c>
      <c r="R2049" s="147" t="n">
        <v>0.266612435312745</v>
      </c>
      <c r="S2049" s="147" t="n">
        <v>0.0766511101907795</v>
      </c>
      <c r="T2049" s="147" t="n">
        <v>0.0486000442806779</v>
      </c>
    </row>
    <row r="2050" customFormat="false" ht="12.75" hidden="false" customHeight="true" outlineLevel="0" collapsed="false">
      <c r="P2050" s="1" t="n">
        <v>2047</v>
      </c>
      <c r="Q2050" s="147" t="n">
        <v>46110.965396292</v>
      </c>
      <c r="R2050" s="147" t="n">
        <v>0.267366928958515</v>
      </c>
      <c r="S2050" s="147" t="n">
        <v>0.083794171456461</v>
      </c>
      <c r="T2050" s="147" t="n">
        <v>0.048876132048934</v>
      </c>
    </row>
    <row r="2051" customFormat="false" ht="12.75" hidden="false" customHeight="true" outlineLevel="0" collapsed="false">
      <c r="P2051" s="1" t="n">
        <v>2048</v>
      </c>
      <c r="Q2051" s="147" t="n">
        <v>46132.75115725</v>
      </c>
      <c r="R2051" s="147" t="n">
        <v>0.267480298715413</v>
      </c>
      <c r="S2051" s="147" t="n">
        <v>0.0851937188220551</v>
      </c>
      <c r="T2051" s="147" t="n">
        <v>0.0487950061977985</v>
      </c>
    </row>
    <row r="2052" customFormat="false" ht="12.75" hidden="false" customHeight="true" outlineLevel="0" collapsed="false">
      <c r="P2052" s="1" t="n">
        <v>2049</v>
      </c>
      <c r="Q2052" s="147" t="n">
        <v>46155.713564591</v>
      </c>
      <c r="R2052" s="147" t="n">
        <v>0.268138339630745</v>
      </c>
      <c r="S2052" s="147" t="n">
        <v>0.087791262309933</v>
      </c>
      <c r="T2052" s="147" t="n">
        <v>0.0493392650640472</v>
      </c>
    </row>
    <row r="2053" customFormat="false" ht="12.75" hidden="false" customHeight="true" outlineLevel="0" collapsed="false">
      <c r="P2053" s="1" t="n">
        <v>2050</v>
      </c>
      <c r="Q2053" s="147" t="n">
        <v>46178.132664675</v>
      </c>
      <c r="R2053" s="147" t="n">
        <v>0.268631904111528</v>
      </c>
      <c r="S2053" s="147" t="n">
        <v>0.0878867691581253</v>
      </c>
      <c r="T2053" s="147" t="n">
        <v>0.0494262342372545</v>
      </c>
    </row>
    <row r="2054" customFormat="false" ht="12.75" hidden="false" customHeight="true" outlineLevel="0" collapsed="false">
      <c r="P2054" s="1" t="n">
        <v>2051</v>
      </c>
      <c r="Q2054" s="147" t="n">
        <v>46200.935791613</v>
      </c>
      <c r="R2054" s="147" t="n">
        <v>0.269894630484264</v>
      </c>
      <c r="S2054" s="147" t="n">
        <v>0.0857756052142926</v>
      </c>
      <c r="T2054" s="147" t="n">
        <v>0.0494673593743027</v>
      </c>
    </row>
    <row r="2055" customFormat="false" ht="12.75" hidden="false" customHeight="true" outlineLevel="0" collapsed="false">
      <c r="P2055" s="1" t="n">
        <v>2052</v>
      </c>
      <c r="Q2055" s="147" t="n">
        <v>46223.846359541</v>
      </c>
      <c r="R2055" s="147" t="n">
        <v>0.270933427513216</v>
      </c>
      <c r="S2055" s="147" t="n">
        <v>0.0794237179313518</v>
      </c>
      <c r="T2055" s="147" t="n">
        <v>0.0491198364792666</v>
      </c>
    </row>
    <row r="2056" customFormat="false" ht="12.75" hidden="false" customHeight="true" outlineLevel="0" collapsed="false">
      <c r="P2056" s="1" t="n">
        <v>2053</v>
      </c>
      <c r="Q2056" s="147" t="n">
        <v>46246.896904809</v>
      </c>
      <c r="R2056" s="147" t="n">
        <v>0.272356957250455</v>
      </c>
      <c r="S2056" s="147" t="n">
        <v>0.0676380316616392</v>
      </c>
      <c r="T2056" s="147" t="n">
        <v>0.0483326557008158</v>
      </c>
    </row>
    <row r="2057" customFormat="false" ht="12.75" hidden="false" customHeight="true" outlineLevel="0" collapsed="false">
      <c r="P2057" s="1" t="n">
        <v>2054</v>
      </c>
      <c r="Q2057" s="147" t="n">
        <v>46268.754807778</v>
      </c>
      <c r="R2057" s="147" t="n">
        <v>0.273020429520734</v>
      </c>
      <c r="S2057" s="147" t="n">
        <v>0.0632172498242997</v>
      </c>
      <c r="T2057" s="147" t="n">
        <v>0.0477706229570709</v>
      </c>
    </row>
    <row r="2058" customFormat="false" ht="12.75" hidden="false" customHeight="true" outlineLevel="0" collapsed="false">
      <c r="P2058" s="1" t="n">
        <v>2055</v>
      </c>
      <c r="Q2058" s="147" t="n">
        <v>46292.10696812</v>
      </c>
      <c r="R2058" s="147" t="n">
        <v>0.274230177910673</v>
      </c>
      <c r="S2058" s="147" t="n">
        <v>0.0518613422305703</v>
      </c>
      <c r="T2058" s="147" t="n">
        <v>0.0465565467977303</v>
      </c>
    </row>
    <row r="2059" customFormat="false" ht="12.75" hidden="false" customHeight="true" outlineLevel="0" collapsed="false">
      <c r="P2059" s="1" t="n">
        <v>2056</v>
      </c>
      <c r="Q2059" s="147" t="n">
        <v>46314.478584994</v>
      </c>
      <c r="R2059" s="147" t="n">
        <v>0.274347284257471</v>
      </c>
      <c r="S2059" s="147" t="n">
        <v>0.0498976101527683</v>
      </c>
      <c r="T2059" s="147" t="n">
        <v>0.0453449624480171</v>
      </c>
    </row>
    <row r="2060" customFormat="false" ht="12.75" hidden="false" customHeight="true" outlineLevel="0" collapsed="false">
      <c r="P2060" s="1" t="n">
        <v>2057</v>
      </c>
      <c r="Q2060" s="147" t="n">
        <v>46336.910963775</v>
      </c>
      <c r="R2060" s="147" t="n">
        <v>0.274124516633513</v>
      </c>
      <c r="S2060" s="147" t="n">
        <v>0.0496896272716469</v>
      </c>
      <c r="T2060" s="147" t="n">
        <v>0.0442822847436328</v>
      </c>
    </row>
    <row r="2061" customFormat="false" ht="12.75" hidden="false" customHeight="true" outlineLevel="0" collapsed="false">
      <c r="P2061" s="1" t="n">
        <v>2058</v>
      </c>
      <c r="Q2061" s="147" t="n">
        <v>46359.661289994</v>
      </c>
      <c r="R2061" s="147" t="n">
        <v>0.273815133611714</v>
      </c>
      <c r="S2061" s="147" t="n">
        <v>0.0513603383157955</v>
      </c>
      <c r="T2061" s="147" t="n">
        <v>0.0432916016494576</v>
      </c>
    </row>
    <row r="2062" customFormat="false" ht="12.75" hidden="false" customHeight="true" outlineLevel="0" collapsed="false">
      <c r="P2062" s="1" t="n">
        <v>2059</v>
      </c>
      <c r="Q2062" s="147" t="n">
        <v>46382.648987793</v>
      </c>
      <c r="R2062" s="147" t="n">
        <v>0.273020085792753</v>
      </c>
      <c r="S2062" s="147" t="n">
        <v>0.0550167503527379</v>
      </c>
      <c r="T2062" s="147" t="n">
        <v>0.0424262961457929</v>
      </c>
    </row>
    <row r="2063" customFormat="false" ht="12.75" hidden="false" customHeight="true" outlineLevel="0" collapsed="false">
      <c r="P2063" s="1" t="n">
        <v>2060</v>
      </c>
      <c r="Q2063" s="147" t="n">
        <v>46405.018521824</v>
      </c>
      <c r="R2063" s="147" t="n">
        <v>0.271894630842514</v>
      </c>
      <c r="S2063" s="147" t="n">
        <v>0.0601715226183425</v>
      </c>
      <c r="T2063" s="147" t="n">
        <v>0.0417481637810881</v>
      </c>
    </row>
    <row r="2064" customFormat="false" ht="12.75" hidden="false" customHeight="true" outlineLevel="0" collapsed="false">
      <c r="P2064" s="1" t="n">
        <v>2061</v>
      </c>
      <c r="Q2064" s="147" t="n">
        <v>46427.627894673</v>
      </c>
      <c r="R2064" s="147" t="n">
        <v>0.270762997610843</v>
      </c>
      <c r="S2064" s="147" t="n">
        <v>0.0653856104987781</v>
      </c>
      <c r="T2064" s="147" t="n">
        <v>0.0410114587676199</v>
      </c>
    </row>
    <row r="2065" customFormat="false" ht="12.75" hidden="false" customHeight="true" outlineLevel="0" collapsed="false">
      <c r="P2065" s="1" t="n">
        <v>2062</v>
      </c>
      <c r="Q2065" s="147" t="n">
        <v>46450.091711922</v>
      </c>
      <c r="R2065" s="147" t="n">
        <v>0.269371405989454</v>
      </c>
      <c r="S2065" s="147" t="n">
        <v>0.0700438137766091</v>
      </c>
      <c r="T2065" s="147" t="n">
        <v>0.0402581846130866</v>
      </c>
    </row>
    <row r="2066" customFormat="false" ht="12.75" hidden="false" customHeight="true" outlineLevel="0" collapsed="false">
      <c r="P2066" s="1" t="n">
        <v>2063</v>
      </c>
      <c r="Q2066" s="147" t="n">
        <v>46472.441467237</v>
      </c>
      <c r="R2066" s="147" t="n">
        <v>0.268220847171746</v>
      </c>
      <c r="S2066" s="147" t="n">
        <v>0.0735158537783256</v>
      </c>
      <c r="T2066" s="147" t="n">
        <v>0.0395371936360429</v>
      </c>
    </row>
    <row r="2067" customFormat="false" ht="12.75" hidden="false" customHeight="true" outlineLevel="0" collapsed="false">
      <c r="P2067" s="1" t="n">
        <v>2064</v>
      </c>
      <c r="Q2067" s="147" t="n">
        <v>46494.764599968</v>
      </c>
      <c r="R2067" s="147" t="n">
        <v>0.267412641359161</v>
      </c>
      <c r="S2067" s="147" t="n">
        <v>0.0766003113538045</v>
      </c>
      <c r="T2067" s="147" t="n">
        <v>0.0384934575870072</v>
      </c>
    </row>
    <row r="2068" customFormat="false" ht="12.75" hidden="false" customHeight="true" outlineLevel="0" collapsed="false">
      <c r="P2068" s="1" t="n">
        <v>2065</v>
      </c>
      <c r="Q2068" s="147" t="n">
        <v>46517.266027808</v>
      </c>
      <c r="R2068" s="147" t="n">
        <v>0.267042806729231</v>
      </c>
      <c r="S2068" s="147" t="n">
        <v>0.0791562441252104</v>
      </c>
      <c r="T2068" s="147" t="n">
        <v>0.0369697854505779</v>
      </c>
    </row>
    <row r="2069" customFormat="false" ht="12.75" hidden="false" customHeight="true" outlineLevel="0" collapsed="false">
      <c r="P2069" s="1" t="n">
        <v>2066</v>
      </c>
      <c r="Q2069" s="147" t="n">
        <v>46539.524939095</v>
      </c>
      <c r="R2069" s="147" t="n">
        <v>0.266556240140245</v>
      </c>
      <c r="S2069" s="147" t="n">
        <v>0.0816255139620976</v>
      </c>
      <c r="T2069" s="147" t="n">
        <v>0.0348874459194871</v>
      </c>
    </row>
    <row r="2070" customFormat="false" ht="12.75" hidden="false" customHeight="true" outlineLevel="0" collapsed="false">
      <c r="P2070" s="1" t="n">
        <v>2067</v>
      </c>
      <c r="Q2070" s="147" t="n">
        <v>46561.885692476</v>
      </c>
      <c r="R2070" s="147" t="n">
        <v>0.266492713669467</v>
      </c>
      <c r="S2070" s="147" t="n">
        <v>0.08389567681752</v>
      </c>
      <c r="T2070" s="147" t="n">
        <v>0.0328550693487053</v>
      </c>
    </row>
    <row r="2071" customFormat="false" ht="12.75" hidden="false" customHeight="true" outlineLevel="0" collapsed="false">
      <c r="P2071" s="1" t="n">
        <v>2068</v>
      </c>
      <c r="Q2071" s="147" t="n">
        <v>46584.266631886</v>
      </c>
      <c r="R2071" s="147" t="n">
        <v>0.266713894193248</v>
      </c>
      <c r="S2071" s="147" t="n">
        <v>0.0851023698899461</v>
      </c>
      <c r="T2071" s="147" t="n">
        <v>0.0309694755634953</v>
      </c>
    </row>
    <row r="2072" customFormat="false" ht="12.75" hidden="false" customHeight="true" outlineLevel="0" collapsed="false">
      <c r="P2072" s="1" t="n">
        <v>2069</v>
      </c>
      <c r="Q2072" s="147" t="n">
        <v>46606.697287388</v>
      </c>
      <c r="R2072" s="147" t="n">
        <v>0.267220091822544</v>
      </c>
      <c r="S2072" s="147" t="n">
        <v>0.0850994952125482</v>
      </c>
      <c r="T2072" s="147" t="n">
        <v>0.029177473557733</v>
      </c>
    </row>
    <row r="2073" customFormat="false" ht="12.75" hidden="false" customHeight="true" outlineLevel="0" collapsed="false">
      <c r="P2073" s="1" t="n">
        <v>2070</v>
      </c>
      <c r="Q2073" s="147" t="n">
        <v>46628.980464208</v>
      </c>
      <c r="R2073" s="147" t="n">
        <v>0.267882423267541</v>
      </c>
      <c r="S2073" s="147" t="n">
        <v>0.084341622036579</v>
      </c>
      <c r="T2073" s="147" t="n">
        <v>0.0275977566304411</v>
      </c>
    </row>
    <row r="2074" customFormat="false" ht="12.75" hidden="false" customHeight="true" outlineLevel="0" collapsed="false">
      <c r="P2074" s="1" t="n">
        <v>2071</v>
      </c>
      <c r="Q2074" s="147" t="n">
        <v>46651.396914017</v>
      </c>
      <c r="R2074" s="147" t="n">
        <v>0.268831309447561</v>
      </c>
      <c r="S2074" s="147" t="n">
        <v>0.0833560978017679</v>
      </c>
      <c r="T2074" s="147" t="n">
        <v>0.0261337963669422</v>
      </c>
    </row>
    <row r="2075" customFormat="false" ht="12.75" hidden="false" customHeight="true" outlineLevel="0" collapsed="false">
      <c r="P2075" s="1" t="n">
        <v>2072</v>
      </c>
      <c r="Q2075" s="147" t="n">
        <v>46673.436921877</v>
      </c>
      <c r="R2075" s="147" t="n">
        <v>0.269400161063047</v>
      </c>
      <c r="S2075" s="147" t="n">
        <v>0.0831831578637801</v>
      </c>
      <c r="T2075" s="147" t="n">
        <v>0.0252425674187011</v>
      </c>
    </row>
    <row r="2076" customFormat="false" ht="12.75" hidden="false" customHeight="true" outlineLevel="0" collapsed="false">
      <c r="P2076" s="1" t="n">
        <v>2073</v>
      </c>
      <c r="Q2076" s="147" t="n">
        <v>46695.611120142</v>
      </c>
      <c r="R2076" s="147" t="n">
        <v>0.270031968513355</v>
      </c>
      <c r="S2076" s="147" t="n">
        <v>0.0830455157459389</v>
      </c>
      <c r="T2076" s="147" t="n">
        <v>0.0244823014935357</v>
      </c>
    </row>
    <row r="2077" customFormat="false" ht="12.75" hidden="false" customHeight="true" outlineLevel="0" collapsed="false">
      <c r="P2077" s="1" t="n">
        <v>2074</v>
      </c>
      <c r="Q2077" s="147" t="n">
        <v>46718.11056423</v>
      </c>
      <c r="R2077" s="147" t="n">
        <v>0.270510619362096</v>
      </c>
      <c r="S2077" s="147" t="n">
        <v>0.0832035274679452</v>
      </c>
      <c r="T2077" s="147" t="n">
        <v>0.0239780737230298</v>
      </c>
    </row>
    <row r="2078" customFormat="false" ht="12.75" hidden="false" customHeight="true" outlineLevel="0" collapsed="false">
      <c r="P2078" s="1" t="n">
        <v>2075</v>
      </c>
      <c r="Q2078" s="147" t="n">
        <v>46740.566029993</v>
      </c>
      <c r="R2078" s="147" t="n">
        <v>0.270791654608994</v>
      </c>
      <c r="S2078" s="147" t="n">
        <v>0.0830903224631203</v>
      </c>
      <c r="T2078" s="147" t="n">
        <v>0.0237458413192569</v>
      </c>
    </row>
    <row r="2079" customFormat="false" ht="12.75" hidden="false" customHeight="true" outlineLevel="0" collapsed="false">
      <c r="P2079" s="1" t="n">
        <v>2076</v>
      </c>
      <c r="Q2079" s="147" t="n">
        <v>46762.849012614</v>
      </c>
      <c r="R2079" s="147" t="n">
        <v>0.270835062847016</v>
      </c>
      <c r="S2079" s="147" t="n">
        <v>0.082431135885303</v>
      </c>
      <c r="T2079" s="147" t="n">
        <v>0.0233840147191908</v>
      </c>
    </row>
    <row r="2080" customFormat="false" ht="12.75" hidden="false" customHeight="true" outlineLevel="0" collapsed="false">
      <c r="P2080" s="1" t="n">
        <v>2077</v>
      </c>
      <c r="Q2080" s="147" t="n">
        <v>46785.275685272</v>
      </c>
      <c r="R2080" s="147" t="n">
        <v>0.270915066475914</v>
      </c>
      <c r="S2080" s="147" t="n">
        <v>0.080064144720358</v>
      </c>
      <c r="T2080" s="147" t="n">
        <v>0.0228109799189181</v>
      </c>
    </row>
    <row r="2081" customFormat="false" ht="12.75" hidden="false" customHeight="true" outlineLevel="0" collapsed="false">
      <c r="P2081" s="1" t="n">
        <v>2078</v>
      </c>
      <c r="Q2081" s="147" t="n">
        <v>46808.073889437</v>
      </c>
      <c r="R2081" s="147" t="n">
        <v>0.271196090275044</v>
      </c>
      <c r="S2081" s="147" t="n">
        <v>0.0744345578721856</v>
      </c>
      <c r="T2081" s="147" t="n">
        <v>0.0228579011745581</v>
      </c>
    </row>
    <row r="2082" customFormat="false" ht="12.75" hidden="false" customHeight="true" outlineLevel="0" collapsed="false">
      <c r="P2082" s="1" t="n">
        <v>2079</v>
      </c>
      <c r="Q2082" s="147" t="n">
        <v>46830.060097733</v>
      </c>
      <c r="R2082" s="147" t="n">
        <v>0.271578068273786</v>
      </c>
      <c r="S2082" s="147" t="n">
        <v>0.0726850052973523</v>
      </c>
      <c r="T2082" s="147" t="n">
        <v>0.0226679198515299</v>
      </c>
    </row>
    <row r="2083" customFormat="false" ht="12.75" hidden="false" customHeight="true" outlineLevel="0" collapsed="false">
      <c r="P2083" s="1" t="n">
        <v>2080</v>
      </c>
      <c r="Q2083" s="147" t="n">
        <v>46853.1059883</v>
      </c>
      <c r="R2083" s="147" t="n">
        <v>0.271143725518424</v>
      </c>
      <c r="S2083" s="147" t="n">
        <v>0.0678197533922748</v>
      </c>
      <c r="T2083" s="147" t="n">
        <v>0.0235063570519631</v>
      </c>
    </row>
    <row r="2084" customFormat="false" ht="12.75" hidden="false" customHeight="true" outlineLevel="0" collapsed="false">
      <c r="P2084" s="1" t="n">
        <v>2081</v>
      </c>
      <c r="Q2084" s="147" t="n">
        <v>46875.663084767</v>
      </c>
      <c r="R2084" s="147" t="n">
        <v>0.270730352644002</v>
      </c>
      <c r="S2084" s="147" t="n">
        <v>0.0653251055501912</v>
      </c>
      <c r="T2084" s="147" t="n">
        <v>0.0223456808432148</v>
      </c>
    </row>
    <row r="2085" customFormat="false" ht="12.75" hidden="false" customHeight="true" outlineLevel="0" collapsed="false">
      <c r="P2085" s="1" t="n">
        <v>2082</v>
      </c>
      <c r="Q2085" s="147" t="n">
        <v>46898.663263797</v>
      </c>
      <c r="R2085" s="147" t="n">
        <v>0.269962999956185</v>
      </c>
      <c r="S2085" s="147" t="n">
        <v>0.062134740561527</v>
      </c>
      <c r="T2085" s="147" t="n">
        <v>0.0226604869010625</v>
      </c>
    </row>
    <row r="2086" customFormat="false" ht="12.75" hidden="false" customHeight="true" outlineLevel="0" collapsed="false">
      <c r="P2086" s="1" t="n">
        <v>2083</v>
      </c>
      <c r="Q2086" s="147" t="n">
        <v>46920.542978937</v>
      </c>
      <c r="R2086" s="147" t="n">
        <v>0.26825201332172</v>
      </c>
      <c r="S2086" s="147" t="n">
        <v>0.0608751960139549</v>
      </c>
      <c r="T2086" s="147" t="n">
        <v>0.0218594761130747</v>
      </c>
    </row>
    <row r="2087" customFormat="false" ht="12.75" hidden="false" customHeight="true" outlineLevel="0" collapsed="false">
      <c r="P2087" s="1" t="n">
        <v>2084</v>
      </c>
      <c r="Q2087" s="147" t="n">
        <v>46943.302386477</v>
      </c>
      <c r="R2087" s="147" t="n">
        <v>0.266635336821353</v>
      </c>
      <c r="S2087" s="147" t="n">
        <v>0.0583054151032884</v>
      </c>
      <c r="T2087" s="147" t="n">
        <v>0.0222103542563957</v>
      </c>
    </row>
    <row r="2088" customFormat="false" ht="12.75" hidden="false" customHeight="true" outlineLevel="0" collapsed="false">
      <c r="P2088" s="1" t="n">
        <v>2085</v>
      </c>
      <c r="Q2088" s="147" t="n">
        <v>46965.405885915</v>
      </c>
      <c r="R2088" s="147" t="n">
        <v>0.264689829427</v>
      </c>
      <c r="S2088" s="147" t="n">
        <v>0.0572789226801776</v>
      </c>
      <c r="T2088" s="147" t="n">
        <v>0.0215105410720481</v>
      </c>
    </row>
    <row r="2089" customFormat="false" ht="12.75" hidden="false" customHeight="true" outlineLevel="0" collapsed="false">
      <c r="P2089" s="1" t="n">
        <v>2086</v>
      </c>
      <c r="Q2089" s="147" t="n">
        <v>46987.675808108</v>
      </c>
      <c r="R2089" s="147" t="n">
        <v>0.262843805946298</v>
      </c>
      <c r="S2089" s="147" t="n">
        <v>0.055424526656787</v>
      </c>
      <c r="T2089" s="147" t="n">
        <v>0.0209687303938451</v>
      </c>
    </row>
    <row r="2090" customFormat="false" ht="12.75" hidden="false" customHeight="true" outlineLevel="0" collapsed="false">
      <c r="P2090" s="1" t="n">
        <v>2087</v>
      </c>
      <c r="Q2090" s="147" t="n">
        <v>47009.893508689</v>
      </c>
      <c r="R2090" s="147" t="n">
        <v>0.262337064382249</v>
      </c>
      <c r="S2090" s="147" t="n">
        <v>0.0550872483887082</v>
      </c>
      <c r="T2090" s="147" t="n">
        <v>0.0204602832182303</v>
      </c>
    </row>
    <row r="2091" customFormat="false" ht="12.75" hidden="false" customHeight="true" outlineLevel="0" collapsed="false">
      <c r="P2091" s="1" t="n">
        <v>2088</v>
      </c>
      <c r="Q2091" s="147" t="n">
        <v>47032.553657636</v>
      </c>
      <c r="R2091" s="147" t="n">
        <v>0.261985967412866</v>
      </c>
      <c r="S2091" s="147" t="n">
        <v>0.0569241801304252</v>
      </c>
      <c r="T2091" s="147" t="n">
        <v>0.0198592137147912</v>
      </c>
    </row>
    <row r="2092" customFormat="false" ht="12.75" hidden="false" customHeight="true" outlineLevel="0" collapsed="false">
      <c r="P2092" s="1" t="n">
        <v>2089</v>
      </c>
      <c r="Q2092" s="147" t="n">
        <v>47054.964479367</v>
      </c>
      <c r="R2092" s="147" t="n">
        <v>0.261431772400113</v>
      </c>
      <c r="S2092" s="147" t="n">
        <v>0.0576834252785895</v>
      </c>
      <c r="T2092" s="147" t="n">
        <v>0.0191764101588968</v>
      </c>
    </row>
    <row r="2093" customFormat="false" ht="12.75" hidden="false" customHeight="true" outlineLevel="0" collapsed="false">
      <c r="P2093" s="1" t="n">
        <v>2090</v>
      </c>
      <c r="Q2093" s="147" t="n">
        <v>47077.471360025</v>
      </c>
      <c r="R2093" s="147" t="n">
        <v>0.261922893477657</v>
      </c>
      <c r="S2093" s="147" t="n">
        <v>0.0569928049420209</v>
      </c>
      <c r="T2093" s="147" t="n">
        <v>0.018646343845369</v>
      </c>
    </row>
    <row r="2094" customFormat="false" ht="12.75" hidden="false" customHeight="true" outlineLevel="0" collapsed="false">
      <c r="P2094" s="1" t="n">
        <v>2091</v>
      </c>
      <c r="Q2094" s="147" t="n">
        <v>47100.228623914</v>
      </c>
      <c r="R2094" s="147" t="n">
        <v>0.262343694650134</v>
      </c>
      <c r="S2094" s="147" t="n">
        <v>0.0569145056382223</v>
      </c>
      <c r="T2094" s="147" t="n">
        <v>0.0183316317275844</v>
      </c>
    </row>
    <row r="2095" customFormat="false" ht="12.75" hidden="false" customHeight="true" outlineLevel="0" collapsed="false">
      <c r="P2095" s="1" t="n">
        <v>2092</v>
      </c>
      <c r="Q2095" s="147" t="n">
        <v>47122.800613742</v>
      </c>
      <c r="R2095" s="147" t="n">
        <v>0.26306002826779</v>
      </c>
      <c r="S2095" s="147" t="n">
        <v>0.0571100678537582</v>
      </c>
      <c r="T2095" s="147" t="n">
        <v>0.0185978665646808</v>
      </c>
    </row>
    <row r="2096" customFormat="false" ht="12.75" hidden="false" customHeight="true" outlineLevel="0" collapsed="false">
      <c r="P2096" s="1" t="n">
        <v>2093</v>
      </c>
      <c r="Q2096" s="147" t="n">
        <v>47145.335253889</v>
      </c>
      <c r="R2096" s="147" t="n">
        <v>0.263892879333125</v>
      </c>
      <c r="S2096" s="147" t="n">
        <v>0.0588275745820565</v>
      </c>
      <c r="T2096" s="147" t="n">
        <v>0.0187183444123694</v>
      </c>
    </row>
    <row r="2097" customFormat="false" ht="12.75" hidden="false" customHeight="true" outlineLevel="0" collapsed="false">
      <c r="P2097" s="1" t="n">
        <v>2094</v>
      </c>
      <c r="Q2097" s="147" t="n">
        <v>47167.266510193</v>
      </c>
      <c r="R2097" s="147" t="n">
        <v>0.264647109866045</v>
      </c>
      <c r="S2097" s="147" t="n">
        <v>0.0605283511406259</v>
      </c>
      <c r="T2097" s="147" t="n">
        <v>0.0198934492313927</v>
      </c>
    </row>
    <row r="2098" customFormat="false" ht="12.75" hidden="false" customHeight="true" outlineLevel="0" collapsed="false">
      <c r="P2098" s="1" t="n">
        <v>2095</v>
      </c>
      <c r="Q2098" s="147" t="n">
        <v>47189.915889763</v>
      </c>
      <c r="R2098" s="147" t="n">
        <v>0.265482695562429</v>
      </c>
      <c r="S2098" s="147" t="n">
        <v>0.0662059368868885</v>
      </c>
      <c r="T2098" s="147" t="n">
        <v>0.0192943985081213</v>
      </c>
    </row>
    <row r="2099" customFormat="false" ht="12.75" hidden="false" customHeight="true" outlineLevel="0" collapsed="false">
      <c r="P2099" s="1" t="n">
        <v>2096</v>
      </c>
      <c r="Q2099" s="147" t="n">
        <v>47211.910652884</v>
      </c>
      <c r="R2099" s="147" t="n">
        <v>0.266376635947198</v>
      </c>
      <c r="S2099" s="147" t="n">
        <v>0.0684414323627649</v>
      </c>
      <c r="T2099" s="147" t="n">
        <v>0.020726857975742</v>
      </c>
    </row>
    <row r="2100" customFormat="false" ht="12.75" hidden="false" customHeight="true" outlineLevel="0" collapsed="false">
      <c r="P2100" s="1" t="n">
        <v>2097</v>
      </c>
      <c r="Q2100" s="147" t="n">
        <v>47234.532361533</v>
      </c>
      <c r="R2100" s="147" t="n">
        <v>0.267001332290222</v>
      </c>
      <c r="S2100" s="147" t="n">
        <v>0.0740925799400776</v>
      </c>
      <c r="T2100" s="147" t="n">
        <v>0.0207782716320401</v>
      </c>
    </row>
    <row r="2101" customFormat="false" ht="12.75" hidden="false" customHeight="true" outlineLevel="0" collapsed="false">
      <c r="P2101" s="1" t="n">
        <v>2098</v>
      </c>
      <c r="Q2101" s="147" t="n">
        <v>47257.013799563</v>
      </c>
      <c r="R2101" s="147" t="n">
        <v>0.266557161383229</v>
      </c>
      <c r="S2101" s="147" t="n">
        <v>0.0803361078667765</v>
      </c>
      <c r="T2101" s="147" t="n">
        <v>0.0209370970945507</v>
      </c>
    </row>
    <row r="2102" customFormat="false" ht="12.75" hidden="false" customHeight="true" outlineLevel="0" collapsed="false">
      <c r="P2102" s="1" t="n">
        <v>2099</v>
      </c>
      <c r="Q2102" s="147" t="n">
        <v>47279.544777274</v>
      </c>
      <c r="R2102" s="147" t="n">
        <v>0.266572982920024</v>
      </c>
      <c r="S2102" s="147" t="n">
        <v>0.0848385544716478</v>
      </c>
      <c r="T2102" s="147" t="n">
        <v>0.0218252233605235</v>
      </c>
    </row>
    <row r="2103" customFormat="false" ht="12.75" hidden="false" customHeight="true" outlineLevel="0" collapsed="false">
      <c r="P2103" s="1" t="n">
        <v>2100</v>
      </c>
      <c r="Q2103" s="147" t="n">
        <v>47302.364352735</v>
      </c>
      <c r="R2103" s="147" t="n">
        <v>0.26563488158765</v>
      </c>
      <c r="S2103" s="147" t="n">
        <v>0.0886301360420492</v>
      </c>
      <c r="T2103" s="147" t="n">
        <v>0.0223037964353737</v>
      </c>
    </row>
    <row r="2104" customFormat="false" ht="12.75" hidden="false" customHeight="true" outlineLevel="0" collapsed="false">
      <c r="P2104" s="1" t="n">
        <v>2101</v>
      </c>
      <c r="Q2104" s="147" t="n">
        <v>47325.08487764</v>
      </c>
      <c r="R2104" s="147" t="n">
        <v>0.264303240683986</v>
      </c>
      <c r="S2104" s="147" t="n">
        <v>0.0920570774560573</v>
      </c>
      <c r="T2104" s="147" t="n">
        <v>0.0228577403865396</v>
      </c>
    </row>
    <row r="2105" customFormat="false" ht="12.75" hidden="false" customHeight="true" outlineLevel="0" collapsed="false">
      <c r="P2105" s="1" t="n">
        <v>2102</v>
      </c>
      <c r="Q2105" s="147" t="n">
        <v>47347.57131773</v>
      </c>
      <c r="R2105" s="147" t="n">
        <v>0.26273074872002</v>
      </c>
      <c r="S2105" s="147" t="n">
        <v>0.0960080574652689</v>
      </c>
      <c r="T2105" s="147" t="n">
        <v>0.0232938826867243</v>
      </c>
    </row>
    <row r="2106" customFormat="false" ht="12.75" hidden="false" customHeight="true" outlineLevel="0" collapsed="false">
      <c r="P2106" s="1" t="n">
        <v>2103</v>
      </c>
      <c r="Q2106" s="147" t="n">
        <v>47369.910517727</v>
      </c>
      <c r="R2106" s="147" t="n">
        <v>0.261038583271332</v>
      </c>
      <c r="S2106" s="147" t="n">
        <v>0.0998786178550493</v>
      </c>
      <c r="T2106" s="147" t="n">
        <v>0.0236634795604707</v>
      </c>
    </row>
    <row r="2107" customFormat="false" ht="12.75" hidden="false" customHeight="true" outlineLevel="0" collapsed="false">
      <c r="P2107" s="1" t="n">
        <v>2104</v>
      </c>
      <c r="Q2107" s="147" t="n">
        <v>47391.967202711</v>
      </c>
      <c r="R2107" s="147" t="n">
        <v>0.259380800500092</v>
      </c>
      <c r="S2107" s="147" t="n">
        <v>0.103249297094726</v>
      </c>
      <c r="T2107" s="147" t="n">
        <v>0.0237623483651799</v>
      </c>
    </row>
    <row r="2108" customFormat="false" ht="12.75" hidden="false" customHeight="true" outlineLevel="0" collapsed="false">
      <c r="P2108" s="1" t="n">
        <v>2105</v>
      </c>
      <c r="Q2108" s="147" t="n">
        <v>47414.517958343</v>
      </c>
      <c r="R2108" s="147" t="n">
        <v>0.258146696932993</v>
      </c>
      <c r="S2108" s="147" t="n">
        <v>0.10504183722765</v>
      </c>
      <c r="T2108" s="147" t="n">
        <v>0.0238456533910093</v>
      </c>
    </row>
    <row r="2109" customFormat="false" ht="12.75" hidden="false" customHeight="true" outlineLevel="0" collapsed="false">
      <c r="P2109" s="1" t="n">
        <v>2106</v>
      </c>
      <c r="Q2109" s="147" t="n">
        <v>47437.056868134</v>
      </c>
      <c r="R2109" s="147" t="n">
        <v>0.25758878551769</v>
      </c>
      <c r="S2109" s="147" t="n">
        <v>0.105273652603042</v>
      </c>
      <c r="T2109" s="147" t="n">
        <v>0.024128135935766</v>
      </c>
    </row>
    <row r="2110" customFormat="false" ht="12.75" hidden="false" customHeight="true" outlineLevel="0" collapsed="false">
      <c r="P2110" s="1" t="n">
        <v>2107</v>
      </c>
      <c r="Q2110" s="147" t="n">
        <v>47459.516286153</v>
      </c>
      <c r="R2110" s="147" t="n">
        <v>0.257779408856073</v>
      </c>
      <c r="S2110" s="147" t="n">
        <v>0.10395929963248</v>
      </c>
      <c r="T2110" s="147" t="n">
        <v>0.0242462715111566</v>
      </c>
    </row>
    <row r="2111" customFormat="false" ht="12.75" hidden="false" customHeight="true" outlineLevel="0" collapsed="false">
      <c r="P2111" s="1" t="n">
        <v>2108</v>
      </c>
      <c r="Q2111" s="147" t="n">
        <v>47481.871214834</v>
      </c>
      <c r="R2111" s="147" t="n">
        <v>0.258843694623766</v>
      </c>
      <c r="S2111" s="147" t="n">
        <v>0.10032361995827</v>
      </c>
      <c r="T2111" s="147" t="n">
        <v>0.0244358118956747</v>
      </c>
    </row>
    <row r="2112" customFormat="false" ht="12.75" hidden="false" customHeight="true" outlineLevel="0" collapsed="false">
      <c r="P2112" s="1" t="n">
        <v>2109</v>
      </c>
      <c r="Q2112" s="147" t="n">
        <v>47504.894626844</v>
      </c>
      <c r="R2112" s="147" t="n">
        <v>0.260332729548078</v>
      </c>
      <c r="S2112" s="147" t="n">
        <v>0.0946119765381184</v>
      </c>
      <c r="T2112" s="147" t="n">
        <v>0.0243083704619591</v>
      </c>
    </row>
    <row r="2113" customFormat="false" ht="12.75" hidden="false" customHeight="true" outlineLevel="0" collapsed="false">
      <c r="P2113" s="1" t="n">
        <v>2110</v>
      </c>
      <c r="Q2113" s="147" t="n">
        <v>47527.489294007</v>
      </c>
      <c r="R2113" s="147" t="n">
        <v>0.262146426761479</v>
      </c>
      <c r="S2113" s="147" t="n">
        <v>0.0873467039071955</v>
      </c>
      <c r="T2113" s="147" t="n">
        <v>0.0247742203500858</v>
      </c>
    </row>
    <row r="2114" customFormat="false" ht="12.75" hidden="false" customHeight="true" outlineLevel="0" collapsed="false">
      <c r="P2114" s="1" t="n">
        <v>2111</v>
      </c>
      <c r="Q2114" s="147" t="n">
        <v>47550.535013938</v>
      </c>
      <c r="R2114" s="147" t="n">
        <v>0.264021500254545</v>
      </c>
      <c r="S2114" s="147" t="n">
        <v>0.0825142029635882</v>
      </c>
      <c r="T2114" s="147" t="n">
        <v>0.0249395372084839</v>
      </c>
    </row>
    <row r="2115" customFormat="false" ht="12.75" hidden="false" customHeight="true" outlineLevel="0" collapsed="false">
      <c r="P2115" s="1" t="n">
        <v>2112</v>
      </c>
      <c r="Q2115" s="147" t="n">
        <v>47573.106421494</v>
      </c>
      <c r="R2115" s="147" t="n">
        <v>0.265793280098358</v>
      </c>
      <c r="S2115" s="147" t="n">
        <v>0.0780369107960425</v>
      </c>
      <c r="T2115" s="147" t="n">
        <v>0.0249072425960342</v>
      </c>
    </row>
    <row r="2116" customFormat="false" ht="12.75" hidden="false" customHeight="true" outlineLevel="0" collapsed="false">
      <c r="P2116" s="1" t="n">
        <v>2113</v>
      </c>
      <c r="Q2116" s="147" t="n">
        <v>47595.647583811</v>
      </c>
      <c r="R2116" s="147" t="n">
        <v>0.267110101717619</v>
      </c>
      <c r="S2116" s="147" t="n">
        <v>0.0755274779425115</v>
      </c>
      <c r="T2116" s="147" t="n">
        <v>0.0247493703826763</v>
      </c>
    </row>
    <row r="2117" customFormat="false" ht="12.75" hidden="false" customHeight="true" outlineLevel="0" collapsed="false">
      <c r="P2117" s="1" t="n">
        <v>2114</v>
      </c>
      <c r="Q2117" s="147" t="n">
        <v>47618.344124187</v>
      </c>
      <c r="R2117" s="147" t="n">
        <v>0.267898932947268</v>
      </c>
      <c r="S2117" s="147" t="n">
        <v>0.0739527129642893</v>
      </c>
      <c r="T2117" s="147" t="n">
        <v>0.023606203989096</v>
      </c>
    </row>
    <row r="2118" customFormat="false" ht="12.75" hidden="false" customHeight="true" outlineLevel="0" collapsed="false">
      <c r="P2118" s="1" t="n">
        <v>2115</v>
      </c>
      <c r="Q2118" s="147" t="n">
        <v>47640.758004612</v>
      </c>
      <c r="R2118" s="147" t="n">
        <v>0.268239193790876</v>
      </c>
      <c r="S2118" s="147" t="n">
        <v>0.0733415402167596</v>
      </c>
      <c r="T2118" s="147" t="n">
        <v>0.0226783594700374</v>
      </c>
    </row>
    <row r="2119" customFormat="false" ht="12.75" hidden="false" customHeight="true" outlineLevel="0" collapsed="false">
      <c r="P2119" s="1" t="n">
        <v>2116</v>
      </c>
      <c r="Q2119" s="147" t="n">
        <v>47662.948095482</v>
      </c>
      <c r="R2119" s="147" t="n">
        <v>0.268172008954571</v>
      </c>
      <c r="S2119" s="147" t="n">
        <v>0.0738245354232594</v>
      </c>
      <c r="T2119" s="147" t="n">
        <v>0.0215275746114654</v>
      </c>
    </row>
    <row r="2120" customFormat="false" ht="12.75" hidden="false" customHeight="true" outlineLevel="0" collapsed="false">
      <c r="P2120" s="1" t="n">
        <v>2117</v>
      </c>
      <c r="Q2120" s="147" t="n">
        <v>47685.365646203</v>
      </c>
      <c r="R2120" s="147" t="n">
        <v>0.268006818551791</v>
      </c>
      <c r="S2120" s="147" t="n">
        <v>0.0745115977540205</v>
      </c>
      <c r="T2120" s="147" t="n">
        <v>0.0203375117823012</v>
      </c>
    </row>
    <row r="2121" customFormat="false" ht="12.75" hidden="false" customHeight="true" outlineLevel="0" collapsed="false">
      <c r="P2121" s="1" t="n">
        <v>2118</v>
      </c>
      <c r="Q2121" s="147" t="n">
        <v>47707.90183675</v>
      </c>
      <c r="R2121" s="147" t="n">
        <v>0.267765607198872</v>
      </c>
      <c r="S2121" s="147" t="n">
        <v>0.0747427447957574</v>
      </c>
      <c r="T2121" s="147" t="n">
        <v>0.0192944169242177</v>
      </c>
    </row>
    <row r="2122" customFormat="false" ht="12.75" hidden="false" customHeight="true" outlineLevel="0" collapsed="false">
      <c r="P2122" s="1" t="n">
        <v>2119</v>
      </c>
      <c r="Q2122" s="147" t="n">
        <v>47730.409510561</v>
      </c>
      <c r="R2122" s="147" t="n">
        <v>0.26771464589374</v>
      </c>
      <c r="S2122" s="147" t="n">
        <v>0.0749085254479326</v>
      </c>
      <c r="T2122" s="147" t="n">
        <v>0.0190148411781942</v>
      </c>
    </row>
    <row r="2123" customFormat="false" ht="12.75" hidden="false" customHeight="true" outlineLevel="0" collapsed="false">
      <c r="P2123" s="1" t="n">
        <v>2120</v>
      </c>
      <c r="Q2123" s="147" t="n">
        <v>47752.880805608</v>
      </c>
      <c r="R2123" s="147" t="n">
        <v>0.26776399271196</v>
      </c>
      <c r="S2123" s="147" t="n">
        <v>0.0737316028750308</v>
      </c>
      <c r="T2123" s="147" t="n">
        <v>0.0183820033470733</v>
      </c>
    </row>
    <row r="2124" customFormat="false" ht="12.75" hidden="false" customHeight="true" outlineLevel="0" collapsed="false">
      <c r="P2124" s="1" t="n">
        <v>2121</v>
      </c>
      <c r="Q2124" s="147" t="n">
        <v>47775.305976858</v>
      </c>
      <c r="R2124" s="147" t="n">
        <v>0.268003829830337</v>
      </c>
      <c r="S2124" s="147" t="n">
        <v>0.0718350122534386</v>
      </c>
      <c r="T2124" s="147" t="n">
        <v>0.0182702715282606</v>
      </c>
    </row>
    <row r="2125" customFormat="false" ht="12.75" hidden="false" customHeight="true" outlineLevel="0" collapsed="false">
      <c r="P2125" s="1" t="n">
        <v>2122</v>
      </c>
      <c r="Q2125" s="147" t="n">
        <v>47797.65075061</v>
      </c>
      <c r="R2125" s="147" t="n">
        <v>0.268328998547373</v>
      </c>
      <c r="S2125" s="147" t="n">
        <v>0.0695609057439944</v>
      </c>
      <c r="T2125" s="147" t="n">
        <v>0.0185266605053506</v>
      </c>
    </row>
    <row r="2126" customFormat="false" ht="12.75" hidden="false" customHeight="true" outlineLevel="0" collapsed="false">
      <c r="P2126" s="1" t="n">
        <v>2123</v>
      </c>
      <c r="Q2126" s="147" t="n">
        <v>47820.262748054</v>
      </c>
      <c r="R2126" s="147" t="n">
        <v>0.268788437491698</v>
      </c>
      <c r="S2126" s="147" t="n">
        <v>0.0673434780328583</v>
      </c>
      <c r="T2126" s="147" t="n">
        <v>0.0192750914628608</v>
      </c>
    </row>
    <row r="2127" customFormat="false" ht="12.75" hidden="false" customHeight="true" outlineLevel="0" collapsed="false">
      <c r="P2127" s="1" t="n">
        <v>2124</v>
      </c>
      <c r="Q2127" s="147" t="n">
        <v>47842.465867441</v>
      </c>
      <c r="R2127" s="147" t="n">
        <v>0.269354894046001</v>
      </c>
      <c r="S2127" s="147" t="n">
        <v>0.0663313869271795</v>
      </c>
      <c r="T2127" s="147" t="n">
        <v>0.0204322761064918</v>
      </c>
    </row>
    <row r="2128" customFormat="false" ht="12.75" hidden="false" customHeight="true" outlineLevel="0" collapsed="false">
      <c r="P2128" s="1" t="n">
        <v>2125</v>
      </c>
      <c r="Q2128" s="147" t="n">
        <v>47864.659633136</v>
      </c>
      <c r="R2128" s="147" t="n">
        <v>0.270014767406387</v>
      </c>
      <c r="S2128" s="147" t="n">
        <v>0.0666105264862391</v>
      </c>
      <c r="T2128" s="147" t="n">
        <v>0.0220846916182349</v>
      </c>
    </row>
    <row r="2129" customFormat="false" ht="12.75" hidden="false" customHeight="true" outlineLevel="0" collapsed="false">
      <c r="P2129" s="1" t="n">
        <v>2126</v>
      </c>
      <c r="Q2129" s="147" t="n">
        <v>47887.363844442</v>
      </c>
      <c r="R2129" s="147" t="n">
        <v>0.270660125697316</v>
      </c>
      <c r="S2129" s="147" t="n">
        <v>0.070853736854243</v>
      </c>
      <c r="T2129" s="147" t="n">
        <v>0.0237551279276485</v>
      </c>
    </row>
    <row r="2130" customFormat="false" ht="12.75" hidden="false" customHeight="true" outlineLevel="0" collapsed="false">
      <c r="P2130" s="1" t="n">
        <v>2127</v>
      </c>
      <c r="Q2130" s="147" t="n">
        <v>47909.352336238</v>
      </c>
      <c r="R2130" s="147" t="n">
        <v>0.271059154561264</v>
      </c>
      <c r="S2130" s="147" t="n">
        <v>0.0735988414657791</v>
      </c>
      <c r="T2130" s="147" t="n">
        <v>0.0249258932316996</v>
      </c>
    </row>
    <row r="2131" customFormat="false" ht="12.75" hidden="false" customHeight="true" outlineLevel="0" collapsed="false">
      <c r="P2131" s="1" t="n">
        <v>2128</v>
      </c>
      <c r="Q2131" s="147" t="n">
        <v>47932.029665111</v>
      </c>
      <c r="R2131" s="147" t="n">
        <v>0.271590094753337</v>
      </c>
      <c r="S2131" s="147" t="n">
        <v>0.0794493952748604</v>
      </c>
      <c r="T2131" s="147" t="n">
        <v>0.024771611548813</v>
      </c>
    </row>
    <row r="2132" customFormat="false" ht="12.75" hidden="false" customHeight="true" outlineLevel="0" collapsed="false">
      <c r="P2132" s="1" t="n">
        <v>2129</v>
      </c>
      <c r="Q2132" s="147" t="n">
        <v>47953.786160743</v>
      </c>
      <c r="R2132" s="147" t="n">
        <v>0.272022706340745</v>
      </c>
      <c r="S2132" s="147" t="n">
        <v>0.0819418228546362</v>
      </c>
      <c r="T2132" s="147" t="n">
        <v>0.0257404816015409</v>
      </c>
    </row>
    <row r="2133" customFormat="false" ht="12.75" hidden="false" customHeight="true" outlineLevel="0" collapsed="false">
      <c r="P2133" s="1" t="n">
        <v>2130</v>
      </c>
      <c r="Q2133" s="147" t="n">
        <v>47976.438634786</v>
      </c>
      <c r="R2133" s="147" t="n">
        <v>0.272122378248738</v>
      </c>
      <c r="S2133" s="147" t="n">
        <v>0.0881078443452738</v>
      </c>
      <c r="T2133" s="147" t="n">
        <v>0.0246517414500463</v>
      </c>
    </row>
    <row r="2134" customFormat="false" ht="12.75" hidden="false" customHeight="true" outlineLevel="0" collapsed="false">
      <c r="P2134" s="1" t="n">
        <v>2131</v>
      </c>
      <c r="Q2134" s="147" t="n">
        <v>47998.353819195</v>
      </c>
      <c r="R2134" s="147" t="n">
        <v>0.272334019718958</v>
      </c>
      <c r="S2134" s="147" t="n">
        <v>0.0906789393201603</v>
      </c>
      <c r="T2134" s="147" t="n">
        <v>0.0246118640475803</v>
      </c>
    </row>
    <row r="2135" customFormat="false" ht="12.75" hidden="false" customHeight="true" outlineLevel="0" collapsed="false">
      <c r="P2135" s="1" t="n">
        <v>2132</v>
      </c>
      <c r="Q2135" s="147" t="n">
        <v>48020.674271794</v>
      </c>
      <c r="R2135" s="147" t="n">
        <v>0.27199274127896</v>
      </c>
      <c r="S2135" s="147" t="n">
        <v>0.0957640343437251</v>
      </c>
      <c r="T2135" s="147" t="n">
        <v>0.0231035095306119</v>
      </c>
    </row>
    <row r="2136" customFormat="false" ht="12.75" hidden="false" customHeight="true" outlineLevel="0" collapsed="false">
      <c r="P2136" s="1" t="n">
        <v>2133</v>
      </c>
      <c r="Q2136" s="147" t="n">
        <v>48042.981241787</v>
      </c>
      <c r="R2136" s="147" t="n">
        <v>0.271915566878382</v>
      </c>
      <c r="S2136" s="147" t="n">
        <v>0.0970828105607679</v>
      </c>
      <c r="T2136" s="147" t="n">
        <v>0.0221980679546335</v>
      </c>
    </row>
    <row r="2137" customFormat="false" ht="12.75" hidden="false" customHeight="true" outlineLevel="0" collapsed="false">
      <c r="P2137" s="1" t="n">
        <v>2134</v>
      </c>
      <c r="Q2137" s="147" t="n">
        <v>48065.957740574</v>
      </c>
      <c r="R2137" s="147" t="n">
        <v>0.271208022810222</v>
      </c>
      <c r="S2137" s="147" t="n">
        <v>0.0959033374027344</v>
      </c>
      <c r="T2137" s="147" t="n">
        <v>0.0208401619427015</v>
      </c>
    </row>
    <row r="2138" customFormat="false" ht="12.75" hidden="false" customHeight="true" outlineLevel="0" collapsed="false">
      <c r="P2138" s="1" t="n">
        <v>2135</v>
      </c>
      <c r="Q2138" s="147" t="n">
        <v>48088.605131337</v>
      </c>
      <c r="R2138" s="147" t="n">
        <v>0.270960412133721</v>
      </c>
      <c r="S2138" s="147" t="n">
        <v>0.0908056005760477</v>
      </c>
      <c r="T2138" s="147" t="n">
        <v>0.0204512931385231</v>
      </c>
    </row>
    <row r="2139" customFormat="false" ht="12.75" hidden="false" customHeight="true" outlineLevel="0" collapsed="false">
      <c r="P2139" s="1" t="n">
        <v>2136</v>
      </c>
      <c r="Q2139" s="147" t="n">
        <v>48111.499665642</v>
      </c>
      <c r="R2139" s="147" t="n">
        <v>0.270117842158558</v>
      </c>
      <c r="S2139" s="147" t="n">
        <v>0.0866081865108729</v>
      </c>
      <c r="T2139" s="147" t="n">
        <v>0.0203371415011843</v>
      </c>
    </row>
    <row r="2140" customFormat="false" ht="12.75" hidden="false" customHeight="true" outlineLevel="0" collapsed="false">
      <c r="P2140" s="1" t="n">
        <v>2137</v>
      </c>
      <c r="Q2140" s="147" t="n">
        <v>48134.286907426</v>
      </c>
      <c r="R2140" s="147" t="n">
        <v>0.269297266859808</v>
      </c>
      <c r="S2140" s="147" t="n">
        <v>0.081136397264419</v>
      </c>
      <c r="T2140" s="147" t="n">
        <v>0.0201866648380425</v>
      </c>
    </row>
    <row r="2141" customFormat="false" ht="12.75" hidden="false" customHeight="true" outlineLevel="0" collapsed="false">
      <c r="P2141" s="1" t="n">
        <v>2138</v>
      </c>
      <c r="Q2141" s="147" t="n">
        <v>48156.391525247</v>
      </c>
      <c r="R2141" s="147" t="n">
        <v>0.268281479680983</v>
      </c>
      <c r="S2141" s="147" t="n">
        <v>0.0792264943525355</v>
      </c>
      <c r="T2141" s="147" t="n">
        <v>0.0198630447170148</v>
      </c>
    </row>
    <row r="2142" customFormat="false" ht="12.75" hidden="false" customHeight="true" outlineLevel="0" collapsed="false">
      <c r="P2142" s="1" t="n">
        <v>2139</v>
      </c>
      <c r="Q2142" s="147" t="n">
        <v>48179.096489799</v>
      </c>
      <c r="R2142" s="147" t="n">
        <v>0.26777570501826</v>
      </c>
      <c r="S2142" s="147" t="n">
        <v>0.0704990242745914</v>
      </c>
      <c r="T2142" s="147" t="n">
        <v>0.021355178894144</v>
      </c>
    </row>
    <row r="2143" customFormat="false" ht="12.75" hidden="false" customHeight="true" outlineLevel="0" collapsed="false">
      <c r="P2143" s="1" t="n">
        <v>2140</v>
      </c>
      <c r="Q2143" s="147" t="n">
        <v>48200.859113177</v>
      </c>
      <c r="R2143" s="147" t="n">
        <v>0.266948117591558</v>
      </c>
      <c r="S2143" s="147" t="n">
        <v>0.0693025583479221</v>
      </c>
      <c r="T2143" s="147" t="n">
        <v>0.0213678703209811</v>
      </c>
    </row>
    <row r="2144" customFormat="false" ht="12.75" hidden="false" customHeight="true" outlineLevel="0" collapsed="false">
      <c r="P2144" s="1" t="n">
        <v>2141</v>
      </c>
      <c r="Q2144" s="147" t="n">
        <v>48223.420463413</v>
      </c>
      <c r="R2144" s="147" t="n">
        <v>0.266561995561357</v>
      </c>
      <c r="S2144" s="147" t="n">
        <v>0.0655808139113147</v>
      </c>
      <c r="T2144" s="147" t="n">
        <v>0.0218178688536533</v>
      </c>
    </row>
    <row r="2145" customFormat="false" ht="12.75" hidden="false" customHeight="true" outlineLevel="0" collapsed="false">
      <c r="P2145" s="1" t="n">
        <v>2142</v>
      </c>
      <c r="Q2145" s="147" t="n">
        <v>48245.848298773</v>
      </c>
      <c r="R2145" s="147" t="n">
        <v>0.266142110316853</v>
      </c>
      <c r="S2145" s="147" t="n">
        <v>0.0655631688174107</v>
      </c>
      <c r="T2145" s="147" t="n">
        <v>0.0229435526523256</v>
      </c>
    </row>
    <row r="2146" customFormat="false" ht="12.75" hidden="false" customHeight="true" outlineLevel="0" collapsed="false">
      <c r="P2146" s="1" t="n">
        <v>2143</v>
      </c>
      <c r="Q2146" s="147" t="n">
        <v>48268.330607245</v>
      </c>
      <c r="R2146" s="147" t="n">
        <v>0.266155499422809</v>
      </c>
      <c r="S2146" s="147" t="n">
        <v>0.0669643700688444</v>
      </c>
      <c r="T2146" s="147" t="n">
        <v>0.0239118601297273</v>
      </c>
    </row>
    <row r="2147" customFormat="false" ht="12.75" hidden="false" customHeight="true" outlineLevel="0" collapsed="false">
      <c r="P2147" s="1" t="n">
        <v>2144</v>
      </c>
      <c r="Q2147" s="147" t="n">
        <v>48291.302297282</v>
      </c>
      <c r="R2147" s="147" t="n">
        <v>0.265674918767008</v>
      </c>
      <c r="S2147" s="147" t="n">
        <v>0.0719043112091128</v>
      </c>
      <c r="T2147" s="147" t="n">
        <v>0.024653729910665</v>
      </c>
    </row>
    <row r="2148" customFormat="false" ht="12.75" hidden="false" customHeight="true" outlineLevel="0" collapsed="false">
      <c r="P2148" s="1" t="n">
        <v>2145</v>
      </c>
      <c r="Q2148" s="147" t="n">
        <v>48313.199283753</v>
      </c>
      <c r="R2148" s="147" t="n">
        <v>0.265692093925953</v>
      </c>
      <c r="S2148" s="147" t="n">
        <v>0.074829254270317</v>
      </c>
      <c r="T2148" s="147" t="n">
        <v>0.0257075899343605</v>
      </c>
    </row>
    <row r="2149" customFormat="false" ht="12.75" hidden="false" customHeight="true" outlineLevel="0" collapsed="false">
      <c r="P2149" s="1" t="n">
        <v>2146</v>
      </c>
      <c r="Q2149" s="147" t="n">
        <v>48336.144537255</v>
      </c>
      <c r="R2149" s="147" t="n">
        <v>0.265506221305483</v>
      </c>
      <c r="S2149" s="147" t="n">
        <v>0.0863136677524725</v>
      </c>
      <c r="T2149" s="147" t="n">
        <v>0.0252544256795533</v>
      </c>
    </row>
    <row r="2150" customFormat="false" ht="12.75" hidden="false" customHeight="true" outlineLevel="0" collapsed="false">
      <c r="P2150" s="1" t="n">
        <v>2147</v>
      </c>
      <c r="Q2150" s="147" t="n">
        <v>48358.082311683</v>
      </c>
      <c r="R2150" s="147" t="n">
        <v>0.265484104264581</v>
      </c>
      <c r="S2150" s="147" t="n">
        <v>0.0884333753474538</v>
      </c>
      <c r="T2150" s="147" t="n">
        <v>0.0264881055471407</v>
      </c>
    </row>
    <row r="2151" customFormat="false" ht="12.75" hidden="false" customHeight="true" outlineLevel="0" collapsed="false">
      <c r="P2151" s="1" t="n">
        <v>2148</v>
      </c>
      <c r="Q2151" s="147" t="n">
        <v>48380.293930387</v>
      </c>
      <c r="R2151" s="147" t="n">
        <v>0.265653163208081</v>
      </c>
      <c r="S2151" s="147" t="n">
        <v>0.0907622092820906</v>
      </c>
      <c r="T2151" s="147" t="n">
        <v>0.0275224197201413</v>
      </c>
    </row>
    <row r="2152" customFormat="false" ht="12.75" hidden="false" customHeight="true" outlineLevel="0" collapsed="false">
      <c r="P2152" s="1" t="n">
        <v>2149</v>
      </c>
      <c r="Q2152" s="147" t="n">
        <v>48402.416813565</v>
      </c>
      <c r="R2152" s="147" t="n">
        <v>0.265359774644162</v>
      </c>
      <c r="S2152" s="147" t="n">
        <v>0.0908569378607333</v>
      </c>
      <c r="T2152" s="147" t="n">
        <v>0.0270677460330336</v>
      </c>
    </row>
    <row r="2153" customFormat="false" ht="12.75" hidden="false" customHeight="true" outlineLevel="0" collapsed="false">
      <c r="P2153" s="1" t="n">
        <v>2150</v>
      </c>
      <c r="Q2153" s="147" t="n">
        <v>48424.352543571</v>
      </c>
      <c r="R2153" s="147" t="n">
        <v>0.265427719812407</v>
      </c>
      <c r="S2153" s="147" t="n">
        <v>0.0895856392795231</v>
      </c>
      <c r="T2153" s="147" t="n">
        <v>0.0264688732455225</v>
      </c>
    </row>
    <row r="2154" customFormat="false" ht="12.75" hidden="false" customHeight="true" outlineLevel="0" collapsed="false">
      <c r="P2154" s="1" t="n">
        <v>2151</v>
      </c>
      <c r="Q2154" s="147" t="n">
        <v>48446.98578057</v>
      </c>
      <c r="R2154" s="147" t="n">
        <v>0.264594226496148</v>
      </c>
      <c r="S2154" s="147" t="n">
        <v>0.082647729076162</v>
      </c>
      <c r="T2154" s="147" t="n">
        <v>0.0257553433065623</v>
      </c>
    </row>
    <row r="2155" customFormat="false" ht="12.75" hidden="false" customHeight="true" outlineLevel="0" collapsed="false">
      <c r="P2155" s="1" t="n">
        <v>2152</v>
      </c>
      <c r="Q2155" s="147" t="n">
        <v>48468.726545324</v>
      </c>
      <c r="R2155" s="147" t="n">
        <v>0.264486658966737</v>
      </c>
      <c r="S2155" s="147" t="n">
        <v>0.0804600967903661</v>
      </c>
      <c r="T2155" s="147" t="n">
        <v>0.0247040486028728</v>
      </c>
    </row>
    <row r="2156" customFormat="false" ht="12.75" hidden="false" customHeight="true" outlineLevel="0" collapsed="false">
      <c r="P2156" s="1" t="n">
        <v>2153</v>
      </c>
      <c r="Q2156" s="147" t="n">
        <v>48490.731006591</v>
      </c>
      <c r="R2156" s="147" t="n">
        <v>0.263732295274481</v>
      </c>
      <c r="S2156" s="147" t="n">
        <v>0.0768649736143485</v>
      </c>
      <c r="T2156" s="147" t="n">
        <v>0.0241158425716384</v>
      </c>
    </row>
    <row r="2157" customFormat="false" ht="12.75" hidden="false" customHeight="true" outlineLevel="0" collapsed="false">
      <c r="P2157" s="1" t="n">
        <v>2154</v>
      </c>
      <c r="Q2157" s="147" t="n">
        <v>48513.189508615</v>
      </c>
      <c r="R2157" s="147" t="n">
        <v>0.262677606780176</v>
      </c>
      <c r="S2157" s="147" t="n">
        <v>0.0717918531922187</v>
      </c>
      <c r="T2157" s="147" t="n">
        <v>0.0240538367705707</v>
      </c>
    </row>
    <row r="2158" customFormat="false" ht="12.75" hidden="false" customHeight="true" outlineLevel="0" collapsed="false">
      <c r="P2158" s="1" t="n">
        <v>2155</v>
      </c>
      <c r="Q2158" s="147" t="n">
        <v>48535.215599145</v>
      </c>
      <c r="R2158" s="147" t="n">
        <v>0.262030135364761</v>
      </c>
      <c r="S2158" s="147" t="n">
        <v>0.0688207682200046</v>
      </c>
      <c r="T2158" s="147" t="n">
        <v>0.0239678753119578</v>
      </c>
    </row>
    <row r="2159" customFormat="false" ht="12.75" hidden="false" customHeight="true" outlineLevel="0" collapsed="false">
      <c r="P2159" s="1" t="n">
        <v>2156</v>
      </c>
      <c r="Q2159" s="147" t="n">
        <v>48557.82964897</v>
      </c>
      <c r="R2159" s="147" t="n">
        <v>0.261459295487351</v>
      </c>
      <c r="S2159" s="147" t="n">
        <v>0.0671609094088152</v>
      </c>
      <c r="T2159" s="147" t="n">
        <v>0.0243228041047778</v>
      </c>
    </row>
    <row r="2160" customFormat="false" ht="12.75" hidden="false" customHeight="true" outlineLevel="0" collapsed="false">
      <c r="P2160" s="1" t="n">
        <v>2157</v>
      </c>
      <c r="Q2160" s="147" t="n">
        <v>48580.513267788</v>
      </c>
      <c r="R2160" s="147" t="n">
        <v>0.261061365160084</v>
      </c>
      <c r="S2160" s="147" t="n">
        <v>0.0679694783303806</v>
      </c>
      <c r="T2160" s="147" t="n">
        <v>0.0254493121973145</v>
      </c>
    </row>
    <row r="2161" customFormat="false" ht="12.75" hidden="false" customHeight="true" outlineLevel="0" collapsed="false">
      <c r="P2161" s="1" t="n">
        <v>2158</v>
      </c>
      <c r="Q2161" s="147" t="n">
        <v>48603.2309113</v>
      </c>
      <c r="R2161" s="147" t="n">
        <v>0.260730745430645</v>
      </c>
      <c r="S2161" s="147" t="n">
        <v>0.0720418803372996</v>
      </c>
      <c r="T2161" s="147" t="n">
        <v>0.0265591243808866</v>
      </c>
    </row>
    <row r="2162" customFormat="false" ht="12.75" hidden="false" customHeight="true" outlineLevel="0" collapsed="false">
      <c r="P2162" s="1" t="n">
        <v>2159</v>
      </c>
      <c r="Q2162" s="147" t="n">
        <v>48625.39241885</v>
      </c>
      <c r="R2162" s="147" t="n">
        <v>0.260621703972357</v>
      </c>
      <c r="S2162" s="147" t="n">
        <v>0.0743917917021269</v>
      </c>
      <c r="T2162" s="147" t="n">
        <v>0.0277800935383514</v>
      </c>
    </row>
    <row r="2163" customFormat="false" ht="12.75" hidden="false" customHeight="true" outlineLevel="0" collapsed="false">
      <c r="P2163" s="1" t="n">
        <v>2160</v>
      </c>
      <c r="Q2163" s="147" t="n">
        <v>48648.25831198</v>
      </c>
      <c r="R2163" s="147" t="n">
        <v>0.261258668568085</v>
      </c>
      <c r="S2163" s="147" t="n">
        <v>0.0794818482241151</v>
      </c>
      <c r="T2163" s="147" t="n">
        <v>0.0288961285207152</v>
      </c>
    </row>
    <row r="2164" customFormat="false" ht="12.75" hidden="false" customHeight="true" outlineLevel="0" collapsed="false">
      <c r="P2164" s="1" t="n">
        <v>2161</v>
      </c>
      <c r="Q2164" s="147" t="n">
        <v>48670.056740778</v>
      </c>
      <c r="R2164" s="147" t="n">
        <v>0.261203020501023</v>
      </c>
      <c r="S2164" s="147" t="n">
        <v>0.0804791085118729</v>
      </c>
      <c r="T2164" s="147" t="n">
        <v>0.0299057414933645</v>
      </c>
    </row>
    <row r="2165" customFormat="false" ht="12.75" hidden="false" customHeight="true" outlineLevel="0" collapsed="false">
      <c r="P2165" s="1" t="n">
        <v>2162</v>
      </c>
      <c r="Q2165" s="147" t="n">
        <v>48692.585594932</v>
      </c>
      <c r="R2165" s="147" t="n">
        <v>0.261848737718114</v>
      </c>
      <c r="S2165" s="147" t="n">
        <v>0.0808406396980474</v>
      </c>
      <c r="T2165" s="147" t="n">
        <v>0.0298889266003487</v>
      </c>
    </row>
    <row r="2166" customFormat="false" ht="12.75" hidden="false" customHeight="true" outlineLevel="0" collapsed="false">
      <c r="P2166" s="1" t="n">
        <v>2163</v>
      </c>
      <c r="Q2166" s="147" t="n">
        <v>48715.412579597</v>
      </c>
      <c r="R2166" s="147" t="n">
        <v>0.263297354518737</v>
      </c>
      <c r="S2166" s="147" t="n">
        <v>0.0798030141817479</v>
      </c>
      <c r="T2166" s="147" t="n">
        <v>0.0294777927244769</v>
      </c>
    </row>
    <row r="2167" customFormat="false" ht="12.75" hidden="false" customHeight="true" outlineLevel="0" collapsed="false">
      <c r="P2167" s="1" t="n">
        <v>2164</v>
      </c>
      <c r="Q2167" s="147" t="n">
        <v>48737.544976962</v>
      </c>
      <c r="R2167" s="147" t="n">
        <v>0.264300601446186</v>
      </c>
      <c r="S2167" s="147" t="n">
        <v>0.0787001252727907</v>
      </c>
      <c r="T2167" s="147" t="n">
        <v>0.029457763713333</v>
      </c>
    </row>
    <row r="2168" customFormat="false" ht="12.75" hidden="false" customHeight="true" outlineLevel="0" collapsed="false">
      <c r="P2168" s="1" t="n">
        <v>2165</v>
      </c>
      <c r="Q2168" s="147" t="n">
        <v>48760.391081761</v>
      </c>
      <c r="R2168" s="147" t="n">
        <v>0.266249930126507</v>
      </c>
      <c r="S2168" s="147" t="n">
        <v>0.0749500329010585</v>
      </c>
      <c r="T2168" s="147" t="n">
        <v>0.028643625762468</v>
      </c>
    </row>
    <row r="2169" customFormat="false" ht="12.75" hidden="false" customHeight="true" outlineLevel="0" collapsed="false">
      <c r="P2169" s="1" t="n">
        <v>2166</v>
      </c>
      <c r="Q2169" s="147" t="n">
        <v>48782.458814464</v>
      </c>
      <c r="R2169" s="147" t="n">
        <v>0.267880450231481</v>
      </c>
      <c r="S2169" s="147" t="n">
        <v>0.0721393241125279</v>
      </c>
      <c r="T2169" s="147" t="n">
        <v>0.0279218835564498</v>
      </c>
    </row>
    <row r="2170" customFormat="false" ht="12.75" hidden="false" customHeight="true" outlineLevel="0" collapsed="false">
      <c r="P2170" s="1" t="n">
        <v>2167</v>
      </c>
      <c r="Q2170" s="147" t="n">
        <v>48804.782393537</v>
      </c>
      <c r="R2170" s="147" t="n">
        <v>0.269988063965979</v>
      </c>
      <c r="S2170" s="147" t="n">
        <v>0.0686076688034849</v>
      </c>
      <c r="T2170" s="147" t="n">
        <v>0.0271209724902281</v>
      </c>
    </row>
    <row r="2171" customFormat="false" ht="12.75" hidden="false" customHeight="true" outlineLevel="0" collapsed="false">
      <c r="P2171" s="1" t="n">
        <v>2168</v>
      </c>
      <c r="Q2171" s="147" t="n">
        <v>48826.751306906</v>
      </c>
      <c r="R2171" s="147" t="n">
        <v>0.27169486253967</v>
      </c>
      <c r="S2171" s="147" t="n">
        <v>0.06640196239447</v>
      </c>
      <c r="T2171" s="147" t="n">
        <v>0.0259045393802904</v>
      </c>
    </row>
    <row r="2172" customFormat="false" ht="12.75" hidden="false" customHeight="true" outlineLevel="0" collapsed="false">
      <c r="P2172" s="1" t="n">
        <v>2169</v>
      </c>
      <c r="Q2172" s="147" t="n">
        <v>48849.160193798</v>
      </c>
      <c r="R2172" s="147" t="n">
        <v>0.273489396573226</v>
      </c>
      <c r="S2172" s="147" t="n">
        <v>0.0645000677158257</v>
      </c>
      <c r="T2172" s="147" t="n">
        <v>0.0253369134920053</v>
      </c>
    </row>
    <row r="2173" customFormat="false" ht="12.75" hidden="false" customHeight="true" outlineLevel="0" collapsed="false">
      <c r="P2173" s="1" t="n">
        <v>2170</v>
      </c>
      <c r="Q2173" s="147" t="n">
        <v>48870.711051374</v>
      </c>
      <c r="R2173" s="147" t="n">
        <v>0.274659009342548</v>
      </c>
      <c r="S2173" s="147" t="n">
        <v>0.0636594165519995</v>
      </c>
      <c r="T2173" s="147" t="n">
        <v>0.0240664841698393</v>
      </c>
    </row>
    <row r="2174" customFormat="false" ht="12.75" hidden="false" customHeight="true" outlineLevel="0" collapsed="false">
      <c r="P2174" s="1" t="n">
        <v>2171</v>
      </c>
      <c r="Q2174" s="147" t="n">
        <v>48893.233301315</v>
      </c>
      <c r="R2174" s="147" t="n">
        <v>0.275958633835733</v>
      </c>
      <c r="S2174" s="147" t="n">
        <v>0.0651168274927403</v>
      </c>
      <c r="T2174" s="147" t="n">
        <v>0.0237440298203101</v>
      </c>
    </row>
    <row r="2175" customFormat="false" ht="12.75" hidden="false" customHeight="true" outlineLevel="0" collapsed="false">
      <c r="P2175" s="1" t="n">
        <v>2172</v>
      </c>
      <c r="Q2175" s="147" t="n">
        <v>48915.905045659</v>
      </c>
      <c r="R2175" s="147" t="n">
        <v>0.276092954494505</v>
      </c>
      <c r="S2175" s="147" t="n">
        <v>0.0684594364824327</v>
      </c>
      <c r="T2175" s="147" t="n">
        <v>0.0229869638230217</v>
      </c>
    </row>
    <row r="2176" customFormat="false" ht="12.75" hidden="false" customHeight="true" outlineLevel="0" collapsed="false">
      <c r="P2176" s="1" t="n">
        <v>2173</v>
      </c>
      <c r="Q2176" s="147" t="n">
        <v>48938.340000177</v>
      </c>
      <c r="R2176" s="147" t="n">
        <v>0.27608776665368</v>
      </c>
      <c r="S2176" s="147" t="n">
        <v>0.0752906333054163</v>
      </c>
      <c r="T2176" s="147" t="n">
        <v>0.0231527064562907</v>
      </c>
    </row>
    <row r="2177" customFormat="false" ht="12.75" hidden="false" customHeight="true" outlineLevel="0" collapsed="false">
      <c r="P2177" s="1" t="n">
        <v>2174</v>
      </c>
      <c r="Q2177" s="147" t="n">
        <v>48960.932569167</v>
      </c>
      <c r="R2177" s="147" t="n">
        <v>0.275635027114626</v>
      </c>
      <c r="S2177" s="147" t="n">
        <v>0.0840512390595197</v>
      </c>
      <c r="T2177" s="147" t="n">
        <v>0.0232343145737159</v>
      </c>
    </row>
    <row r="2178" customFormat="false" ht="12.75" hidden="false" customHeight="true" outlineLevel="0" collapsed="false">
      <c r="P2178" s="1" t="n">
        <v>2175</v>
      </c>
      <c r="Q2178" s="147" t="n">
        <v>48983.884852142</v>
      </c>
      <c r="R2178" s="147" t="n">
        <v>0.275044522254954</v>
      </c>
      <c r="S2178" s="147" t="n">
        <v>0.0908822313127567</v>
      </c>
      <c r="T2178" s="147" t="n">
        <v>0.0242139137759064</v>
      </c>
    </row>
    <row r="2179" customFormat="false" ht="12.75" hidden="false" customHeight="true" outlineLevel="0" collapsed="false">
      <c r="P2179" s="1" t="n">
        <v>2176</v>
      </c>
      <c r="Q2179" s="147" t="n">
        <v>49006.487167142</v>
      </c>
      <c r="R2179" s="147" t="n">
        <v>0.273879055510272</v>
      </c>
      <c r="S2179" s="147" t="n">
        <v>0.0968481798456734</v>
      </c>
      <c r="T2179" s="147" t="n">
        <v>0.0252988809781845</v>
      </c>
    </row>
    <row r="2180" customFormat="false" ht="12.75" hidden="false" customHeight="true" outlineLevel="0" collapsed="false">
      <c r="P2180" s="1" t="n">
        <v>2177</v>
      </c>
      <c r="Q2180" s="147" t="n">
        <v>49029.070796598</v>
      </c>
      <c r="R2180" s="147" t="n">
        <v>0.272582632663409</v>
      </c>
      <c r="S2180" s="147" t="n">
        <v>0.101584985694895</v>
      </c>
      <c r="T2180" s="147" t="n">
        <v>0.0266989141408286</v>
      </c>
    </row>
    <row r="2181" customFormat="false" ht="12.75" hidden="false" customHeight="true" outlineLevel="0" collapsed="false">
      <c r="P2181" s="1" t="n">
        <v>2178</v>
      </c>
      <c r="Q2181" s="147" t="n">
        <v>49051.309852558</v>
      </c>
      <c r="R2181" s="147" t="n">
        <v>0.271153532521526</v>
      </c>
      <c r="S2181" s="147" t="n">
        <v>0.104632194306434</v>
      </c>
      <c r="T2181" s="147" t="n">
        <v>0.0282000768590052</v>
      </c>
    </row>
    <row r="2182" customFormat="false" ht="12.75" hidden="false" customHeight="true" outlineLevel="0" collapsed="false">
      <c r="P2182" s="1" t="n">
        <v>2179</v>
      </c>
      <c r="Q2182" s="147" t="n">
        <v>49073.725659253</v>
      </c>
      <c r="R2182" s="147" t="n">
        <v>0.269552290483104</v>
      </c>
      <c r="S2182" s="147" t="n">
        <v>0.108135165919234</v>
      </c>
      <c r="T2182" s="147" t="n">
        <v>0.0289004795963172</v>
      </c>
    </row>
    <row r="2183" customFormat="false" ht="12.75" hidden="false" customHeight="true" outlineLevel="0" collapsed="false">
      <c r="P2183" s="1" t="n">
        <v>2180</v>
      </c>
      <c r="Q2183" s="147" t="n">
        <v>49096.193341151</v>
      </c>
      <c r="R2183" s="147" t="n">
        <v>0.268386466508452</v>
      </c>
      <c r="S2183" s="147" t="n">
        <v>0.109933146460266</v>
      </c>
      <c r="T2183" s="147" t="n">
        <v>0.0295304693371526</v>
      </c>
    </row>
    <row r="2184" customFormat="false" ht="12.75" hidden="false" customHeight="true" outlineLevel="0" collapsed="false">
      <c r="P2184" s="1" t="n">
        <v>2181</v>
      </c>
      <c r="Q2184" s="147" t="n">
        <v>49118.648006981</v>
      </c>
      <c r="R2184" s="147" t="n">
        <v>0.267611044481965</v>
      </c>
      <c r="S2184" s="147" t="n">
        <v>0.111440092383215</v>
      </c>
      <c r="T2184" s="147" t="n">
        <v>0.0302297671915151</v>
      </c>
    </row>
    <row r="2185" customFormat="false" ht="12.75" hidden="false" customHeight="true" outlineLevel="0" collapsed="false">
      <c r="P2185" s="1" t="n">
        <v>2182</v>
      </c>
      <c r="Q2185" s="147" t="n">
        <v>49141.266656497</v>
      </c>
      <c r="R2185" s="147" t="n">
        <v>0.267514807700178</v>
      </c>
      <c r="S2185" s="147" t="n">
        <v>0.110799633448693</v>
      </c>
      <c r="T2185" s="147" t="n">
        <v>0.0302095905188182</v>
      </c>
    </row>
    <row r="2186" customFormat="false" ht="12.75" hidden="false" customHeight="true" outlineLevel="0" collapsed="false">
      <c r="P2186" s="1" t="n">
        <v>2183</v>
      </c>
      <c r="Q2186" s="147" t="n">
        <v>49163.83580183</v>
      </c>
      <c r="R2186" s="147" t="n">
        <v>0.268075214724933</v>
      </c>
      <c r="S2186" s="147" t="n">
        <v>0.10677084984934</v>
      </c>
      <c r="T2186" s="147" t="n">
        <v>0.0302950021437159</v>
      </c>
    </row>
    <row r="2187" customFormat="false" ht="12.75" hidden="false" customHeight="true" outlineLevel="0" collapsed="false">
      <c r="P2187" s="1" t="n">
        <v>2184</v>
      </c>
      <c r="Q2187" s="147" t="n">
        <v>49186.384084887</v>
      </c>
      <c r="R2187" s="147" t="n">
        <v>0.269292592043087</v>
      </c>
      <c r="S2187" s="147" t="n">
        <v>0.100539316230388</v>
      </c>
      <c r="T2187" s="147" t="n">
        <v>0.0299202887974663</v>
      </c>
    </row>
    <row r="2188" customFormat="false" ht="12.75" hidden="false" customHeight="true" outlineLevel="0" collapsed="false">
      <c r="P2188" s="1" t="n">
        <v>2185</v>
      </c>
      <c r="Q2188" s="147" t="n">
        <v>49208.643155718</v>
      </c>
      <c r="R2188" s="147" t="n">
        <v>0.270586822965273</v>
      </c>
      <c r="S2188" s="147" t="n">
        <v>0.093360278454842</v>
      </c>
      <c r="T2188" s="147" t="n">
        <v>0.0295033007629458</v>
      </c>
    </row>
    <row r="2189" customFormat="false" ht="12.75" hidden="false" customHeight="true" outlineLevel="0" collapsed="false">
      <c r="P2189" s="1" t="n">
        <v>2186</v>
      </c>
      <c r="Q2189" s="147" t="n">
        <v>49231.427468313</v>
      </c>
      <c r="R2189" s="147" t="n">
        <v>0.272067787483948</v>
      </c>
      <c r="S2189" s="147" t="n">
        <v>0.0869955080842273</v>
      </c>
      <c r="T2189" s="147" t="n">
        <v>0.0288721913548733</v>
      </c>
    </row>
    <row r="2190" customFormat="false" ht="12.75" hidden="false" customHeight="true" outlineLevel="0" collapsed="false">
      <c r="P2190" s="1" t="n">
        <v>2187</v>
      </c>
      <c r="Q2190" s="147" t="n">
        <v>49253.493201565</v>
      </c>
      <c r="R2190" s="147" t="n">
        <v>0.273095425675755</v>
      </c>
      <c r="S2190" s="147" t="n">
        <v>0.0842818273643016</v>
      </c>
      <c r="T2190" s="147" t="n">
        <v>0.0278738063505439</v>
      </c>
    </row>
    <row r="2191" customFormat="false" ht="12.75" hidden="false" customHeight="true" outlineLevel="0" collapsed="false">
      <c r="P2191" s="1" t="n">
        <v>2188</v>
      </c>
      <c r="Q2191" s="147" t="n">
        <v>49275.716619048</v>
      </c>
      <c r="R2191" s="147" t="n">
        <v>0.27435735914612</v>
      </c>
      <c r="S2191" s="147" t="n">
        <v>0.0822080334884361</v>
      </c>
      <c r="T2191" s="147" t="n">
        <v>0.027597249367634</v>
      </c>
    </row>
    <row r="2192" customFormat="false" ht="12.75" hidden="false" customHeight="true" outlineLevel="0" collapsed="false">
      <c r="P2192" s="1" t="n">
        <v>2189</v>
      </c>
      <c r="Q2192" s="147" t="n">
        <v>49297.805201779</v>
      </c>
      <c r="R2192" s="147" t="n">
        <v>0.274875369638591</v>
      </c>
      <c r="S2192" s="147" t="n">
        <v>0.0827293818752519</v>
      </c>
      <c r="T2192" s="147" t="n">
        <v>0.0275974137928387</v>
      </c>
    </row>
    <row r="2193" customFormat="false" ht="12.75" hidden="false" customHeight="true" outlineLevel="0" collapsed="false">
      <c r="P2193" s="1" t="n">
        <v>2190</v>
      </c>
      <c r="Q2193" s="147" t="n">
        <v>49320.411696844</v>
      </c>
      <c r="R2193" s="147" t="n">
        <v>0.275016997051</v>
      </c>
      <c r="S2193" s="147" t="n">
        <v>0.084722399337611</v>
      </c>
      <c r="T2193" s="147" t="n">
        <v>0.0276231217227847</v>
      </c>
    </row>
    <row r="2194" customFormat="false" ht="12.75" hidden="false" customHeight="true" outlineLevel="0" collapsed="false">
      <c r="P2194" s="1" t="n">
        <v>2191</v>
      </c>
      <c r="Q2194" s="147" t="n">
        <v>49342.82953117</v>
      </c>
      <c r="R2194" s="147" t="n">
        <v>0.274887996075062</v>
      </c>
      <c r="S2194" s="147" t="n">
        <v>0.0897498223106954</v>
      </c>
      <c r="T2194" s="147" t="n">
        <v>0.0272085793743788</v>
      </c>
    </row>
    <row r="2195" customFormat="false" ht="12.75" hidden="false" customHeight="true" outlineLevel="0" collapsed="false">
      <c r="P2195" s="1" t="n">
        <v>2192</v>
      </c>
      <c r="Q2195" s="147" t="n">
        <v>49365.328699993</v>
      </c>
      <c r="R2195" s="147" t="n">
        <v>0.274299319859445</v>
      </c>
      <c r="S2195" s="147" t="n">
        <v>0.0945128667015503</v>
      </c>
      <c r="T2195" s="147" t="n">
        <v>0.0273785900376099</v>
      </c>
    </row>
    <row r="2196" customFormat="false" ht="12.75" hidden="false" customHeight="true" outlineLevel="0" collapsed="false">
      <c r="P2196" s="1" t="n">
        <v>2193</v>
      </c>
      <c r="Q2196" s="147" t="n">
        <v>49388.100894656</v>
      </c>
      <c r="R2196" s="147" t="n">
        <v>0.273321432436077</v>
      </c>
      <c r="S2196" s="147" t="n">
        <v>0.0975480893604506</v>
      </c>
      <c r="T2196" s="147" t="n">
        <v>0.0276361949361258</v>
      </c>
    </row>
    <row r="2197" customFormat="false" ht="12.75" hidden="false" customHeight="true" outlineLevel="0" collapsed="false">
      <c r="P2197" s="1" t="n">
        <v>2194</v>
      </c>
      <c r="Q2197" s="147" t="n">
        <v>49410.741855423</v>
      </c>
      <c r="R2197" s="147" t="n">
        <v>0.271938802929216</v>
      </c>
      <c r="S2197" s="147" t="n">
        <v>0.0976036062166261</v>
      </c>
      <c r="T2197" s="147" t="n">
        <v>0.0283030085263604</v>
      </c>
    </row>
    <row r="2198" customFormat="false" ht="12.75" hidden="false" customHeight="true" outlineLevel="0" collapsed="false">
      <c r="P2198" s="1" t="n">
        <v>2195</v>
      </c>
      <c r="Q2198" s="147" t="n">
        <v>49433.273924464</v>
      </c>
      <c r="R2198" s="147" t="n">
        <v>0.270530696539777</v>
      </c>
      <c r="S2198" s="147" t="n">
        <v>0.0947266124094356</v>
      </c>
      <c r="T2198" s="147" t="n">
        <v>0.0291573421416306</v>
      </c>
    </row>
    <row r="2199" customFormat="false" ht="12.75" hidden="false" customHeight="true" outlineLevel="0" collapsed="false">
      <c r="P2199" s="1" t="n">
        <v>2196</v>
      </c>
      <c r="Q2199" s="147" t="n">
        <v>49455.696242833</v>
      </c>
      <c r="R2199" s="147" t="n">
        <v>0.269213533061295</v>
      </c>
      <c r="S2199" s="147" t="n">
        <v>0.0892245464195003</v>
      </c>
      <c r="T2199" s="147" t="n">
        <v>0.0303148695049784</v>
      </c>
    </row>
    <row r="2200" customFormat="false" ht="12.75" hidden="false" customHeight="true" outlineLevel="0" collapsed="false">
      <c r="P2200" s="1" t="n">
        <v>2197</v>
      </c>
      <c r="Q2200" s="147" t="n">
        <v>49478.505473318</v>
      </c>
      <c r="R2200" s="147" t="n">
        <v>0.268756084320813</v>
      </c>
      <c r="S2200" s="147" t="n">
        <v>0.0789245653592838</v>
      </c>
      <c r="T2200" s="147" t="n">
        <v>0.0316527686183458</v>
      </c>
    </row>
    <row r="2201" customFormat="false" ht="12.75" hidden="false" customHeight="true" outlineLevel="0" collapsed="false">
      <c r="P2201" s="1" t="n">
        <v>2198</v>
      </c>
      <c r="Q2201" s="147" t="n">
        <v>49500.600540527</v>
      </c>
      <c r="R2201" s="147" t="n">
        <v>0.267865004859207</v>
      </c>
      <c r="S2201" s="147" t="n">
        <v>0.0756901783668125</v>
      </c>
      <c r="T2201" s="147" t="n">
        <v>0.0329561040460674</v>
      </c>
    </row>
    <row r="2202" customFormat="false" ht="12.75" hidden="false" customHeight="true" outlineLevel="0" collapsed="false">
      <c r="P2202" s="1" t="n">
        <v>2199</v>
      </c>
      <c r="Q2202" s="147" t="n">
        <v>49523.312775282</v>
      </c>
      <c r="R2202" s="147" t="n">
        <v>0.2687729619667</v>
      </c>
      <c r="S2202" s="147" t="n">
        <v>0.0706985439054778</v>
      </c>
      <c r="T2202" s="147" t="n">
        <v>0.0335910573815267</v>
      </c>
    </row>
    <row r="2203" customFormat="false" ht="12.75" hidden="false" customHeight="true" outlineLevel="0" collapsed="false">
      <c r="P2203" s="1" t="n">
        <v>2200</v>
      </c>
      <c r="Q2203" s="147" t="n">
        <v>49545.884273078</v>
      </c>
      <c r="R2203" s="147" t="n">
        <v>0.269543533434332</v>
      </c>
      <c r="S2203" s="147" t="n">
        <v>0.0685282572373755</v>
      </c>
      <c r="T2203" s="147" t="n">
        <v>0.0343819276138578</v>
      </c>
    </row>
    <row r="2204" customFormat="false" ht="12.75" hidden="false" customHeight="true" outlineLevel="0" collapsed="false">
      <c r="P2204" s="1" t="n">
        <v>2201</v>
      </c>
      <c r="Q2204" s="147" t="n">
        <v>49568.316611949</v>
      </c>
      <c r="R2204" s="147" t="n">
        <v>0.271421565117571</v>
      </c>
      <c r="S2204" s="147" t="n">
        <v>0.0664205449153943</v>
      </c>
      <c r="T2204" s="147" t="n">
        <v>0.0346160568354485</v>
      </c>
    </row>
    <row r="2205" customFormat="false" ht="12.75" hidden="false" customHeight="true" outlineLevel="0" collapsed="false">
      <c r="P2205" s="1" t="n">
        <v>2202</v>
      </c>
      <c r="Q2205" s="147" t="n">
        <v>49590.887247388</v>
      </c>
      <c r="R2205" s="147" t="n">
        <v>0.273596884268909</v>
      </c>
      <c r="S2205" s="147" t="n">
        <v>0.0659156274899837</v>
      </c>
      <c r="T2205" s="147" t="n">
        <v>0.0341968230460462</v>
      </c>
    </row>
    <row r="2206" customFormat="false" ht="12.75" hidden="false" customHeight="true" outlineLevel="0" collapsed="false">
      <c r="P2206" s="1" t="n">
        <v>2203</v>
      </c>
      <c r="Q2206" s="147" t="n">
        <v>49613.297757457</v>
      </c>
      <c r="R2206" s="147" t="n">
        <v>0.275929628008464</v>
      </c>
      <c r="S2206" s="147" t="n">
        <v>0.0660192243546066</v>
      </c>
      <c r="T2206" s="147" t="n">
        <v>0.0330649062402841</v>
      </c>
    </row>
    <row r="2207" customFormat="false" ht="12.75" hidden="false" customHeight="true" outlineLevel="0" collapsed="false">
      <c r="P2207" s="1" t="n">
        <v>2204</v>
      </c>
      <c r="Q2207" s="147" t="n">
        <v>49635.534753218</v>
      </c>
      <c r="R2207" s="147" t="n">
        <v>0.278191984242617</v>
      </c>
      <c r="S2207" s="147" t="n">
        <v>0.0669730337142081</v>
      </c>
      <c r="T2207" s="147" t="n">
        <v>0.031403602124905</v>
      </c>
    </row>
    <row r="2208" customFormat="false" ht="12.75" hidden="false" customHeight="true" outlineLevel="0" collapsed="false">
      <c r="P2208" s="1" t="n">
        <v>2205</v>
      </c>
      <c r="Q2208" s="147" t="n">
        <v>49657.852228288</v>
      </c>
      <c r="R2208" s="147" t="n">
        <v>0.279882441108698</v>
      </c>
      <c r="S2208" s="147" t="n">
        <v>0.0685105967965813</v>
      </c>
      <c r="T2208" s="147" t="n">
        <v>0.0294160239836194</v>
      </c>
    </row>
    <row r="2209" customFormat="false" ht="12.75" hidden="false" customHeight="true" outlineLevel="0" collapsed="false">
      <c r="P2209" s="1" t="n">
        <v>2206</v>
      </c>
      <c r="Q2209" s="147" t="n">
        <v>49679.833655848</v>
      </c>
      <c r="R2209" s="147" t="n">
        <v>0.281131818068251</v>
      </c>
      <c r="S2209" s="147" t="n">
        <v>0.0702835658472695</v>
      </c>
      <c r="T2209" s="147" t="n">
        <v>0.0275369319425992</v>
      </c>
    </row>
    <row r="2210" customFormat="false" ht="12.75" hidden="false" customHeight="true" outlineLevel="0" collapsed="false">
      <c r="P2210" s="1" t="n">
        <v>2207</v>
      </c>
      <c r="Q2210" s="147" t="n">
        <v>49701.846025846</v>
      </c>
      <c r="R2210" s="147" t="n">
        <v>0.282061376675615</v>
      </c>
      <c r="S2210" s="147" t="n">
        <v>0.0735665191389779</v>
      </c>
      <c r="T2210" s="147" t="n">
        <v>0.0266331624510227</v>
      </c>
    </row>
    <row r="2211" customFormat="false" ht="12.75" hidden="false" customHeight="true" outlineLevel="0" collapsed="false">
      <c r="P2211" s="1" t="n">
        <v>2208</v>
      </c>
      <c r="Q2211" s="147" t="n">
        <v>49724.001363813</v>
      </c>
      <c r="R2211" s="147" t="n">
        <v>0.282469654122381</v>
      </c>
      <c r="S2211" s="147" t="n">
        <v>0.0768400242458007</v>
      </c>
      <c r="T2211" s="147" t="n">
        <v>0.0263652962733596</v>
      </c>
    </row>
    <row r="2212" customFormat="false" ht="12.75" hidden="false" customHeight="true" outlineLevel="0" collapsed="false">
      <c r="P2212" s="1" t="n">
        <v>2209</v>
      </c>
      <c r="Q2212" s="147" t="n">
        <v>49746.194590718</v>
      </c>
      <c r="R2212" s="147" t="n">
        <v>0.282288547204279</v>
      </c>
      <c r="S2212" s="147" t="n">
        <v>0.0800685380202997</v>
      </c>
      <c r="T2212" s="147" t="n">
        <v>0.0269945569231726</v>
      </c>
    </row>
    <row r="2213" customFormat="false" ht="12.75" hidden="false" customHeight="true" outlineLevel="0" collapsed="false">
      <c r="P2213" s="1" t="n">
        <v>2210</v>
      </c>
      <c r="Q2213" s="147" t="n">
        <v>49768.663585753</v>
      </c>
      <c r="R2213" s="147" t="n">
        <v>0.281895548128644</v>
      </c>
      <c r="S2213" s="147" t="n">
        <v>0.0818851779810305</v>
      </c>
      <c r="T2213" s="147" t="n">
        <v>0.027897200240512</v>
      </c>
    </row>
    <row r="2214" customFormat="false" ht="12.75" hidden="false" customHeight="true" outlineLevel="0" collapsed="false">
      <c r="P2214" s="1" t="n">
        <v>2211</v>
      </c>
      <c r="Q2214" s="147" t="n">
        <v>49791.036414932</v>
      </c>
      <c r="R2214" s="147" t="n">
        <v>0.280814012370981</v>
      </c>
      <c r="S2214" s="147" t="n">
        <v>0.0845578007432542</v>
      </c>
      <c r="T2214" s="147" t="n">
        <v>0.0294854717685209</v>
      </c>
    </row>
    <row r="2215" customFormat="false" ht="12.75" hidden="false" customHeight="true" outlineLevel="0" collapsed="false">
      <c r="P2215" s="1" t="n">
        <v>2212</v>
      </c>
      <c r="Q2215" s="147" t="n">
        <v>49813.393126966</v>
      </c>
      <c r="R2215" s="147" t="n">
        <v>0.279053499201262</v>
      </c>
      <c r="S2215" s="147" t="n">
        <v>0.0866733679644761</v>
      </c>
      <c r="T2215" s="147" t="n">
        <v>0.0308638255674036</v>
      </c>
    </row>
    <row r="2216" customFormat="false" ht="12.75" hidden="false" customHeight="true" outlineLevel="0" collapsed="false">
      <c r="P2216" s="1" t="n">
        <v>2213</v>
      </c>
      <c r="Q2216" s="147" t="n">
        <v>49835.171684957</v>
      </c>
      <c r="R2216" s="147" t="n">
        <v>0.277372441273207</v>
      </c>
      <c r="S2216" s="147" t="n">
        <v>0.0880123865455659</v>
      </c>
      <c r="T2216" s="147" t="n">
        <v>0.0332958608480891</v>
      </c>
    </row>
    <row r="2217" customFormat="false" ht="12.75" hidden="false" customHeight="true" outlineLevel="0" collapsed="false">
      <c r="P2217" s="1" t="n">
        <v>2214</v>
      </c>
      <c r="Q2217" s="147" t="n">
        <v>49857.240935488</v>
      </c>
      <c r="R2217" s="147" t="n">
        <v>0.275560302012788</v>
      </c>
      <c r="S2217" s="147" t="n">
        <v>0.0878443358859259</v>
      </c>
      <c r="T2217" s="147" t="n">
        <v>0.0347634127981242</v>
      </c>
    </row>
    <row r="2218" customFormat="false" ht="12.75" hidden="false" customHeight="true" outlineLevel="0" collapsed="false">
      <c r="P2218" s="1" t="n">
        <v>2215</v>
      </c>
      <c r="Q2218" s="147" t="n">
        <v>49879.652475782</v>
      </c>
      <c r="R2218" s="147" t="n">
        <v>0.274287478171711</v>
      </c>
      <c r="S2218" s="147" t="n">
        <v>0.0876297707346517</v>
      </c>
      <c r="T2218" s="147" t="n">
        <v>0.0358286083734495</v>
      </c>
    </row>
    <row r="2219" customFormat="false" ht="12.75" hidden="false" customHeight="true" outlineLevel="0" collapsed="false">
      <c r="P2219" s="1" t="n">
        <v>2216</v>
      </c>
      <c r="Q2219" s="147" t="n">
        <v>49902.413315802</v>
      </c>
      <c r="R2219" s="147" t="n">
        <v>0.2734550967431</v>
      </c>
      <c r="S2219" s="147" t="n">
        <v>0.0877105571981483</v>
      </c>
      <c r="T2219" s="147" t="n">
        <v>0.0367635573931434</v>
      </c>
    </row>
    <row r="2220" customFormat="false" ht="12.75" hidden="false" customHeight="true" outlineLevel="0" collapsed="false">
      <c r="P2220" s="1" t="n">
        <v>2217</v>
      </c>
      <c r="Q2220" s="147" t="n">
        <v>49924.854352429</v>
      </c>
      <c r="R2220" s="147" t="n">
        <v>0.273128325103452</v>
      </c>
      <c r="S2220" s="147" t="n">
        <v>0.0859205454896163</v>
      </c>
      <c r="T2220" s="147" t="n">
        <v>0.0379974220055992</v>
      </c>
    </row>
    <row r="2221" customFormat="false" ht="12.75" hidden="false" customHeight="true" outlineLevel="0" collapsed="false">
      <c r="P2221" s="1" t="n">
        <v>2218</v>
      </c>
      <c r="Q2221" s="147" t="n">
        <v>49947.411612472</v>
      </c>
      <c r="R2221" s="147" t="n">
        <v>0.273672625730386</v>
      </c>
      <c r="S2221" s="147" t="n">
        <v>0.0820094206878745</v>
      </c>
      <c r="T2221" s="147" t="n">
        <v>0.0383768935666443</v>
      </c>
    </row>
    <row r="2222" customFormat="false" ht="12.75" hidden="false" customHeight="true" outlineLevel="0" collapsed="false">
      <c r="P2222" s="1" t="n">
        <v>2219</v>
      </c>
      <c r="Q2222" s="147" t="n">
        <v>49969.7375329481</v>
      </c>
      <c r="R2222" s="147" t="n">
        <v>0.274223574344468</v>
      </c>
      <c r="S2222" s="147" t="n">
        <v>0.0783586418626758</v>
      </c>
      <c r="T2222" s="147" t="n">
        <v>0.0383937750492565</v>
      </c>
    </row>
    <row r="2223" customFormat="false" ht="12.75" hidden="false" customHeight="true" outlineLevel="0" collapsed="false">
      <c r="P2223" s="1" t="n">
        <v>2220</v>
      </c>
      <c r="Q2223" s="147" t="n">
        <v>49991.9352405551</v>
      </c>
      <c r="R2223" s="147" t="n">
        <v>0.274856954774519</v>
      </c>
      <c r="S2223" s="147" t="n">
        <v>0.0757570292130362</v>
      </c>
      <c r="T2223" s="147" t="n">
        <v>0.038073620012365</v>
      </c>
    </row>
    <row r="2224" customFormat="false" ht="12.75" hidden="false" customHeight="true" outlineLevel="0" collapsed="false">
      <c r="P2224" s="1" t="n">
        <v>2221</v>
      </c>
      <c r="Q2224" s="147" t="n">
        <v>50014.1240600391</v>
      </c>
      <c r="R2224" s="147" t="n">
        <v>0.275485561846636</v>
      </c>
      <c r="S2224" s="147" t="n">
        <v>0.0741871408502314</v>
      </c>
      <c r="T2224" s="147" t="n">
        <v>0.037543673271162</v>
      </c>
    </row>
    <row r="2225" customFormat="false" ht="12.75" hidden="false" customHeight="true" outlineLevel="0" collapsed="false">
      <c r="P2225" s="1" t="n">
        <v>2222</v>
      </c>
      <c r="Q2225" s="147" t="n">
        <v>50035.9888803951</v>
      </c>
      <c r="R2225" s="147" t="n">
        <v>0.275743514179288</v>
      </c>
      <c r="S2225" s="147" t="n">
        <v>0.0744959185737529</v>
      </c>
      <c r="T2225" s="147" t="n">
        <v>0.0369373227770503</v>
      </c>
    </row>
    <row r="2226" customFormat="false" ht="12.75" hidden="false" customHeight="true" outlineLevel="0" collapsed="false">
      <c r="P2226" s="1" t="n">
        <v>2223</v>
      </c>
      <c r="Q2226" s="147" t="n">
        <v>50058.0983458251</v>
      </c>
      <c r="R2226" s="147" t="n">
        <v>0.27560063539169</v>
      </c>
      <c r="S2226" s="147" t="n">
        <v>0.0773661483133515</v>
      </c>
      <c r="T2226" s="147" t="n">
        <v>0.0365502742048235</v>
      </c>
    </row>
    <row r="2227" customFormat="false" ht="12.75" hidden="false" customHeight="true" outlineLevel="0" collapsed="false">
      <c r="P2227" s="1" t="n">
        <v>2224</v>
      </c>
      <c r="Q2227" s="147" t="n">
        <v>50080.0410983911</v>
      </c>
      <c r="R2227" s="147" t="n">
        <v>0.274750836010697</v>
      </c>
      <c r="S2227" s="147" t="n">
        <v>0.0839350702847731</v>
      </c>
      <c r="T2227" s="147" t="n">
        <v>0.0361841430694933</v>
      </c>
    </row>
    <row r="2228" customFormat="false" ht="12.75" hidden="false" customHeight="true" outlineLevel="0" collapsed="false">
      <c r="P2228" s="1" t="n">
        <v>2225</v>
      </c>
      <c r="Q2228" s="147" t="n">
        <v>50102.6783494851</v>
      </c>
      <c r="R2228" s="147" t="n">
        <v>0.273352784952257</v>
      </c>
      <c r="S2228" s="147" t="n">
        <v>0.0963901039570283</v>
      </c>
      <c r="T2228" s="147" t="n">
        <v>0.0358135923464134</v>
      </c>
    </row>
    <row r="2229" customFormat="false" ht="12.75" hidden="false" customHeight="true" outlineLevel="0" collapsed="false">
      <c r="P2229" s="1" t="n">
        <v>2226</v>
      </c>
      <c r="Q2229" s="147" t="n">
        <v>50124.8065806601</v>
      </c>
      <c r="R2229" s="147" t="n">
        <v>0.272677977465573</v>
      </c>
      <c r="S2229" s="147" t="n">
        <v>0.101530430553279</v>
      </c>
      <c r="T2229" s="147" t="n">
        <v>0.0354483470506513</v>
      </c>
    </row>
    <row r="2230" customFormat="false" ht="12.75" hidden="false" customHeight="true" outlineLevel="0" collapsed="false">
      <c r="P2230" s="1" t="n">
        <v>2227</v>
      </c>
      <c r="Q2230" s="147" t="n">
        <v>50147.7394276541</v>
      </c>
      <c r="R2230" s="147" t="n">
        <v>0.270836416163022</v>
      </c>
      <c r="S2230" s="147" t="n">
        <v>0.111201803453308</v>
      </c>
      <c r="T2230" s="147" t="n">
        <v>0.0354765875571401</v>
      </c>
    </row>
    <row r="2231" customFormat="false" ht="12.75" hidden="false" customHeight="true" outlineLevel="0" collapsed="false">
      <c r="P2231" s="1" t="n">
        <v>2228</v>
      </c>
      <c r="Q2231" s="147" t="n">
        <v>50169.5551401661</v>
      </c>
      <c r="R2231" s="147" t="n">
        <v>0.269296053119976</v>
      </c>
      <c r="S2231" s="147" t="n">
        <v>0.113929762426984</v>
      </c>
      <c r="T2231" s="147" t="n">
        <v>0.0355534347898479</v>
      </c>
    </row>
    <row r="2232" customFormat="false" ht="12.75" hidden="false" customHeight="true" outlineLevel="0" collapsed="false">
      <c r="P2232" s="1" t="n">
        <v>2229</v>
      </c>
      <c r="Q2232" s="147" t="n">
        <v>50192.0475066281</v>
      </c>
      <c r="R2232" s="147" t="n">
        <v>0.267345401191991</v>
      </c>
      <c r="S2232" s="147" t="n">
        <v>0.116128762539495</v>
      </c>
      <c r="T2232" s="147" t="n">
        <v>0.0360724889816493</v>
      </c>
    </row>
    <row r="2233" customFormat="false" ht="12.75" hidden="false" customHeight="true" outlineLevel="0" collapsed="false">
      <c r="P2233" s="1" t="n">
        <v>2230</v>
      </c>
      <c r="Q2233" s="147" t="n">
        <v>50214.6928404891</v>
      </c>
      <c r="R2233" s="147" t="n">
        <v>0.266338376172741</v>
      </c>
      <c r="S2233" s="147" t="n">
        <v>0.113715102090277</v>
      </c>
      <c r="T2233" s="147" t="n">
        <v>0.0366811873862821</v>
      </c>
    </row>
    <row r="2234" customFormat="false" ht="12.75" hidden="false" customHeight="true" outlineLevel="0" collapsed="false">
      <c r="P2234" s="1" t="n">
        <v>2231</v>
      </c>
      <c r="Q2234" s="147" t="n">
        <v>50237.1838690471</v>
      </c>
      <c r="R2234" s="147" t="n">
        <v>0.265447587024948</v>
      </c>
      <c r="S2234" s="147" t="n">
        <v>0.108938731390393</v>
      </c>
      <c r="T2234" s="147" t="n">
        <v>0.0371251492269053</v>
      </c>
    </row>
    <row r="2235" customFormat="false" ht="12.75" hidden="false" customHeight="true" outlineLevel="0" collapsed="false">
      <c r="P2235" s="1" t="n">
        <v>2232</v>
      </c>
      <c r="Q2235" s="147" t="n">
        <v>50259.808387782</v>
      </c>
      <c r="R2235" s="147" t="n">
        <v>0.265061185384217</v>
      </c>
      <c r="S2235" s="147" t="n">
        <v>0.101470240042186</v>
      </c>
      <c r="T2235" s="147" t="n">
        <v>0.0377632289070142</v>
      </c>
    </row>
    <row r="2236" customFormat="false" ht="12.75" hidden="false" customHeight="true" outlineLevel="0" collapsed="false">
      <c r="P2236" s="1" t="n">
        <v>2233</v>
      </c>
      <c r="Q2236" s="147" t="n">
        <v>50282.4714975221</v>
      </c>
      <c r="R2236" s="147" t="n">
        <v>0.264865975731332</v>
      </c>
      <c r="S2236" s="147" t="n">
        <v>0.0924720139372108</v>
      </c>
      <c r="T2236" s="147" t="n">
        <v>0.0383716946879546</v>
      </c>
    </row>
    <row r="2237" customFormat="false" ht="12.75" hidden="false" customHeight="true" outlineLevel="0" collapsed="false">
      <c r="P2237" s="1" t="n">
        <v>2234</v>
      </c>
      <c r="Q2237" s="147" t="n">
        <v>50304.1568790351</v>
      </c>
      <c r="R2237" s="147" t="n">
        <v>0.264696070073067</v>
      </c>
      <c r="S2237" s="147" t="n">
        <v>0.0870294970902724</v>
      </c>
      <c r="T2237" s="147" t="n">
        <v>0.0393386818789675</v>
      </c>
    </row>
    <row r="2238" customFormat="false" ht="12.75" hidden="false" customHeight="true" outlineLevel="0" collapsed="false">
      <c r="P2238" s="1" t="n">
        <v>2235</v>
      </c>
      <c r="Q2238" s="147" t="n">
        <v>50326.8950765751</v>
      </c>
      <c r="R2238" s="147" t="n">
        <v>0.265446283138752</v>
      </c>
      <c r="S2238" s="147" t="n">
        <v>0.0765084364016215</v>
      </c>
      <c r="T2238" s="147" t="n">
        <v>0.0400706975078691</v>
      </c>
    </row>
    <row r="2239" customFormat="false" ht="12.75" hidden="false" customHeight="true" outlineLevel="0" collapsed="false">
      <c r="P2239" s="1" t="n">
        <v>2236</v>
      </c>
      <c r="Q2239" s="147" t="n">
        <v>50348.614338883</v>
      </c>
      <c r="R2239" s="147" t="n">
        <v>0.26533460778695</v>
      </c>
      <c r="S2239" s="147" t="n">
        <v>0.0717214432174902</v>
      </c>
      <c r="T2239" s="147" t="n">
        <v>0.0418181994042219</v>
      </c>
    </row>
    <row r="2240" customFormat="false" ht="12.75" hidden="false" customHeight="true" outlineLevel="0" collapsed="false">
      <c r="P2240" s="1" t="n">
        <v>2237</v>
      </c>
      <c r="Q2240" s="147" t="n">
        <v>50370.913786714</v>
      </c>
      <c r="R2240" s="147" t="n">
        <v>0.266092410526093</v>
      </c>
      <c r="S2240" s="147" t="n">
        <v>0.0655684958612578</v>
      </c>
      <c r="T2240" s="147" t="n">
        <v>0.043067133496438</v>
      </c>
    </row>
    <row r="2241" customFormat="false" ht="12.75" hidden="false" customHeight="true" outlineLevel="0" collapsed="false">
      <c r="P2241" s="1" t="n">
        <v>2238</v>
      </c>
      <c r="Q2241" s="147" t="n">
        <v>50393.318694305</v>
      </c>
      <c r="R2241" s="147" t="n">
        <v>0.266436151658674</v>
      </c>
      <c r="S2241" s="147" t="n">
        <v>0.0640148032887006</v>
      </c>
      <c r="T2241" s="147" t="n">
        <v>0.0442649046144112</v>
      </c>
    </row>
    <row r="2242" customFormat="false" ht="12.75" hidden="false" customHeight="true" outlineLevel="0" collapsed="false">
      <c r="P2242" s="1" t="n">
        <v>2239</v>
      </c>
      <c r="Q2242" s="147" t="n">
        <v>50415.9112954671</v>
      </c>
      <c r="R2242" s="147" t="n">
        <v>0.266951188210198</v>
      </c>
      <c r="S2242" s="147" t="n">
        <v>0.0650872297448018</v>
      </c>
      <c r="T2242" s="147" t="n">
        <v>0.0456702600500239</v>
      </c>
    </row>
    <row r="2243" customFormat="false" ht="12.75" hidden="false" customHeight="true" outlineLevel="0" collapsed="false">
      <c r="P2243" s="1" t="n">
        <v>2240</v>
      </c>
      <c r="Q2243" s="147" t="n">
        <v>50438.4131144811</v>
      </c>
      <c r="R2243" s="147" t="n">
        <v>0.267051720652509</v>
      </c>
      <c r="S2243" s="147" t="n">
        <v>0.0694542660063704</v>
      </c>
      <c r="T2243" s="147" t="n">
        <v>0.0469558676571075</v>
      </c>
    </row>
    <row r="2244" customFormat="false" ht="12.75" hidden="false" customHeight="true" outlineLevel="0" collapsed="false">
      <c r="P2244" s="1" t="n">
        <v>2241</v>
      </c>
      <c r="Q2244" s="147" t="n">
        <v>50461.1904128461</v>
      </c>
      <c r="R2244" s="147" t="n">
        <v>0.267187259714891</v>
      </c>
      <c r="S2244" s="147" t="n">
        <v>0.0761793898260716</v>
      </c>
      <c r="T2244" s="147" t="n">
        <v>0.0482645825859017</v>
      </c>
    </row>
    <row r="2245" customFormat="false" ht="12.75" hidden="false" customHeight="true" outlineLevel="0" collapsed="false">
      <c r="P2245" s="1" t="n">
        <v>2242</v>
      </c>
      <c r="Q2245" s="147" t="n">
        <v>50483.8065777531</v>
      </c>
      <c r="R2245" s="147" t="n">
        <v>0.267058584415786</v>
      </c>
      <c r="S2245" s="147" t="n">
        <v>0.0830432280982186</v>
      </c>
      <c r="T2245" s="147" t="n">
        <v>0.0491550115492547</v>
      </c>
    </row>
    <row r="2246" customFormat="false" ht="12.75" hidden="false" customHeight="true" outlineLevel="0" collapsed="false">
      <c r="P2246" s="1" t="n">
        <v>2243</v>
      </c>
      <c r="Q2246" s="147" t="n">
        <v>50506.2746390621</v>
      </c>
      <c r="R2246" s="147" t="n">
        <v>0.266904912875448</v>
      </c>
      <c r="S2246" s="147" t="n">
        <v>0.0883060008425294</v>
      </c>
      <c r="T2246" s="147" t="n">
        <v>0.0496582615948178</v>
      </c>
    </row>
    <row r="2247" customFormat="false" ht="12.75" hidden="false" customHeight="true" outlineLevel="0" collapsed="false">
      <c r="P2247" s="1" t="n">
        <v>2244</v>
      </c>
      <c r="Q2247" s="147" t="n">
        <v>50528.0429305831</v>
      </c>
      <c r="R2247" s="147" t="n">
        <v>0.266624297020553</v>
      </c>
      <c r="S2247" s="147" t="n">
        <v>0.090673171802821</v>
      </c>
      <c r="T2247" s="147" t="n">
        <v>0.0498286933875305</v>
      </c>
    </row>
    <row r="2248" customFormat="false" ht="12.75" hidden="false" customHeight="true" outlineLevel="0" collapsed="false">
      <c r="P2248" s="1" t="n">
        <v>2245</v>
      </c>
      <c r="Q2248" s="147" t="n">
        <v>50550.7938169811</v>
      </c>
      <c r="R2248" s="147" t="n">
        <v>0.265717187855934</v>
      </c>
      <c r="S2248" s="147" t="n">
        <v>0.096549223853895</v>
      </c>
      <c r="T2248" s="147" t="n">
        <v>0.0478005322969768</v>
      </c>
    </row>
    <row r="2249" customFormat="false" ht="12.75" hidden="false" customHeight="true" outlineLevel="0" collapsed="false">
      <c r="P2249" s="1" t="n">
        <v>2246</v>
      </c>
      <c r="Q2249" s="147" t="n">
        <v>50572.7656274901</v>
      </c>
      <c r="R2249" s="147" t="n">
        <v>0.265189572165866</v>
      </c>
      <c r="S2249" s="147" t="n">
        <v>0.0969279481611136</v>
      </c>
      <c r="T2249" s="147" t="n">
        <v>0.0473858935741652</v>
      </c>
    </row>
    <row r="2250" customFormat="false" ht="12.75" hidden="false" customHeight="true" outlineLevel="0" collapsed="false">
      <c r="P2250" s="1" t="n">
        <v>2247</v>
      </c>
      <c r="Q2250" s="147" t="n">
        <v>50595.4428024531</v>
      </c>
      <c r="R2250" s="147" t="n">
        <v>0.264717330535255</v>
      </c>
      <c r="S2250" s="147" t="n">
        <v>0.0926581833479951</v>
      </c>
      <c r="T2250" s="147" t="n">
        <v>0.0468554602228589</v>
      </c>
    </row>
    <row r="2251" customFormat="false" ht="12.75" hidden="false" customHeight="true" outlineLevel="0" collapsed="false">
      <c r="P2251" s="1" t="n">
        <v>2248</v>
      </c>
      <c r="Q2251" s="147" t="n">
        <v>50618.1111657811</v>
      </c>
      <c r="R2251" s="147" t="n">
        <v>0.264256303317171</v>
      </c>
      <c r="S2251" s="147" t="n">
        <v>0.0828793119490848</v>
      </c>
      <c r="T2251" s="147" t="n">
        <v>0.0456902888828274</v>
      </c>
    </row>
    <row r="2252" customFormat="false" ht="12.75" hidden="false" customHeight="true" outlineLevel="0" collapsed="false">
      <c r="P2252" s="1" t="n">
        <v>2249</v>
      </c>
      <c r="Q2252" s="147" t="n">
        <v>50640.768152744</v>
      </c>
      <c r="R2252" s="147" t="n">
        <v>0.263831772392448</v>
      </c>
      <c r="S2252" s="147" t="n">
        <v>0.0717571694351388</v>
      </c>
      <c r="T2252" s="147" t="n">
        <v>0.0444564818504257</v>
      </c>
    </row>
    <row r="2253" customFormat="false" ht="12.75" hidden="false" customHeight="true" outlineLevel="0" collapsed="false">
      <c r="P2253" s="1" t="n">
        <v>2250</v>
      </c>
      <c r="Q2253" s="147" t="n">
        <v>50663.454077221</v>
      </c>
      <c r="R2253" s="147" t="n">
        <v>0.263352731210111</v>
      </c>
      <c r="S2253" s="147" t="n">
        <v>0.0630093315855244</v>
      </c>
      <c r="T2253" s="147" t="n">
        <v>0.0431780737230259</v>
      </c>
    </row>
    <row r="2254" customFormat="false" ht="12.75" hidden="false" customHeight="true" outlineLevel="0" collapsed="false">
      <c r="P2254" s="1" t="n">
        <v>2251</v>
      </c>
      <c r="Q2254" s="147" t="n">
        <v>50686.4205816381</v>
      </c>
      <c r="R2254" s="147" t="n">
        <v>0.263394323693896</v>
      </c>
      <c r="S2254" s="147" t="n">
        <v>0.0522221828548466</v>
      </c>
      <c r="T2254" s="147" t="n">
        <v>0.0428933756114042</v>
      </c>
    </row>
    <row r="2255" customFormat="false" ht="12.75" hidden="false" customHeight="true" outlineLevel="0" collapsed="false">
      <c r="P2255" s="1" t="n">
        <v>2252</v>
      </c>
      <c r="Q2255" s="147" t="n">
        <v>50708.4869015011</v>
      </c>
      <c r="R2255" s="147" t="n">
        <v>0.263219301294655</v>
      </c>
      <c r="S2255" s="147" t="n">
        <v>0.047900761519674</v>
      </c>
      <c r="T2255" s="147" t="n">
        <v>0.0412780109840033</v>
      </c>
    </row>
    <row r="2256" customFormat="false" ht="12.75" hidden="false" customHeight="true" outlineLevel="0" collapsed="false">
      <c r="P2256" s="1" t="n">
        <v>2253</v>
      </c>
      <c r="Q2256" s="147" t="n">
        <v>50731.3681635991</v>
      </c>
      <c r="R2256" s="147" t="n">
        <v>0.263637240669501</v>
      </c>
      <c r="S2256" s="147" t="n">
        <v>0.0347485393460568</v>
      </c>
      <c r="T2256" s="147" t="n">
        <v>0.0427698362310482</v>
      </c>
    </row>
    <row r="2257" customFormat="false" ht="12.75" hidden="false" customHeight="true" outlineLevel="0" collapsed="false">
      <c r="P2257" s="1" t="n">
        <v>2254</v>
      </c>
      <c r="Q2257" s="147" t="n">
        <v>50753.3506484961</v>
      </c>
      <c r="R2257" s="147" t="n">
        <v>0.263582534590574</v>
      </c>
      <c r="S2257" s="147" t="n">
        <v>0.0326998861731138</v>
      </c>
      <c r="T2257" s="147" t="n">
        <v>0.0412335155072183</v>
      </c>
    </row>
    <row r="2258" customFormat="false" ht="12.75" hidden="false" customHeight="true" outlineLevel="0" collapsed="false">
      <c r="P2258" s="1" t="n">
        <v>2255</v>
      </c>
      <c r="Q2258" s="147" t="n">
        <v>50775.8119758501</v>
      </c>
      <c r="R2258" s="147" t="n">
        <v>0.263439480511023</v>
      </c>
      <c r="S2258" s="147" t="n">
        <v>0.0307981039533667</v>
      </c>
      <c r="T2258" s="147" t="n">
        <v>0.0411124378564029</v>
      </c>
    </row>
    <row r="2259" customFormat="false" ht="12.75" hidden="false" customHeight="true" outlineLevel="0" collapsed="false">
      <c r="P2259" s="1" t="n">
        <v>2256</v>
      </c>
      <c r="Q2259" s="147" t="n">
        <v>50798.2658734541</v>
      </c>
      <c r="R2259" s="147" t="n">
        <v>0.263593744993193</v>
      </c>
      <c r="S2259" s="147" t="n">
        <v>0.032080808688553</v>
      </c>
      <c r="T2259" s="147" t="n">
        <v>0.0407898271644106</v>
      </c>
    </row>
    <row r="2260" customFormat="false" ht="12.75" hidden="false" customHeight="true" outlineLevel="0" collapsed="false">
      <c r="P2260" s="1" t="n">
        <v>2257</v>
      </c>
      <c r="Q2260" s="147" t="n">
        <v>50820.8304282161</v>
      </c>
      <c r="R2260" s="147" t="n">
        <v>0.263570693629517</v>
      </c>
      <c r="S2260" s="147" t="n">
        <v>0.0390873919004329</v>
      </c>
      <c r="T2260" s="147" t="n">
        <v>0.0406841929678162</v>
      </c>
    </row>
    <row r="2261" customFormat="false" ht="12.75" hidden="false" customHeight="true" outlineLevel="0" collapsed="false">
      <c r="P2261" s="1" t="n">
        <v>2258</v>
      </c>
      <c r="Q2261" s="147" t="n">
        <v>50843.7428416191</v>
      </c>
      <c r="R2261" s="147" t="n">
        <v>0.263481096723075</v>
      </c>
      <c r="S2261" s="147" t="n">
        <v>0.0493443407758458</v>
      </c>
      <c r="T2261" s="147" t="n">
        <v>0.0406622835872625</v>
      </c>
    </row>
    <row r="2262" customFormat="false" ht="12.75" hidden="false" customHeight="true" outlineLevel="0" collapsed="false">
      <c r="P2262" s="1" t="n">
        <v>2259</v>
      </c>
      <c r="Q2262" s="147" t="n">
        <v>50865.5600536461</v>
      </c>
      <c r="R2262" s="147" t="n">
        <v>0.263061769290926</v>
      </c>
      <c r="S2262" s="147" t="n">
        <v>0.0531197583505586</v>
      </c>
      <c r="T2262" s="147" t="n">
        <v>0.0414122266544478</v>
      </c>
    </row>
    <row r="2263" customFormat="false" ht="12.75" hidden="false" customHeight="true" outlineLevel="0" collapsed="false">
      <c r="P2263" s="1" t="n">
        <v>2260</v>
      </c>
      <c r="Q2263" s="147" t="n">
        <v>50888.3225221081</v>
      </c>
      <c r="R2263" s="147" t="n">
        <v>0.262445036409149</v>
      </c>
      <c r="S2263" s="147" t="n">
        <v>0.0650561578927637</v>
      </c>
      <c r="T2263" s="147" t="n">
        <v>0.0403287234239265</v>
      </c>
    </row>
    <row r="2264" customFormat="false" ht="12.75" hidden="false" customHeight="true" outlineLevel="0" collapsed="false">
      <c r="P2264" s="1" t="n">
        <v>2261</v>
      </c>
      <c r="Q2264" s="147" t="n">
        <v>50910.3525971351</v>
      </c>
      <c r="R2264" s="147" t="n">
        <v>0.261738553247059</v>
      </c>
      <c r="S2264" s="147" t="n">
        <v>0.0669693072094777</v>
      </c>
      <c r="T2264" s="147" t="n">
        <v>0.0417273366725317</v>
      </c>
    </row>
    <row r="2265" customFormat="false" ht="12.75" hidden="false" customHeight="true" outlineLevel="0" collapsed="false">
      <c r="P2265" s="1" t="n">
        <v>2262</v>
      </c>
      <c r="Q2265" s="147" t="n">
        <v>50932.8951406351</v>
      </c>
      <c r="R2265" s="147" t="n">
        <v>0.261254608498837</v>
      </c>
      <c r="S2265" s="147" t="n">
        <v>0.0715583430550835</v>
      </c>
      <c r="T2265" s="147" t="n">
        <v>0.0409788567659591</v>
      </c>
    </row>
    <row r="2266" customFormat="false" ht="12.75" hidden="false" customHeight="true" outlineLevel="0" collapsed="false">
      <c r="P2266" s="1" t="n">
        <v>2263</v>
      </c>
      <c r="Q2266" s="147" t="n">
        <v>50954.9704813601</v>
      </c>
      <c r="R2266" s="147" t="n">
        <v>0.261119907915629</v>
      </c>
      <c r="S2266" s="147" t="n">
        <v>0.0728985609544146</v>
      </c>
      <c r="T2266" s="147" t="n">
        <v>0.0415306847536013</v>
      </c>
    </row>
    <row r="2267" customFormat="false" ht="12.75" hidden="false" customHeight="true" outlineLevel="0" collapsed="false">
      <c r="P2267" s="1" t="n">
        <v>2264</v>
      </c>
      <c r="Q2267" s="147" t="n">
        <v>50977.7208026611</v>
      </c>
      <c r="R2267" s="147" t="n">
        <v>0.261547116519644</v>
      </c>
      <c r="S2267" s="147" t="n">
        <v>0.0747064004888075</v>
      </c>
      <c r="T2267" s="147" t="n">
        <v>0.0404844949901639</v>
      </c>
    </row>
    <row r="2268" customFormat="false" ht="12.75" hidden="false" customHeight="true" outlineLevel="0" collapsed="false">
      <c r="P2268" s="1" t="n">
        <v>2265</v>
      </c>
      <c r="Q2268" s="147" t="n">
        <v>51000.3308081421</v>
      </c>
      <c r="R2268" s="147" t="n">
        <v>0.262378731678386</v>
      </c>
      <c r="S2268" s="147" t="n">
        <v>0.0748227367476391</v>
      </c>
      <c r="T2268" s="147" t="n">
        <v>0.0405909795481195</v>
      </c>
    </row>
    <row r="2269" customFormat="false" ht="12.75" hidden="false" customHeight="true" outlineLevel="0" collapsed="false">
      <c r="P2269" s="1" t="n">
        <v>2266</v>
      </c>
      <c r="Q2269" s="147" t="n">
        <v>51022.7663622091</v>
      </c>
      <c r="R2269" s="147" t="n">
        <v>0.262810367139576</v>
      </c>
      <c r="S2269" s="147" t="n">
        <v>0.0765279984675572</v>
      </c>
      <c r="T2269" s="147" t="n">
        <v>0.0401220192912537</v>
      </c>
    </row>
    <row r="2270" customFormat="false" ht="12.75" hidden="false" customHeight="true" outlineLevel="0" collapsed="false">
      <c r="P2270" s="1" t="n">
        <v>2267</v>
      </c>
      <c r="Q2270" s="147" t="n">
        <v>51045.1524574441</v>
      </c>
      <c r="R2270" s="147" t="n">
        <v>0.263458018755729</v>
      </c>
      <c r="S2270" s="147" t="n">
        <v>0.0783922509117534</v>
      </c>
      <c r="T2270" s="147" t="n">
        <v>0.0398170669969399</v>
      </c>
    </row>
    <row r="2271" customFormat="false" ht="12.75" hidden="false" customHeight="true" outlineLevel="0" collapsed="false">
      <c r="P2271" s="1" t="n">
        <v>2268</v>
      </c>
      <c r="Q2271" s="147" t="n">
        <v>51067.5576243531</v>
      </c>
      <c r="R2271" s="147" t="n">
        <v>0.264049855388989</v>
      </c>
      <c r="S2271" s="147" t="n">
        <v>0.0807127428855788</v>
      </c>
      <c r="T2271" s="147" t="n">
        <v>0.0394239616361461</v>
      </c>
    </row>
    <row r="2272" customFormat="false" ht="12.75" hidden="false" customHeight="true" outlineLevel="0" collapsed="false">
      <c r="P2272" s="1" t="n">
        <v>2269</v>
      </c>
      <c r="Q2272" s="147" t="n">
        <v>51089.9756555501</v>
      </c>
      <c r="R2272" s="147" t="n">
        <v>0.264697512445624</v>
      </c>
      <c r="S2272" s="147" t="n">
        <v>0.0826633035252805</v>
      </c>
      <c r="T2272" s="147" t="n">
        <v>0.0388635957770353</v>
      </c>
    </row>
    <row r="2273" customFormat="false" ht="12.75" hidden="false" customHeight="true" outlineLevel="0" collapsed="false">
      <c r="P2273" s="1" t="n">
        <v>2270</v>
      </c>
      <c r="Q2273" s="147" t="n">
        <v>51112.5001507421</v>
      </c>
      <c r="R2273" s="147" t="n">
        <v>0.264732418111874</v>
      </c>
      <c r="S2273" s="147" t="n">
        <v>0.0842517871503279</v>
      </c>
      <c r="T2273" s="147" t="n">
        <v>0.0388517352929173</v>
      </c>
    </row>
    <row r="2274" customFormat="false" ht="12.75" hidden="false" customHeight="true" outlineLevel="0" collapsed="false">
      <c r="P2274" s="1" t="n">
        <v>2271</v>
      </c>
      <c r="Q2274" s="147" t="n">
        <v>51134.0073894281</v>
      </c>
      <c r="R2274" s="147" t="n">
        <v>0.264981413816659</v>
      </c>
      <c r="S2274" s="147" t="n">
        <v>0.0847467095053751</v>
      </c>
      <c r="T2274" s="147" t="n">
        <v>0.0378720317907011</v>
      </c>
    </row>
    <row r="2275" customFormat="false" ht="12.75" hidden="false" customHeight="true" outlineLevel="0" collapsed="false">
      <c r="P2275" s="1" t="n">
        <v>2272</v>
      </c>
      <c r="Q2275" s="147" t="n">
        <v>51156.7410894041</v>
      </c>
      <c r="R2275" s="147" t="n">
        <v>0.263974801063909</v>
      </c>
      <c r="S2275" s="147" t="n">
        <v>0.0836307225051154</v>
      </c>
      <c r="T2275" s="147" t="n">
        <v>0.0379193879042665</v>
      </c>
    </row>
    <row r="2276" customFormat="false" ht="12.75" hidden="false" customHeight="true" outlineLevel="0" collapsed="false">
      <c r="P2276" s="1" t="n">
        <v>2273</v>
      </c>
      <c r="Q2276" s="147" t="n">
        <v>51179.2723482791</v>
      </c>
      <c r="R2276" s="147" t="n">
        <v>0.263635642229311</v>
      </c>
      <c r="S2276" s="147" t="n">
        <v>0.0832794380286654</v>
      </c>
      <c r="T2276" s="147" t="n">
        <v>0.037622820224234</v>
      </c>
    </row>
    <row r="2277" customFormat="false" ht="12.75" hidden="false" customHeight="true" outlineLevel="0" collapsed="false">
      <c r="P2277" s="1" t="n">
        <v>2274</v>
      </c>
      <c r="Q2277" s="147" t="n">
        <v>51202.1016937231</v>
      </c>
      <c r="R2277" s="147" t="n">
        <v>0.261827571657017</v>
      </c>
      <c r="S2277" s="147" t="n">
        <v>0.0816092724755079</v>
      </c>
      <c r="T2277" s="147" t="n">
        <v>0.0375635205945054</v>
      </c>
    </row>
    <row r="2278" customFormat="false" ht="12.75" hidden="false" customHeight="true" outlineLevel="0" collapsed="false">
      <c r="P2278" s="1" t="n">
        <v>2275</v>
      </c>
      <c r="Q2278" s="147" t="n">
        <v>51224.6174141411</v>
      </c>
      <c r="R2278" s="147" t="n">
        <v>0.260723196289181</v>
      </c>
      <c r="S2278" s="147" t="n">
        <v>0.0810377341376495</v>
      </c>
      <c r="T2278" s="147" t="n">
        <v>0.0376381961737987</v>
      </c>
    </row>
    <row r="2279" customFormat="false" ht="12.75" hidden="false" customHeight="true" outlineLevel="0" collapsed="false">
      <c r="P2279" s="1" t="n">
        <v>2276</v>
      </c>
      <c r="Q2279" s="147" t="n">
        <v>51247.3065443551</v>
      </c>
      <c r="R2279" s="147" t="n">
        <v>0.259316211075084</v>
      </c>
      <c r="S2279" s="147" t="n">
        <v>0.0812738532568404</v>
      </c>
      <c r="T2279" s="147" t="n">
        <v>0.0376151674967386</v>
      </c>
    </row>
    <row r="2280" customFormat="false" ht="12.75" hidden="false" customHeight="true" outlineLevel="0" collapsed="false">
      <c r="P2280" s="1" t="n">
        <v>2277</v>
      </c>
      <c r="Q2280" s="147" t="n">
        <v>51269.5770127521</v>
      </c>
      <c r="R2280" s="147" t="n">
        <v>0.25837775385439</v>
      </c>
      <c r="S2280" s="147" t="n">
        <v>0.0818133620536964</v>
      </c>
      <c r="T2280" s="147" t="n">
        <v>0.0377259655142015</v>
      </c>
    </row>
    <row r="2281" customFormat="false" ht="12.75" hidden="false" customHeight="true" outlineLevel="0" collapsed="false">
      <c r="P2281" s="1" t="n">
        <v>2278</v>
      </c>
      <c r="Q2281" s="147" t="n">
        <v>51291.7910071441</v>
      </c>
      <c r="R2281" s="147" t="n">
        <v>0.257893065983119</v>
      </c>
      <c r="S2281" s="147" t="n">
        <v>0.0825583201018153</v>
      </c>
      <c r="T2281" s="147" t="n">
        <v>0.0378238101156642</v>
      </c>
    </row>
    <row r="2282" customFormat="false" ht="12.75" hidden="false" customHeight="true" outlineLevel="0" collapsed="false">
      <c r="P2282" s="1" t="n">
        <v>2279</v>
      </c>
      <c r="Q2282" s="147" t="n">
        <v>51314.5009585051</v>
      </c>
      <c r="R2282" s="147" t="n">
        <v>0.258038791194836</v>
      </c>
      <c r="S2282" s="147" t="n">
        <v>0.0833805068899889</v>
      </c>
      <c r="T2282" s="147" t="n">
        <v>0.0375659005401274</v>
      </c>
    </row>
    <row r="2283" customFormat="false" ht="12.75" hidden="false" customHeight="true" outlineLevel="0" collapsed="false">
      <c r="P2283" s="1" t="n">
        <v>2280</v>
      </c>
      <c r="Q2283" s="147" t="n">
        <v>51336.4842976791</v>
      </c>
      <c r="R2283" s="147" t="n">
        <v>0.258402255956363</v>
      </c>
      <c r="S2283" s="147" t="n">
        <v>0.0839379635751942</v>
      </c>
      <c r="T2283" s="147" t="n">
        <v>0.0379841036266689</v>
      </c>
    </row>
    <row r="2284" customFormat="false" ht="12.75" hidden="false" customHeight="true" outlineLevel="0" collapsed="false">
      <c r="P2284" s="1" t="n">
        <v>2281</v>
      </c>
      <c r="Q2284" s="147" t="n">
        <v>51359.2114404021</v>
      </c>
      <c r="R2284" s="147" t="n">
        <v>0.259857053241411</v>
      </c>
      <c r="S2284" s="147" t="n">
        <v>0.0855780617067728</v>
      </c>
      <c r="T2284" s="147" t="n">
        <v>0.0378537135100584</v>
      </c>
    </row>
    <row r="2285" customFormat="false" ht="12.75" hidden="false" customHeight="true" outlineLevel="0" collapsed="false">
      <c r="P2285" s="1" t="n">
        <v>2282</v>
      </c>
      <c r="Q2285" s="147" t="n">
        <v>51381.2915220391</v>
      </c>
      <c r="R2285" s="147" t="n">
        <v>0.260875349646003</v>
      </c>
      <c r="S2285" s="147" t="n">
        <v>0.0866755620587527</v>
      </c>
      <c r="T2285" s="147" t="n">
        <v>0.0386335990036399</v>
      </c>
    </row>
    <row r="2286" customFormat="false" ht="12.75" hidden="false" customHeight="true" outlineLevel="0" collapsed="false">
      <c r="P2286" s="1" t="n">
        <v>2283</v>
      </c>
      <c r="Q2286" s="147" t="n">
        <v>51403.7225963241</v>
      </c>
      <c r="R2286" s="147" t="n">
        <v>0.262480035442363</v>
      </c>
      <c r="S2286" s="147" t="n">
        <v>0.0869044479640224</v>
      </c>
      <c r="T2286" s="147" t="n">
        <v>0.0397504933917757</v>
      </c>
    </row>
    <row r="2287" customFormat="false" ht="12.75" hidden="false" customHeight="true" outlineLevel="0" collapsed="false">
      <c r="P2287" s="1" t="n">
        <v>2284</v>
      </c>
      <c r="Q2287" s="147" t="n">
        <v>51426.2360370101</v>
      </c>
      <c r="R2287" s="147" t="n">
        <v>0.264256264670327</v>
      </c>
      <c r="S2287" s="147" t="n">
        <v>0.0872928414762403</v>
      </c>
      <c r="T2287" s="147" t="n">
        <v>0.0411641521915783</v>
      </c>
    </row>
    <row r="2288" customFormat="false" ht="12.75" hidden="false" customHeight="true" outlineLevel="0" collapsed="false">
      <c r="P2288" s="1" t="n">
        <v>2285</v>
      </c>
      <c r="Q2288" s="147" t="n">
        <v>51448.9315112391</v>
      </c>
      <c r="R2288" s="147" t="n">
        <v>0.266252772818427</v>
      </c>
      <c r="S2288" s="147" t="n">
        <v>0.0877819439874349</v>
      </c>
      <c r="T2288" s="147" t="n">
        <v>0.0430338623915142</v>
      </c>
    </row>
    <row r="2289" customFormat="false" ht="12.75" hidden="false" customHeight="true" outlineLevel="0" collapsed="false">
      <c r="P2289" s="1" t="n">
        <v>2286</v>
      </c>
      <c r="Q2289" s="147" t="n">
        <v>51471.3246834861</v>
      </c>
      <c r="R2289" s="147" t="n">
        <v>0.268142733560757</v>
      </c>
      <c r="S2289" s="147" t="n">
        <v>0.0888323058005071</v>
      </c>
      <c r="T2289" s="147" t="n">
        <v>0.0447712024299188</v>
      </c>
    </row>
    <row r="2290" customFormat="false" ht="12.75" hidden="false" customHeight="true" outlineLevel="0" collapsed="false">
      <c r="P2290" s="1" t="n">
        <v>2287</v>
      </c>
      <c r="Q2290" s="147" t="n">
        <v>51493.3799459221</v>
      </c>
      <c r="R2290" s="147" t="n">
        <v>0.269830745434249</v>
      </c>
      <c r="S2290" s="147" t="n">
        <v>0.0902463055687751</v>
      </c>
      <c r="T2290" s="147" t="n">
        <v>0.0464601836261909</v>
      </c>
    </row>
    <row r="2291" customFormat="false" ht="12.75" hidden="false" customHeight="true" outlineLevel="0" collapsed="false">
      <c r="P2291" s="1" t="n">
        <v>2288</v>
      </c>
      <c r="Q2291" s="147" t="n">
        <v>51515.4953719981</v>
      </c>
      <c r="R2291" s="147" t="n">
        <v>0.271087939335022</v>
      </c>
      <c r="S2291" s="147" t="n">
        <v>0.0916807576658948</v>
      </c>
      <c r="T2291" s="147" t="n">
        <v>0.0477491778850948</v>
      </c>
    </row>
    <row r="2292" customFormat="false" ht="12.75" hidden="false" customHeight="true" outlineLevel="0" collapsed="false">
      <c r="P2292" s="1" t="n">
        <v>2289</v>
      </c>
      <c r="Q2292" s="147" t="n">
        <v>51537.2247701561</v>
      </c>
      <c r="R2292" s="147" t="n">
        <v>0.27207660560972</v>
      </c>
      <c r="S2292" s="147" t="n">
        <v>0.0945448889072546</v>
      </c>
      <c r="T2292" s="147" t="n">
        <v>0.0486124790847775</v>
      </c>
    </row>
    <row r="2293" customFormat="false" ht="12.75" hidden="false" customHeight="true" outlineLevel="0" collapsed="false">
      <c r="P2293" s="1" t="n">
        <v>2290</v>
      </c>
      <c r="Q2293" s="147" t="n">
        <v>51559.4909541091</v>
      </c>
      <c r="R2293" s="147" t="n">
        <v>0.272392722524341</v>
      </c>
      <c r="S2293" s="147" t="n">
        <v>0.0969791307047627</v>
      </c>
      <c r="T2293" s="147" t="n">
        <v>0.0491284809150206</v>
      </c>
    </row>
    <row r="2294" customFormat="false" ht="12.75" hidden="false" customHeight="true" outlineLevel="0" collapsed="false">
      <c r="P2294" s="1" t="n">
        <v>2291</v>
      </c>
      <c r="Q2294" s="147" t="n">
        <v>51581.7221005791</v>
      </c>
      <c r="R2294" s="147" t="n">
        <v>0.271926395908316</v>
      </c>
      <c r="S2294" s="147" t="n">
        <v>0.0979649035920426</v>
      </c>
      <c r="T2294" s="147" t="n">
        <v>0.0494721940292522</v>
      </c>
    </row>
    <row r="2295" customFormat="false" ht="12.75" hidden="false" customHeight="true" outlineLevel="0" collapsed="false">
      <c r="P2295" s="1" t="n">
        <v>2292</v>
      </c>
      <c r="Q2295" s="147" t="n">
        <v>51604.2671663441</v>
      </c>
      <c r="R2295" s="147" t="n">
        <v>0.271592855480653</v>
      </c>
      <c r="S2295" s="147" t="n">
        <v>0.0975871943261153</v>
      </c>
      <c r="T2295" s="147" t="n">
        <v>0.0489023565513217</v>
      </c>
    </row>
    <row r="2296" customFormat="false" ht="12.75" hidden="false" customHeight="true" outlineLevel="0" collapsed="false">
      <c r="P2296" s="1" t="n">
        <v>2293</v>
      </c>
      <c r="Q2296" s="147" t="n">
        <v>51626.5731404241</v>
      </c>
      <c r="R2296" s="147" t="n">
        <v>0.270774446779307</v>
      </c>
      <c r="S2296" s="147" t="n">
        <v>0.0973439841524589</v>
      </c>
      <c r="T2296" s="147" t="n">
        <v>0.0481545050284237</v>
      </c>
    </row>
    <row r="2297" customFormat="false" ht="12.75" hidden="false" customHeight="true" outlineLevel="0" collapsed="false">
      <c r="P2297" s="1" t="n">
        <v>2294</v>
      </c>
      <c r="Q2297" s="147" t="n">
        <v>51648.8934023181</v>
      </c>
      <c r="R2297" s="147" t="n">
        <v>0.269735183239877</v>
      </c>
      <c r="S2297" s="147" t="n">
        <v>0.0963427190630331</v>
      </c>
      <c r="T2297" s="147" t="n">
        <v>0.0471598994560878</v>
      </c>
    </row>
    <row r="2298" customFormat="false" ht="12.75" hidden="false" customHeight="true" outlineLevel="0" collapsed="false">
      <c r="P2298" s="1" t="n">
        <v>2295</v>
      </c>
      <c r="Q2298" s="147" t="n">
        <v>51671.0263602801</v>
      </c>
      <c r="R2298" s="147" t="n">
        <v>0.268538295877556</v>
      </c>
      <c r="S2298" s="147" t="n">
        <v>0.0952329148354271</v>
      </c>
      <c r="T2298" s="147" t="n">
        <v>0.0461249346253838</v>
      </c>
    </row>
    <row r="2299" customFormat="false" ht="12.75" hidden="false" customHeight="true" outlineLevel="0" collapsed="false">
      <c r="P2299" s="1" t="n">
        <v>2296</v>
      </c>
      <c r="Q2299" s="147" t="n">
        <v>51693.3199024601</v>
      </c>
      <c r="R2299" s="147" t="n">
        <v>0.267704846281057</v>
      </c>
      <c r="S2299" s="147" t="n">
        <v>0.093805960119864</v>
      </c>
      <c r="T2299" s="147" t="n">
        <v>0.0450292655070222</v>
      </c>
    </row>
    <row r="2300" customFormat="false" ht="12.75" hidden="false" customHeight="true" outlineLevel="0" collapsed="false">
      <c r="P2300" s="1" t="n">
        <v>2297</v>
      </c>
      <c r="Q2300" s="147" t="n">
        <v>51715.2244888651</v>
      </c>
      <c r="R2300" s="147" t="n">
        <v>0.26707857382645</v>
      </c>
      <c r="S2300" s="147" t="n">
        <v>0.0923107277410648</v>
      </c>
      <c r="T2300" s="147" t="n">
        <v>0.0437013070836996</v>
      </c>
    </row>
    <row r="2301" customFormat="false" ht="12.75" hidden="false" customHeight="true" outlineLevel="0" collapsed="false">
      <c r="P2301" s="1" t="n">
        <v>2298</v>
      </c>
      <c r="Q2301" s="147" t="n">
        <v>51737.1534969921</v>
      </c>
      <c r="R2301" s="147" t="n">
        <v>0.266846907880898</v>
      </c>
      <c r="S2301" s="147" t="n">
        <v>0.0900963771562629</v>
      </c>
      <c r="T2301" s="147" t="n">
        <v>0.0421059217298327</v>
      </c>
    </row>
    <row r="2302" customFormat="false" ht="12.75" hidden="false" customHeight="true" outlineLevel="0" collapsed="false">
      <c r="P2302" s="1" t="n">
        <v>2299</v>
      </c>
      <c r="Q2302" s="147" t="n">
        <v>51759.3077061591</v>
      </c>
      <c r="R2302" s="147" t="n">
        <v>0.266984060662609</v>
      </c>
      <c r="S2302" s="147" t="n">
        <v>0.088685799118336</v>
      </c>
      <c r="T2302" s="147" t="n">
        <v>0.040443067842468</v>
      </c>
    </row>
    <row r="2303" customFormat="false" ht="12.75" hidden="false" customHeight="true" outlineLevel="0" collapsed="false">
      <c r="P2303" s="1" t="n">
        <v>2300</v>
      </c>
      <c r="Q2303" s="147" t="n">
        <v>51781.7547416661</v>
      </c>
      <c r="R2303" s="147" t="n">
        <v>0.267552601156174</v>
      </c>
      <c r="S2303" s="147" t="n">
        <v>0.089950144142138</v>
      </c>
      <c r="T2303" s="147" t="n">
        <v>0.0390989953175937</v>
      </c>
    </row>
    <row r="2304" customFormat="false" ht="12.75" hidden="false" customHeight="true" outlineLevel="0" collapsed="false">
      <c r="P2304" s="1" t="n">
        <v>2301</v>
      </c>
      <c r="Q2304" s="147" t="n">
        <v>51803.9742538221</v>
      </c>
      <c r="R2304" s="147" t="n">
        <v>0.268132677347825</v>
      </c>
      <c r="S2304" s="147" t="n">
        <v>0.0916360179157214</v>
      </c>
      <c r="T2304" s="147" t="n">
        <v>0.0375701049388724</v>
      </c>
    </row>
    <row r="2305" customFormat="false" ht="12.75" hidden="false" customHeight="true" outlineLevel="0" collapsed="false">
      <c r="P2305" s="1" t="n">
        <v>2302</v>
      </c>
      <c r="Q2305" s="147" t="n">
        <v>51826.5730758631</v>
      </c>
      <c r="R2305" s="147" t="n">
        <v>0.269233207432747</v>
      </c>
      <c r="S2305" s="147" t="n">
        <v>0.0926018355613001</v>
      </c>
      <c r="T2305" s="147" t="n">
        <v>0.0365549186824688</v>
      </c>
    </row>
    <row r="2306" customFormat="false" ht="12.75" hidden="false" customHeight="true" outlineLevel="0" collapsed="false">
      <c r="P2306" s="1" t="n">
        <v>2303</v>
      </c>
      <c r="Q2306" s="147" t="n">
        <v>51849.1678977391</v>
      </c>
      <c r="R2306" s="147" t="n">
        <v>0.270666498563791</v>
      </c>
      <c r="S2306" s="147" t="n">
        <v>0.0927407165466055</v>
      </c>
      <c r="T2306" s="147" t="n">
        <v>0.0357660932859212</v>
      </c>
    </row>
    <row r="2307" customFormat="false" ht="12.75" hidden="false" customHeight="true" outlineLevel="0" collapsed="false">
      <c r="P2307" s="1" t="n">
        <v>2304</v>
      </c>
      <c r="Q2307" s="147" t="n">
        <v>51871.4376831441</v>
      </c>
      <c r="R2307" s="147" t="n">
        <v>0.27233192572513</v>
      </c>
      <c r="S2307" s="147" t="n">
        <v>0.0922845185388204</v>
      </c>
      <c r="T2307" s="147" t="n">
        <v>0.0354740305402968</v>
      </c>
    </row>
    <row r="2308" customFormat="false" ht="12.75" hidden="false" customHeight="true" outlineLevel="0" collapsed="false">
      <c r="P2308" s="1" t="n">
        <v>2305</v>
      </c>
      <c r="Q2308" s="147" t="n">
        <v>51893.8062008151</v>
      </c>
      <c r="R2308" s="147" t="n">
        <v>0.273725684078565</v>
      </c>
      <c r="S2308" s="147" t="n">
        <v>0.0920071440862307</v>
      </c>
      <c r="T2308" s="147" t="n">
        <v>0.0354742179833423</v>
      </c>
    </row>
    <row r="2309" customFormat="false" ht="12.75" hidden="false" customHeight="true" outlineLevel="0" collapsed="false">
      <c r="P2309" s="1" t="n">
        <v>2306</v>
      </c>
      <c r="Q2309" s="147" t="n">
        <v>51916.2321201961</v>
      </c>
      <c r="R2309" s="147" t="n">
        <v>0.274678199210932</v>
      </c>
      <c r="S2309" s="147" t="n">
        <v>0.0919515733089524</v>
      </c>
      <c r="T2309" s="147" t="n">
        <v>0.0358552602203283</v>
      </c>
    </row>
    <row r="2310" customFormat="false" ht="12.75" hidden="false" customHeight="true" outlineLevel="0" collapsed="false">
      <c r="P2310" s="1" t="n">
        <v>2307</v>
      </c>
      <c r="Q2310" s="147" t="n">
        <v>51938.3803512471</v>
      </c>
      <c r="R2310" s="147" t="n">
        <v>0.275384236999815</v>
      </c>
      <c r="S2310" s="147" t="n">
        <v>0.0930055933219031</v>
      </c>
      <c r="T2310" s="147" t="n">
        <v>0.036416648149622</v>
      </c>
    </row>
    <row r="2311" customFormat="false" ht="12.75" hidden="false" customHeight="true" outlineLevel="0" collapsed="false">
      <c r="P2311" s="1" t="n">
        <v>2308</v>
      </c>
      <c r="Q2311" s="147" t="n">
        <v>51960.6017299061</v>
      </c>
      <c r="R2311" s="147" t="n">
        <v>0.275268396830204</v>
      </c>
      <c r="S2311" s="147" t="n">
        <v>0.0953714439891451</v>
      </c>
      <c r="T2311" s="147" t="n">
        <v>0.0375561329096069</v>
      </c>
    </row>
    <row r="2312" customFormat="false" ht="12.75" hidden="false" customHeight="true" outlineLevel="0" collapsed="false">
      <c r="P2312" s="1" t="n">
        <v>2309</v>
      </c>
      <c r="Q2312" s="147" t="n">
        <v>51982.9799452281</v>
      </c>
      <c r="R2312" s="147" t="n">
        <v>0.274751635910488</v>
      </c>
      <c r="S2312" s="147" t="n">
        <v>0.0979941354332076</v>
      </c>
      <c r="T2312" s="147" t="n">
        <v>0.0390659047502258</v>
      </c>
    </row>
    <row r="2313" customFormat="false" ht="12.75" hidden="false" customHeight="true" outlineLevel="0" collapsed="false">
      <c r="P2313" s="1" t="n">
        <v>2310</v>
      </c>
      <c r="Q2313" s="147" t="n">
        <v>52005.5071816951</v>
      </c>
      <c r="R2313" s="147" t="n">
        <v>0.273635707214202</v>
      </c>
      <c r="S2313" s="147" t="n">
        <v>0.100905035616941</v>
      </c>
      <c r="T2313" s="147" t="n">
        <v>0.0405119690326585</v>
      </c>
    </row>
    <row r="2314" customFormat="false" ht="12.75" hidden="false" customHeight="true" outlineLevel="0" collapsed="false">
      <c r="P2314" s="1" t="n">
        <v>2311</v>
      </c>
      <c r="Q2314" s="147" t="n">
        <v>52027.8489840331</v>
      </c>
      <c r="R2314" s="147" t="n">
        <v>0.272619455697411</v>
      </c>
      <c r="S2314" s="147" t="n">
        <v>0.102044219215139</v>
      </c>
      <c r="T2314" s="147" t="n">
        <v>0.041724212128737</v>
      </c>
    </row>
    <row r="2315" customFormat="false" ht="12.75" hidden="false" customHeight="true" outlineLevel="0" collapsed="false">
      <c r="P2315" s="1" t="n">
        <v>2312</v>
      </c>
      <c r="Q2315" s="147" t="n">
        <v>52050.0771695041</v>
      </c>
      <c r="R2315" s="147" t="n">
        <v>0.271404580201574</v>
      </c>
      <c r="S2315" s="147" t="n">
        <v>0.101984750755722</v>
      </c>
      <c r="T2315" s="147" t="n">
        <v>0.0430417886032601</v>
      </c>
    </row>
    <row r="2316" customFormat="false" ht="12.75" hidden="false" customHeight="true" outlineLevel="0" collapsed="false">
      <c r="P2316" s="1" t="n">
        <v>2313</v>
      </c>
      <c r="Q2316" s="147" t="n">
        <v>52072.2210906931</v>
      </c>
      <c r="R2316" s="147" t="n">
        <v>0.269954687773897</v>
      </c>
      <c r="S2316" s="147" t="n">
        <v>0.0997669151077556</v>
      </c>
      <c r="T2316" s="147" t="n">
        <v>0.0437323932145639</v>
      </c>
    </row>
    <row r="2317" customFormat="false" ht="12.75" hidden="false" customHeight="true" outlineLevel="0" collapsed="false">
      <c r="P2317" s="1" t="n">
        <v>2314</v>
      </c>
      <c r="Q2317" s="147" t="n">
        <v>52094.1692708241</v>
      </c>
      <c r="R2317" s="147" t="n">
        <v>0.268673635370851</v>
      </c>
      <c r="S2317" s="147" t="n">
        <v>0.0962993700284155</v>
      </c>
      <c r="T2317" s="147" t="n">
        <v>0.0439871966377646</v>
      </c>
    </row>
    <row r="2318" customFormat="false" ht="12.75" hidden="false" customHeight="true" outlineLevel="0" collapsed="false">
      <c r="P2318" s="1" t="n">
        <v>2315</v>
      </c>
      <c r="Q2318" s="147" t="n">
        <v>52116.4592755581</v>
      </c>
      <c r="R2318" s="147" t="n">
        <v>0.267485026903048</v>
      </c>
      <c r="S2318" s="147" t="n">
        <v>0.0903698200084311</v>
      </c>
      <c r="T2318" s="147" t="n">
        <v>0.0429527871874599</v>
      </c>
    </row>
    <row r="2319" customFormat="false" ht="12.75" hidden="false" customHeight="true" outlineLevel="0" collapsed="false">
      <c r="P2319" s="1" t="n">
        <v>2316</v>
      </c>
      <c r="Q2319" s="147" t="n">
        <v>52138.4860245351</v>
      </c>
      <c r="R2319" s="147" t="n">
        <v>0.266544304913894</v>
      </c>
      <c r="S2319" s="147" t="n">
        <v>0.0850474502304937</v>
      </c>
      <c r="T2319" s="147" t="n">
        <v>0.0414785135693671</v>
      </c>
    </row>
    <row r="2320" customFormat="false" ht="12.75" hidden="false" customHeight="true" outlineLevel="0" collapsed="false">
      <c r="P2320" s="1" t="n">
        <v>2317</v>
      </c>
      <c r="Q2320" s="147" t="n">
        <v>52160.7337966681</v>
      </c>
      <c r="R2320" s="147" t="n">
        <v>0.266408276763219</v>
      </c>
      <c r="S2320" s="147" t="n">
        <v>0.0803030412771351</v>
      </c>
      <c r="T2320" s="147" t="n">
        <v>0.0391553028279072</v>
      </c>
    </row>
    <row r="2321" customFormat="false" ht="12.75" hidden="false" customHeight="true" outlineLevel="0" collapsed="false">
      <c r="P2321" s="1" t="n">
        <v>2318</v>
      </c>
      <c r="Q2321" s="147" t="n">
        <v>52183.1229030661</v>
      </c>
      <c r="R2321" s="147" t="n">
        <v>0.266899489095471</v>
      </c>
      <c r="S2321" s="147" t="n">
        <v>0.0775857235294732</v>
      </c>
      <c r="T2321" s="147" t="n">
        <v>0.0365526590522239</v>
      </c>
    </row>
    <row r="2322" customFormat="false" ht="12.75" hidden="false" customHeight="true" outlineLevel="0" collapsed="false">
      <c r="P2322" s="1" t="n">
        <v>2319</v>
      </c>
      <c r="Q2322" s="147" t="n">
        <v>52206.1175907151</v>
      </c>
      <c r="R2322" s="147" t="n">
        <v>0.267840246367781</v>
      </c>
      <c r="S2322" s="147" t="n">
        <v>0.078102692839941</v>
      </c>
      <c r="T2322" s="147" t="n">
        <v>0.0339436311661155</v>
      </c>
    </row>
    <row r="2323" customFormat="false" ht="12.75" hidden="false" customHeight="true" outlineLevel="0" collapsed="false">
      <c r="P2323" s="1" t="n">
        <v>2320</v>
      </c>
      <c r="Q2323" s="147" t="n">
        <v>52228.6292323131</v>
      </c>
      <c r="R2323" s="147" t="n">
        <v>0.26853110255931</v>
      </c>
      <c r="S2323" s="147" t="n">
        <v>0.0812129342422941</v>
      </c>
      <c r="T2323" s="147" t="n">
        <v>0.0320602940826885</v>
      </c>
    </row>
    <row r="2324" customFormat="false" ht="12.75" hidden="false" customHeight="true" outlineLevel="0" collapsed="false">
      <c r="P2324" s="1" t="n">
        <v>2321</v>
      </c>
      <c r="Q2324" s="147" t="n">
        <v>52250.9313676091</v>
      </c>
      <c r="R2324" s="147" t="n">
        <v>0.269555702836468</v>
      </c>
      <c r="S2324" s="147" t="n">
        <v>0.0829012911457108</v>
      </c>
      <c r="T2324" s="147" t="n">
        <v>0.0302147487508025</v>
      </c>
    </row>
    <row r="2325" customFormat="false" ht="12.75" hidden="false" customHeight="true" outlineLevel="0" collapsed="false">
      <c r="P2325" s="1" t="n">
        <v>2322</v>
      </c>
      <c r="Q2325" s="147" t="n">
        <v>52273.3133240861</v>
      </c>
      <c r="R2325" s="147" t="n">
        <v>0.270701271668748</v>
      </c>
      <c r="S2325" s="147" t="n">
        <v>0.0843877085549045</v>
      </c>
      <c r="T2325" s="147" t="n">
        <v>0.0286821119916107</v>
      </c>
    </row>
    <row r="2326" customFormat="false" ht="12.75" hidden="false" customHeight="true" outlineLevel="0" collapsed="false">
      <c r="P2326" s="1" t="n">
        <v>2323</v>
      </c>
      <c r="Q2326" s="147" t="n">
        <v>52295.5348849541</v>
      </c>
      <c r="R2326" s="147" t="n">
        <v>0.271661814798965</v>
      </c>
      <c r="S2326" s="147" t="n">
        <v>0.0844368652468536</v>
      </c>
      <c r="T2326" s="147" t="n">
        <v>0.027153402473291</v>
      </c>
    </row>
    <row r="2327" customFormat="false" ht="12.75" hidden="false" customHeight="true" outlineLevel="0" collapsed="false">
      <c r="P2327" s="1" t="n">
        <v>2324</v>
      </c>
      <c r="Q2327" s="147" t="n">
        <v>52317.6578075861</v>
      </c>
      <c r="R2327" s="147" t="n">
        <v>0.27262420617529</v>
      </c>
      <c r="S2327" s="147" t="n">
        <v>0.082732089420506</v>
      </c>
      <c r="T2327" s="147" t="n">
        <v>0.0259898134259105</v>
      </c>
    </row>
    <row r="2328" customFormat="false" ht="12.75" hidden="false" customHeight="true" outlineLevel="0" collapsed="false">
      <c r="P2328" s="1" t="n">
        <v>2325</v>
      </c>
      <c r="Q2328" s="147" t="n">
        <v>52339.4944724121</v>
      </c>
      <c r="R2328" s="147" t="n">
        <v>0.273300023451129</v>
      </c>
      <c r="S2328" s="147" t="n">
        <v>0.0807497476312644</v>
      </c>
      <c r="T2328" s="147" t="n">
        <v>0.0251284661711829</v>
      </c>
    </row>
    <row r="2329" customFormat="false" ht="12.75" hidden="false" customHeight="true" outlineLevel="0" collapsed="false">
      <c r="P2329" s="1" t="n">
        <v>2326</v>
      </c>
      <c r="Q2329" s="147" t="n">
        <v>52361.9193029181</v>
      </c>
      <c r="R2329" s="147" t="n">
        <v>0.273621875104562</v>
      </c>
      <c r="S2329" s="147" t="n">
        <v>0.0783158319451363</v>
      </c>
      <c r="T2329" s="147" t="n">
        <v>0.0248284813997595</v>
      </c>
    </row>
    <row r="2330" customFormat="false" ht="12.75" hidden="false" customHeight="true" outlineLevel="0" collapsed="false">
      <c r="P2330" s="1" t="n">
        <v>2327</v>
      </c>
      <c r="Q2330" s="147" t="n">
        <v>52384.2413904041</v>
      </c>
      <c r="R2330" s="147" t="n">
        <v>0.273306991539912</v>
      </c>
      <c r="S2330" s="147" t="n">
        <v>0.0685000921440195</v>
      </c>
      <c r="T2330" s="147" t="n">
        <v>0.0251402848498416</v>
      </c>
    </row>
    <row r="2331" customFormat="false" ht="12.75" hidden="false" customHeight="true" outlineLevel="0" collapsed="false">
      <c r="P2331" s="1" t="n">
        <v>2328</v>
      </c>
      <c r="Q2331" s="147" t="n">
        <v>52406.0228006511</v>
      </c>
      <c r="R2331" s="147" t="n">
        <v>0.273470476538678</v>
      </c>
      <c r="S2331" s="147" t="n">
        <v>0.0682784029555062</v>
      </c>
      <c r="T2331" s="147" t="n">
        <v>0.025319940460139</v>
      </c>
    </row>
    <row r="2332" customFormat="false" ht="12.75" hidden="false" customHeight="true" outlineLevel="0" collapsed="false">
      <c r="P2332" s="1" t="n">
        <v>2329</v>
      </c>
      <c r="Q2332" s="147" t="n">
        <v>52428.8304679071</v>
      </c>
      <c r="R2332" s="147" t="n">
        <v>0.27210187135868</v>
      </c>
      <c r="S2332" s="147" t="n">
        <v>0.0689391491166513</v>
      </c>
      <c r="T2332" s="147" t="n">
        <v>0.0257902051720296</v>
      </c>
    </row>
    <row r="2333" customFormat="false" ht="12.75" hidden="false" customHeight="true" outlineLevel="0" collapsed="false">
      <c r="P2333" s="1" t="n">
        <v>2330</v>
      </c>
      <c r="Q2333" s="147" t="n">
        <v>52451.1654313921</v>
      </c>
      <c r="R2333" s="147" t="n">
        <v>0.271596046513748</v>
      </c>
      <c r="S2333" s="147" t="n">
        <v>0.0714680664810205</v>
      </c>
      <c r="T2333" s="147" t="n">
        <v>0.0277142102078307</v>
      </c>
    </row>
    <row r="2334" customFormat="false" ht="12.75" hidden="false" customHeight="true" outlineLevel="0" collapsed="false">
      <c r="P2334" s="1" t="n">
        <v>2331</v>
      </c>
      <c r="Q2334" s="147" t="n">
        <v>52473.7962240641</v>
      </c>
      <c r="R2334" s="147" t="n">
        <v>0.270414990390774</v>
      </c>
      <c r="S2334" s="147" t="n">
        <v>0.0765278324116039</v>
      </c>
      <c r="T2334" s="147" t="n">
        <v>0.0287598244475652</v>
      </c>
    </row>
    <row r="2335" customFormat="false" ht="12.75" hidden="false" customHeight="true" outlineLevel="0" collapsed="false">
      <c r="P2335" s="1" t="n">
        <v>2332</v>
      </c>
      <c r="Q2335" s="147" t="n">
        <v>52496.5640840091</v>
      </c>
      <c r="R2335" s="147" t="n">
        <v>0.269855251662828</v>
      </c>
      <c r="S2335" s="147" t="n">
        <v>0.080953979199903</v>
      </c>
      <c r="T2335" s="147" t="n">
        <v>0.0308715551178171</v>
      </c>
    </row>
    <row r="2336" customFormat="false" ht="12.75" hidden="false" customHeight="true" outlineLevel="0" collapsed="false">
      <c r="P2336" s="1" t="n">
        <v>2333</v>
      </c>
      <c r="Q2336" s="147" t="n">
        <v>52518.8444245221</v>
      </c>
      <c r="R2336" s="147" t="n">
        <v>0.269203089606246</v>
      </c>
      <c r="S2336" s="147" t="n">
        <v>0.0843246173535338</v>
      </c>
      <c r="T2336" s="147" t="n">
        <v>0.0324715626517139</v>
      </c>
    </row>
    <row r="2337" customFormat="false" ht="12.75" hidden="false" customHeight="true" outlineLevel="0" collapsed="false">
      <c r="P2337" s="1" t="n">
        <v>2334</v>
      </c>
      <c r="Q2337" s="147" t="n">
        <v>52541.1474371451</v>
      </c>
      <c r="R2337" s="147" t="n">
        <v>0.269191113328855</v>
      </c>
      <c r="S2337" s="147" t="n">
        <v>0.0852614884768021</v>
      </c>
      <c r="T2337" s="147" t="n">
        <v>0.0329895146065841</v>
      </c>
    </row>
    <row r="2338" customFormat="false" ht="12.75" hidden="false" customHeight="true" outlineLevel="0" collapsed="false">
      <c r="P2338" s="1" t="n">
        <v>2335</v>
      </c>
      <c r="Q2338" s="147" t="n">
        <v>52563.2965174021</v>
      </c>
      <c r="R2338" s="147" t="n">
        <v>0.269427773243611</v>
      </c>
      <c r="S2338" s="147" t="n">
        <v>0.0858861474822421</v>
      </c>
      <c r="T2338" s="147" t="n">
        <v>0.0337765974407664</v>
      </c>
    </row>
    <row r="2339" customFormat="false" ht="12.75" hidden="false" customHeight="true" outlineLevel="0" collapsed="false">
      <c r="P2339" s="1" t="n">
        <v>2336</v>
      </c>
      <c r="Q2339" s="147" t="n">
        <v>52585.3797433891</v>
      </c>
      <c r="R2339" s="147" t="n">
        <v>0.269933372652733</v>
      </c>
      <c r="S2339" s="147" t="n">
        <v>0.0858201600571306</v>
      </c>
      <c r="T2339" s="147" t="n">
        <v>0.0338523506250283</v>
      </c>
    </row>
    <row r="2340" customFormat="false" ht="12.75" hidden="false" customHeight="true" outlineLevel="0" collapsed="false">
      <c r="P2340" s="1" t="n">
        <v>2337</v>
      </c>
      <c r="Q2340" s="147" t="n">
        <v>52607.4471393421</v>
      </c>
      <c r="R2340" s="147" t="n">
        <v>0.270888713357954</v>
      </c>
      <c r="S2340" s="147" t="n">
        <v>0.0846371320050991</v>
      </c>
      <c r="T2340" s="147" t="n">
        <v>0.032854869373597</v>
      </c>
    </row>
    <row r="2341" customFormat="false" ht="12.75" hidden="false" customHeight="true" outlineLevel="0" collapsed="false">
      <c r="P2341" s="1" t="n">
        <v>2338</v>
      </c>
      <c r="Q2341" s="147" t="n">
        <v>52629.6905690591</v>
      </c>
      <c r="R2341" s="147" t="n">
        <v>0.272146169624267</v>
      </c>
      <c r="S2341" s="147" t="n">
        <v>0.0826217107554378</v>
      </c>
      <c r="T2341" s="147" t="n">
        <v>0.0317116240453662</v>
      </c>
    </row>
    <row r="2342" customFormat="false" ht="12.75" hidden="false" customHeight="true" outlineLevel="0" collapsed="false">
      <c r="P2342" s="1" t="n">
        <v>2339</v>
      </c>
      <c r="Q2342" s="147" t="n">
        <v>52652.0089346671</v>
      </c>
      <c r="R2342" s="147" t="n">
        <v>0.273472901614909</v>
      </c>
      <c r="S2342" s="147" t="n">
        <v>0.080106670567383</v>
      </c>
      <c r="T2342" s="147" t="n">
        <v>0.030571466164874</v>
      </c>
    </row>
    <row r="2343" customFormat="false" ht="12.75" hidden="false" customHeight="true" outlineLevel="0" collapsed="false">
      <c r="P2343" s="1" t="n">
        <v>2340</v>
      </c>
      <c r="Q2343" s="147" t="n">
        <v>52674.6801081631</v>
      </c>
      <c r="R2343" s="147" t="n">
        <v>0.274763575895829</v>
      </c>
      <c r="S2343" s="147" t="n">
        <v>0.0774095312562913</v>
      </c>
      <c r="T2343" s="147" t="n">
        <v>0.029347887991597</v>
      </c>
    </row>
    <row r="2344" customFormat="false" ht="12.75" hidden="false" customHeight="true" outlineLevel="0" collapsed="false">
      <c r="P2344" s="1" t="n">
        <v>2341</v>
      </c>
      <c r="Q2344" s="147" t="n">
        <v>52696.9829597931</v>
      </c>
      <c r="R2344" s="147" t="n">
        <v>0.275712624681561</v>
      </c>
      <c r="S2344" s="147" t="n">
        <v>0.0751085129279733</v>
      </c>
      <c r="T2344" s="147" t="n">
        <v>0.0281768745522117</v>
      </c>
    </row>
    <row r="2345" customFormat="false" ht="12.75" hidden="false" customHeight="true" outlineLevel="0" collapsed="false">
      <c r="P2345" s="1" t="n">
        <v>2342</v>
      </c>
      <c r="Q2345" s="147" t="n">
        <v>52719.2548624071</v>
      </c>
      <c r="R2345" s="147" t="n">
        <v>0.27615630256409</v>
      </c>
      <c r="S2345" s="147" t="n">
        <v>0.0739060800964611</v>
      </c>
      <c r="T2345" s="147" t="n">
        <v>0.0268995792256486</v>
      </c>
    </row>
    <row r="2346" customFormat="false" ht="12.75" hidden="false" customHeight="true" outlineLevel="0" collapsed="false">
      <c r="P2346" s="1" t="n">
        <v>2343</v>
      </c>
      <c r="Q2346" s="147" t="n">
        <v>52741.7008673241</v>
      </c>
      <c r="R2346" s="147" t="n">
        <v>0.276065973964024</v>
      </c>
      <c r="S2346" s="147" t="n">
        <v>0.073874868520842</v>
      </c>
      <c r="T2346" s="147" t="n">
        <v>0.0257287682839576</v>
      </c>
    </row>
    <row r="2347" customFormat="false" ht="12.75" hidden="false" customHeight="true" outlineLevel="0" collapsed="false">
      <c r="P2347" s="1" t="n">
        <v>2344</v>
      </c>
      <c r="Q2347" s="147" t="n">
        <v>52763.8265891131</v>
      </c>
      <c r="R2347" s="147" t="n">
        <v>0.275820316163763</v>
      </c>
      <c r="S2347" s="147" t="n">
        <v>0.0749327188345396</v>
      </c>
      <c r="T2347" s="147" t="n">
        <v>0.0242015884278712</v>
      </c>
    </row>
    <row r="2348" customFormat="false" ht="12.75" hidden="false" customHeight="true" outlineLevel="0" collapsed="false">
      <c r="P2348" s="1" t="n">
        <v>2345</v>
      </c>
      <c r="Q2348" s="147" t="n">
        <v>52786.3685194661</v>
      </c>
      <c r="R2348" s="147" t="n">
        <v>0.274875489680952</v>
      </c>
      <c r="S2348" s="147" t="n">
        <v>0.0767596302651389</v>
      </c>
      <c r="T2348" s="147" t="n">
        <v>0.0240534487882784</v>
      </c>
    </row>
    <row r="2349" customFormat="false" ht="12.75" hidden="false" customHeight="true" outlineLevel="0" collapsed="false">
      <c r="P2349" s="1" t="n">
        <v>2346</v>
      </c>
      <c r="Q2349" s="147" t="n">
        <v>52808.4616893961</v>
      </c>
      <c r="R2349" s="147" t="n">
        <v>0.274410837047079</v>
      </c>
      <c r="S2349" s="147" t="n">
        <v>0.0787621597420473</v>
      </c>
      <c r="T2349" s="147" t="n">
        <v>0.0226657607371045</v>
      </c>
    </row>
    <row r="2350" customFormat="false" ht="12.75" hidden="false" customHeight="true" outlineLevel="0" collapsed="false">
      <c r="P2350" s="1" t="n">
        <v>2347</v>
      </c>
      <c r="Q2350" s="147" t="n">
        <v>52831.2168837251</v>
      </c>
      <c r="R2350" s="147" t="n">
        <v>0.272910417311341</v>
      </c>
      <c r="S2350" s="147" t="n">
        <v>0.0821528170573038</v>
      </c>
      <c r="T2350" s="147" t="n">
        <v>0.0228952863372902</v>
      </c>
    </row>
    <row r="2351" customFormat="false" ht="12.75" hidden="false" customHeight="true" outlineLevel="0" collapsed="false">
      <c r="P2351" s="1" t="n">
        <v>2348</v>
      </c>
      <c r="Q2351" s="147" t="n">
        <v>52853.3576184041</v>
      </c>
      <c r="R2351" s="147" t="n">
        <v>0.271982487050329</v>
      </c>
      <c r="S2351" s="147" t="n">
        <v>0.0843267842409883</v>
      </c>
      <c r="T2351" s="147" t="n">
        <v>0.0227801914244046</v>
      </c>
    </row>
    <row r="2352" customFormat="false" ht="12.75" hidden="false" customHeight="true" outlineLevel="0" collapsed="false">
      <c r="P2352" s="1" t="n">
        <v>2349</v>
      </c>
      <c r="Q2352" s="147" t="n">
        <v>52875.9339711901</v>
      </c>
      <c r="R2352" s="147" t="n">
        <v>0.270119223993927</v>
      </c>
      <c r="S2352" s="147" t="n">
        <v>0.0894691616684555</v>
      </c>
      <c r="T2352" s="147" t="n">
        <v>0.024004092862344</v>
      </c>
    </row>
    <row r="2353" customFormat="false" ht="12.75" hidden="false" customHeight="true" outlineLevel="0" collapsed="false">
      <c r="P2353" s="1" t="n">
        <v>2350</v>
      </c>
      <c r="Q2353" s="147" t="n">
        <v>52898.2662027821</v>
      </c>
      <c r="R2353" s="147" t="n">
        <v>0.268718047632788</v>
      </c>
      <c r="S2353" s="147" t="n">
        <v>0.0946095082831788</v>
      </c>
      <c r="T2353" s="147" t="n">
        <v>0.0251079054441701</v>
      </c>
    </row>
    <row r="2354" customFormat="false" ht="12.75" hidden="false" customHeight="true" outlineLevel="0" collapsed="false">
      <c r="P2354" s="1" t="n">
        <v>2351</v>
      </c>
      <c r="Q2354" s="147" t="n">
        <v>52920.0454856981</v>
      </c>
      <c r="R2354" s="147" t="n">
        <v>0.267163311375815</v>
      </c>
      <c r="S2354" s="147" t="n">
        <v>0.0958973428319539</v>
      </c>
      <c r="T2354" s="147" t="n">
        <v>0.0265141465473689</v>
      </c>
    </row>
    <row r="2355" customFormat="false" ht="12.75" hidden="false" customHeight="true" outlineLevel="0" collapsed="false">
      <c r="P2355" s="1" t="n">
        <v>2352</v>
      </c>
      <c r="Q2355" s="147" t="n">
        <v>52942.7375109501</v>
      </c>
      <c r="R2355" s="147" t="n">
        <v>0.265260820494091</v>
      </c>
      <c r="S2355" s="147" t="n">
        <v>0.105429268375844</v>
      </c>
      <c r="T2355" s="147" t="n">
        <v>0.0285352440134567</v>
      </c>
    </row>
    <row r="2356" customFormat="false" ht="12.75" hidden="false" customHeight="true" outlineLevel="0" collapsed="false">
      <c r="P2356" s="1" t="n">
        <v>2353</v>
      </c>
      <c r="Q2356" s="147" t="n">
        <v>52964.4689041271</v>
      </c>
      <c r="R2356" s="147" t="n">
        <v>0.264120194360717</v>
      </c>
      <c r="S2356" s="147" t="n">
        <v>0.104401875133222</v>
      </c>
      <c r="T2356" s="147" t="n">
        <v>0.0296878981904659</v>
      </c>
    </row>
    <row r="2357" customFormat="false" ht="12.75" hidden="false" customHeight="true" outlineLevel="0" collapsed="false">
      <c r="P2357" s="1" t="n">
        <v>2354</v>
      </c>
      <c r="Q2357" s="147" t="n">
        <v>52986.4193667881</v>
      </c>
      <c r="R2357" s="147" t="n">
        <v>0.263649043780246</v>
      </c>
      <c r="S2357" s="147" t="n">
        <v>0.102129860176667</v>
      </c>
      <c r="T2357" s="147" t="n">
        <v>0.0309036246294305</v>
      </c>
    </row>
    <row r="2358" customFormat="false" ht="12.75" hidden="false" customHeight="true" outlineLevel="0" collapsed="false">
      <c r="P2358" s="1" t="n">
        <v>2355</v>
      </c>
      <c r="Q2358" s="147" t="n">
        <v>53008.8214399411</v>
      </c>
      <c r="R2358" s="147" t="n">
        <v>0.264162924119801</v>
      </c>
      <c r="S2358" s="147" t="n">
        <v>0.0996584415019619</v>
      </c>
      <c r="T2358" s="147" t="n">
        <v>0.0320703620007164</v>
      </c>
    </row>
    <row r="2359" customFormat="false" ht="12.75" hidden="false" customHeight="true" outlineLevel="0" collapsed="false">
      <c r="P2359" s="1" t="n">
        <v>2356</v>
      </c>
      <c r="Q2359" s="147" t="n">
        <v>53031.0047840391</v>
      </c>
      <c r="R2359" s="147" t="n">
        <v>0.264614725975767</v>
      </c>
      <c r="S2359" s="147" t="n">
        <v>0.097414146312126</v>
      </c>
      <c r="T2359" s="147" t="n">
        <v>0.0329912147368943</v>
      </c>
    </row>
    <row r="2360" customFormat="false" ht="12.75" hidden="false" customHeight="true" outlineLevel="0" collapsed="false">
      <c r="P2360" s="1" t="n">
        <v>2357</v>
      </c>
      <c r="Q2360" s="147" t="n">
        <v>53053.4831302971</v>
      </c>
      <c r="R2360" s="147" t="n">
        <v>0.267026251437044</v>
      </c>
      <c r="S2360" s="147" t="n">
        <v>0.0925040405504485</v>
      </c>
      <c r="T2360" s="147" t="n">
        <v>0.0328729830788631</v>
      </c>
    </row>
    <row r="2361" customFormat="false" ht="12.75" hidden="false" customHeight="true" outlineLevel="0" collapsed="false">
      <c r="P2361" s="1" t="n">
        <v>2358</v>
      </c>
      <c r="Q2361" s="147" t="n">
        <v>53075.8547643911</v>
      </c>
      <c r="R2361" s="147" t="n">
        <v>0.268994108893942</v>
      </c>
      <c r="S2361" s="147" t="n">
        <v>0.0865448407431233</v>
      </c>
      <c r="T2361" s="147" t="n">
        <v>0.0322069062787676</v>
      </c>
    </row>
    <row r="2362" customFormat="false" ht="12.75" hidden="false" customHeight="true" outlineLevel="0" collapsed="false">
      <c r="P2362" s="1" t="n">
        <v>2359</v>
      </c>
      <c r="Q2362" s="147" t="n">
        <v>53097.5312351281</v>
      </c>
      <c r="R2362" s="147" t="n">
        <v>0.271252934937343</v>
      </c>
      <c r="S2362" s="147" t="n">
        <v>0.0831469121466861</v>
      </c>
      <c r="T2362" s="147" t="n">
        <v>0.0309925307339453</v>
      </c>
    </row>
    <row r="2363" customFormat="false" ht="12.75" hidden="false" customHeight="true" outlineLevel="0" collapsed="false">
      <c r="P2363" s="1" t="n">
        <v>2360</v>
      </c>
      <c r="Q2363" s="147" t="n">
        <v>53119.9123574851</v>
      </c>
      <c r="R2363" s="147" t="n">
        <v>0.273365625612796</v>
      </c>
      <c r="S2363" s="147" t="n">
        <v>0.0778649483119827</v>
      </c>
      <c r="T2363" s="147" t="n">
        <v>0.0281001419621409</v>
      </c>
    </row>
    <row r="2364" customFormat="false" ht="12.75" hidden="false" customHeight="true" outlineLevel="0" collapsed="false">
      <c r="P2364" s="1" t="n">
        <v>2361</v>
      </c>
      <c r="Q2364" s="147" t="n">
        <v>53141.7541998801</v>
      </c>
      <c r="R2364" s="147" t="n">
        <v>0.275129494515421</v>
      </c>
      <c r="S2364" s="147" t="n">
        <v>0.0775817060198563</v>
      </c>
      <c r="T2364" s="147" t="n">
        <v>0.0255268297842723</v>
      </c>
    </row>
    <row r="2365" customFormat="false" ht="12.75" hidden="false" customHeight="true" outlineLevel="0" collapsed="false">
      <c r="P2365" s="1" t="n">
        <v>2362</v>
      </c>
      <c r="Q2365" s="147" t="n">
        <v>53163.3713106251</v>
      </c>
      <c r="R2365" s="147" t="n">
        <v>0.276359034014086</v>
      </c>
      <c r="S2365" s="147" t="n">
        <v>0.0799023760719965</v>
      </c>
      <c r="T2365" s="147" t="n">
        <v>0.0225559932162731</v>
      </c>
    </row>
    <row r="2366" customFormat="false" ht="12.75" hidden="false" customHeight="true" outlineLevel="0" collapsed="false">
      <c r="P2366" s="1" t="n">
        <v>2363</v>
      </c>
      <c r="Q2366" s="147" t="n">
        <v>53185.9117427441</v>
      </c>
      <c r="R2366" s="147" t="n">
        <v>0.276150887833009</v>
      </c>
      <c r="S2366" s="147" t="n">
        <v>0.0838189652336252</v>
      </c>
      <c r="T2366" s="147" t="n">
        <v>0.0201725299404744</v>
      </c>
    </row>
    <row r="2367" customFormat="false" ht="12.75" hidden="false" customHeight="true" outlineLevel="0" collapsed="false">
      <c r="P2367" s="1" t="n">
        <v>2364</v>
      </c>
      <c r="Q2367" s="147" t="n">
        <v>53208.3746547031</v>
      </c>
      <c r="R2367" s="147" t="n">
        <v>0.276229452668593</v>
      </c>
      <c r="S2367" s="147" t="n">
        <v>0.0881295455262416</v>
      </c>
      <c r="T2367" s="147" t="n">
        <v>0.0174559382655009</v>
      </c>
    </row>
    <row r="2368" customFormat="false" ht="12.75" hidden="false" customHeight="true" outlineLevel="0" collapsed="false">
      <c r="P2368" s="1" t="n">
        <v>2365</v>
      </c>
      <c r="Q2368" s="147" t="n">
        <v>53230.7034108901</v>
      </c>
      <c r="R2368" s="147" t="n">
        <v>0.275293080519499</v>
      </c>
      <c r="S2368" s="147" t="n">
        <v>0.0925343989491039</v>
      </c>
      <c r="T2368" s="147" t="n">
        <v>0.015285204623778</v>
      </c>
    </row>
    <row r="2369" customFormat="false" ht="12.75" hidden="false" customHeight="true" outlineLevel="0" collapsed="false">
      <c r="P2369" s="1" t="n">
        <v>2366</v>
      </c>
      <c r="Q2369" s="147" t="n">
        <v>53253.0541549081</v>
      </c>
      <c r="R2369" s="147" t="n">
        <v>0.27395385961916</v>
      </c>
      <c r="S2369" s="147" t="n">
        <v>0.0952130244511918</v>
      </c>
      <c r="T2369" s="147" t="n">
        <v>0.0144315869694605</v>
      </c>
    </row>
    <row r="2370" customFormat="false" ht="12.75" hidden="false" customHeight="true" outlineLevel="0" collapsed="false">
      <c r="P2370" s="1" t="n">
        <v>2367</v>
      </c>
      <c r="Q2370" s="147" t="n">
        <v>53275.4153059351</v>
      </c>
      <c r="R2370" s="147" t="n">
        <v>0.272477279624172</v>
      </c>
      <c r="S2370" s="147" t="n">
        <v>0.0967603217204298</v>
      </c>
      <c r="T2370" s="147" t="n">
        <v>0.0141692098417622</v>
      </c>
    </row>
    <row r="2371" customFormat="false" ht="12.75" hidden="false" customHeight="true" outlineLevel="0" collapsed="false">
      <c r="P2371" s="1" t="n">
        <v>2368</v>
      </c>
      <c r="Q2371" s="147" t="n">
        <v>53297.8066831111</v>
      </c>
      <c r="R2371" s="147" t="n">
        <v>0.270911559184307</v>
      </c>
      <c r="S2371" s="147" t="n">
        <v>0.0983931848322334</v>
      </c>
      <c r="T2371" s="147" t="n">
        <v>0.014722988632846</v>
      </c>
    </row>
    <row r="2372" customFormat="false" ht="12.75" hidden="false" customHeight="true" outlineLevel="0" collapsed="false">
      <c r="P2372" s="1" t="n">
        <v>2369</v>
      </c>
      <c r="Q2372" s="147" t="n">
        <v>53320.2946900091</v>
      </c>
      <c r="R2372" s="147" t="n">
        <v>0.26942898591195</v>
      </c>
      <c r="S2372" s="147" t="n">
        <v>0.100433114005989</v>
      </c>
      <c r="T2372" s="147" t="n">
        <v>0.0157676999435396</v>
      </c>
    </row>
    <row r="2373" customFormat="false" ht="12.75" hidden="false" customHeight="true" outlineLevel="0" collapsed="false">
      <c r="P2373" s="1" t="n">
        <v>2370</v>
      </c>
      <c r="Q2373" s="147" t="n">
        <v>53342.8083762251</v>
      </c>
      <c r="R2373" s="147" t="n">
        <v>0.268388070442173</v>
      </c>
      <c r="S2373" s="147" t="n">
        <v>0.102757203173289</v>
      </c>
      <c r="T2373" s="147" t="n">
        <v>0.0170738703751779</v>
      </c>
    </row>
    <row r="2374" customFormat="false" ht="12.75" hidden="false" customHeight="true" outlineLevel="0" collapsed="false">
      <c r="P2374" s="1" t="n">
        <v>2371</v>
      </c>
      <c r="Q2374" s="147" t="n">
        <v>53365.0089987651</v>
      </c>
      <c r="R2374" s="147" t="n">
        <v>0.267872307335169</v>
      </c>
      <c r="S2374" s="147" t="n">
        <v>0.103674413986613</v>
      </c>
      <c r="T2374" s="147" t="n">
        <v>0.0185607182749014</v>
      </c>
    </row>
    <row r="2375" customFormat="false" ht="12.75" hidden="false" customHeight="true" outlineLevel="0" collapsed="false">
      <c r="P2375" s="1" t="n">
        <v>2372</v>
      </c>
      <c r="Q2375" s="147" t="n">
        <v>53387.4627099611</v>
      </c>
      <c r="R2375" s="147" t="n">
        <v>0.267705507016508</v>
      </c>
      <c r="S2375" s="147" t="n">
        <v>0.105515224012112</v>
      </c>
      <c r="T2375" s="147" t="n">
        <v>0.018595023601072</v>
      </c>
    </row>
    <row r="2376" customFormat="false" ht="12.75" hidden="false" customHeight="true" outlineLevel="0" collapsed="false">
      <c r="P2376" s="1" t="n">
        <v>2373</v>
      </c>
      <c r="Q2376" s="147" t="n">
        <v>53409.4585944691</v>
      </c>
      <c r="R2376" s="147" t="n">
        <v>0.267726869308096</v>
      </c>
      <c r="S2376" s="147" t="n">
        <v>0.105827195983445</v>
      </c>
      <c r="T2376" s="147" t="n">
        <v>0.0199211673955567</v>
      </c>
    </row>
    <row r="2377" customFormat="false" ht="12.75" hidden="false" customHeight="true" outlineLevel="0" collapsed="false">
      <c r="P2377" s="1" t="n">
        <v>2374</v>
      </c>
      <c r="Q2377" s="147" t="n">
        <v>53431.7522080961</v>
      </c>
      <c r="R2377" s="147" t="n">
        <v>0.268449174283093</v>
      </c>
      <c r="S2377" s="147" t="n">
        <v>0.10589000172576</v>
      </c>
      <c r="T2377" s="147" t="n">
        <v>0.0181787459362955</v>
      </c>
    </row>
    <row r="2378" customFormat="false" ht="12.75" hidden="false" customHeight="true" outlineLevel="0" collapsed="false">
      <c r="P2378" s="1" t="n">
        <v>2375</v>
      </c>
      <c r="Q2378" s="147" t="n">
        <v>53454.0743899191</v>
      </c>
      <c r="R2378" s="147" t="n">
        <v>0.268894613756679</v>
      </c>
      <c r="S2378" s="147" t="n">
        <v>0.104617089558721</v>
      </c>
      <c r="T2378" s="147" t="n">
        <v>0.0183227878255108</v>
      </c>
    </row>
    <row r="2379" customFormat="false" ht="12.75" hidden="false" customHeight="true" outlineLevel="0" collapsed="false">
      <c r="P2379" s="1" t="n">
        <v>2376</v>
      </c>
      <c r="Q2379" s="147" t="n">
        <v>53476.7666535211</v>
      </c>
      <c r="R2379" s="147" t="n">
        <v>0.270254628115888</v>
      </c>
      <c r="S2379" s="147" t="n">
        <v>0.100886159517587</v>
      </c>
      <c r="T2379" s="147" t="n">
        <v>0.0170625649053586</v>
      </c>
    </row>
    <row r="2380" customFormat="false" ht="12.75" hidden="false" customHeight="true" outlineLevel="0" collapsed="false">
      <c r="P2380" s="1" t="n">
        <v>2377</v>
      </c>
      <c r="Q2380" s="147" t="n">
        <v>53499.5558882341</v>
      </c>
      <c r="R2380" s="147" t="n">
        <v>0.271464814717451</v>
      </c>
      <c r="S2380" s="147" t="n">
        <v>0.0973485326899846</v>
      </c>
      <c r="T2380" s="147" t="n">
        <v>0.0156265336358753</v>
      </c>
    </row>
    <row r="2381" customFormat="false" ht="12.75" hidden="false" customHeight="true" outlineLevel="0" collapsed="false">
      <c r="P2381" s="1" t="n">
        <v>2378</v>
      </c>
      <c r="Q2381" s="147" t="n">
        <v>53521.6011519051</v>
      </c>
      <c r="R2381" s="147" t="n">
        <v>0.272624348021878</v>
      </c>
      <c r="S2381" s="147" t="n">
        <v>0.096005520012541</v>
      </c>
      <c r="T2381" s="147" t="n">
        <v>0.0146211664656268</v>
      </c>
    </row>
    <row r="2382" customFormat="false" ht="12.75" hidden="false" customHeight="true" outlineLevel="0" collapsed="false">
      <c r="P2382" s="1" t="n">
        <v>2379</v>
      </c>
      <c r="Q2382" s="147" t="n">
        <v>53543.8027516411</v>
      </c>
      <c r="R2382" s="147" t="n">
        <v>0.27311521327466</v>
      </c>
      <c r="S2382" s="147" t="n">
        <v>0.0957594344336746</v>
      </c>
      <c r="T2382" s="147" t="n">
        <v>0.0121332019774405</v>
      </c>
    </row>
    <row r="2383" customFormat="false" ht="12.75" hidden="false" customHeight="true" outlineLevel="0" collapsed="false">
      <c r="P2383" s="1" t="n">
        <v>2380</v>
      </c>
      <c r="Q2383" s="147" t="n">
        <v>53565.7220856971</v>
      </c>
      <c r="R2383" s="147" t="n">
        <v>0.273103268401527</v>
      </c>
      <c r="S2383" s="147" t="n">
        <v>0.096780178828126</v>
      </c>
      <c r="T2383" s="147" t="n">
        <v>0.0103412522077395</v>
      </c>
    </row>
    <row r="2384" customFormat="false" ht="12.75" hidden="false" customHeight="true" outlineLevel="0" collapsed="false">
      <c r="P2384" s="1" t="n">
        <v>2381</v>
      </c>
      <c r="Q2384" s="147" t="n">
        <v>53588.2002163251</v>
      </c>
      <c r="R2384" s="147" t="n">
        <v>0.272815537419477</v>
      </c>
      <c r="S2384" s="147" t="n">
        <v>0.0993030149266324</v>
      </c>
      <c r="T2384" s="147" t="n">
        <v>0.00924033166397017</v>
      </c>
    </row>
    <row r="2385" customFormat="false" ht="12.75" hidden="false" customHeight="true" outlineLevel="0" collapsed="false">
      <c r="P2385" s="1" t="n">
        <v>2382</v>
      </c>
      <c r="Q2385" s="147" t="n">
        <v>53610.9166328441</v>
      </c>
      <c r="R2385" s="147" t="n">
        <v>0.272436196810452</v>
      </c>
      <c r="S2385" s="147" t="n">
        <v>0.0999067927923237</v>
      </c>
      <c r="T2385" s="147" t="n">
        <v>0.00894349585523295</v>
      </c>
    </row>
    <row r="2386" customFormat="false" ht="12.75" hidden="false" customHeight="true" outlineLevel="0" collapsed="false">
      <c r="P2386" s="1" t="n">
        <v>2383</v>
      </c>
      <c r="Q2386" s="147" t="n">
        <v>53633.4523749501</v>
      </c>
      <c r="R2386" s="147" t="n">
        <v>0.272163799594877</v>
      </c>
      <c r="S2386" s="147" t="n">
        <v>0.100147843889963</v>
      </c>
      <c r="T2386" s="147" t="n">
        <v>0.00911599770310666</v>
      </c>
    </row>
    <row r="2387" customFormat="false" ht="12.75" hidden="false" customHeight="true" outlineLevel="0" collapsed="false">
      <c r="P2387" s="1" t="n">
        <v>2384</v>
      </c>
      <c r="Q2387" s="147" t="n">
        <v>53656.2025567871</v>
      </c>
      <c r="R2387" s="147" t="n">
        <v>0.272109557889379</v>
      </c>
      <c r="S2387" s="147" t="n">
        <v>0.0988757580900532</v>
      </c>
      <c r="T2387" s="147" t="n">
        <v>0.00947283843344053</v>
      </c>
    </row>
    <row r="2388" customFormat="false" ht="12.75" hidden="false" customHeight="true" outlineLevel="0" collapsed="false">
      <c r="P2388" s="1" t="n">
        <v>2385</v>
      </c>
      <c r="Q2388" s="147" t="n">
        <v>53678.8792700681</v>
      </c>
      <c r="R2388" s="147" t="n">
        <v>0.272397798891024</v>
      </c>
      <c r="S2388" s="147" t="n">
        <v>0.0959160705860902</v>
      </c>
      <c r="T2388" s="147" t="n">
        <v>0.0099739096363311</v>
      </c>
    </row>
    <row r="2389" customFormat="false" ht="12.75" hidden="false" customHeight="true" outlineLevel="0" collapsed="false">
      <c r="P2389" s="1" t="n">
        <v>2386</v>
      </c>
      <c r="Q2389" s="147" t="n">
        <v>53701.3364798491</v>
      </c>
      <c r="R2389" s="147" t="n">
        <v>0.272912062677154</v>
      </c>
      <c r="S2389" s="147" t="n">
        <v>0.0912195661764525</v>
      </c>
      <c r="T2389" s="147" t="n">
        <v>0.0108098741706176</v>
      </c>
    </row>
    <row r="2390" customFormat="false" ht="12.75" hidden="false" customHeight="true" outlineLevel="0" collapsed="false">
      <c r="P2390" s="1" t="n">
        <v>2387</v>
      </c>
      <c r="Q2390" s="147" t="n">
        <v>53723.6752192841</v>
      </c>
      <c r="R2390" s="147" t="n">
        <v>0.273672994235818</v>
      </c>
      <c r="S2390" s="147" t="n">
        <v>0.085129934439565</v>
      </c>
      <c r="T2390" s="147" t="n">
        <v>0.0122076642801745</v>
      </c>
    </row>
    <row r="2391" customFormat="false" ht="12.75" hidden="false" customHeight="true" outlineLevel="0" collapsed="false">
      <c r="P2391" s="1" t="n">
        <v>2388</v>
      </c>
      <c r="Q2391" s="147" t="n">
        <v>53746.0571748351</v>
      </c>
      <c r="R2391" s="147" t="n">
        <v>0.274449120573502</v>
      </c>
      <c r="S2391" s="147" t="n">
        <v>0.0790774042890338</v>
      </c>
      <c r="T2391" s="147" t="n">
        <v>0.0136628034822292</v>
      </c>
    </row>
    <row r="2392" customFormat="false" ht="12.75" hidden="false" customHeight="true" outlineLevel="0" collapsed="false">
      <c r="P2392" s="1" t="n">
        <v>2389</v>
      </c>
      <c r="Q2392" s="147" t="n">
        <v>53768.4933783211</v>
      </c>
      <c r="R2392" s="147" t="n">
        <v>0.275339677839952</v>
      </c>
      <c r="S2392" s="147" t="n">
        <v>0.0719439709638258</v>
      </c>
      <c r="T2392" s="147" t="n">
        <v>0.0152270032713631</v>
      </c>
    </row>
    <row r="2393" customFormat="false" ht="12.75" hidden="false" customHeight="true" outlineLevel="0" collapsed="false">
      <c r="P2393" s="1" t="n">
        <v>2390</v>
      </c>
      <c r="Q2393" s="147" t="n">
        <v>53790.8962871491</v>
      </c>
      <c r="R2393" s="147" t="n">
        <v>0.276008553670631</v>
      </c>
      <c r="S2393" s="147" t="n">
        <v>0.067669337477234</v>
      </c>
      <c r="T2393" s="147" t="n">
        <v>0.0162068301229922</v>
      </c>
    </row>
    <row r="2394" customFormat="false" ht="12.75" hidden="false" customHeight="true" outlineLevel="0" collapsed="false">
      <c r="P2394" s="1" t="n">
        <v>2391</v>
      </c>
      <c r="Q2394" s="147" t="n">
        <v>53813.5416158261</v>
      </c>
      <c r="R2394" s="147" t="n">
        <v>0.276386223901781</v>
      </c>
      <c r="S2394" s="147" t="n">
        <v>0.0658797340325678</v>
      </c>
      <c r="T2394" s="147" t="n">
        <v>0.0164839294529827</v>
      </c>
    </row>
    <row r="2395" customFormat="false" ht="12.75" hidden="false" customHeight="true" outlineLevel="0" collapsed="false">
      <c r="P2395" s="1" t="n">
        <v>2392</v>
      </c>
      <c r="Q2395" s="147" t="n">
        <v>53836.1835865971</v>
      </c>
      <c r="R2395" s="147" t="n">
        <v>0.276661347627822</v>
      </c>
      <c r="S2395" s="147" t="n">
        <v>0.0672168658827113</v>
      </c>
      <c r="T2395" s="147" t="n">
        <v>0.0166987659919108</v>
      </c>
    </row>
    <row r="2396" customFormat="false" ht="12.75" hidden="false" customHeight="true" outlineLevel="0" collapsed="false">
      <c r="P2396" s="1" t="n">
        <v>2393</v>
      </c>
      <c r="Q2396" s="147" t="n">
        <v>53859.0054712661</v>
      </c>
      <c r="R2396" s="147" t="n">
        <v>0.277060276982315</v>
      </c>
      <c r="S2396" s="147" t="n">
        <v>0.0706881384879386</v>
      </c>
      <c r="T2396" s="147" t="n">
        <v>0.0165326517620133</v>
      </c>
    </row>
    <row r="2397" customFormat="false" ht="12.75" hidden="false" customHeight="true" outlineLevel="0" collapsed="false">
      <c r="P2397" s="1" t="n">
        <v>2394</v>
      </c>
      <c r="Q2397" s="147" t="n">
        <v>53881.6558913431</v>
      </c>
      <c r="R2397" s="147" t="n">
        <v>0.277648596622428</v>
      </c>
      <c r="S2397" s="147" t="n">
        <v>0.0739768438172389</v>
      </c>
      <c r="T2397" s="147" t="n">
        <v>0.0165840180947583</v>
      </c>
    </row>
    <row r="2398" customFormat="false" ht="12.75" hidden="false" customHeight="true" outlineLevel="0" collapsed="false">
      <c r="P2398" s="1" t="n">
        <v>2395</v>
      </c>
      <c r="Q2398" s="147" t="n">
        <v>53904.3356917821</v>
      </c>
      <c r="R2398" s="147" t="n">
        <v>0.278238331822901</v>
      </c>
      <c r="S2398" s="147" t="n">
        <v>0.0767841633148363</v>
      </c>
      <c r="T2398" s="147" t="n">
        <v>0.0162200199166354</v>
      </c>
    </row>
    <row r="2399" customFormat="false" ht="12.75" hidden="false" customHeight="true" outlineLevel="0" collapsed="false">
      <c r="P2399" s="1" t="n">
        <v>2396</v>
      </c>
      <c r="Q2399" s="147" t="n">
        <v>53926.6091924991</v>
      </c>
      <c r="R2399" s="147" t="n">
        <v>0.278706961905977</v>
      </c>
      <c r="S2399" s="147" t="n">
        <v>0.0786372167273448</v>
      </c>
      <c r="T2399" s="147" t="n">
        <v>0.0157057329222263</v>
      </c>
    </row>
    <row r="2400" customFormat="false" ht="12.75" hidden="false" customHeight="true" outlineLevel="0" collapsed="false">
      <c r="P2400" s="1" t="n">
        <v>2397</v>
      </c>
      <c r="Q2400" s="147" t="n">
        <v>53948.7564044931</v>
      </c>
      <c r="R2400" s="147" t="n">
        <v>0.279140825417031</v>
      </c>
      <c r="S2400" s="147" t="n">
        <v>0.0800101835860787</v>
      </c>
      <c r="T2400" s="147" t="n">
        <v>0.0149895812053194</v>
      </c>
    </row>
    <row r="2401" customFormat="false" ht="12.75" hidden="false" customHeight="true" outlineLevel="0" collapsed="false">
      <c r="P2401" s="1" t="n">
        <v>2398</v>
      </c>
      <c r="Q2401" s="147" t="n">
        <v>53971.0467587721</v>
      </c>
      <c r="R2401" s="147" t="n">
        <v>0.279420582760906</v>
      </c>
      <c r="S2401" s="147" t="n">
        <v>0.0809647313940423</v>
      </c>
      <c r="T2401" s="147" t="n">
        <v>0.0140497149406828</v>
      </c>
    </row>
    <row r="2402" customFormat="false" ht="12.75" hidden="false" customHeight="true" outlineLevel="0" collapsed="false">
      <c r="P2402" s="1" t="n">
        <v>2399</v>
      </c>
      <c r="Q2402" s="147" t="n">
        <v>53993.8399480971</v>
      </c>
      <c r="R2402" s="147" t="n">
        <v>0.279207717266987</v>
      </c>
      <c r="S2402" s="147" t="n">
        <v>0.081164021907983</v>
      </c>
      <c r="T2402" s="147" t="n">
        <v>0.0135427488512622</v>
      </c>
    </row>
    <row r="2403" customFormat="false" ht="12.75" hidden="false" customHeight="true" outlineLevel="0" collapsed="false">
      <c r="P2403" s="1" t="n">
        <v>2400</v>
      </c>
      <c r="Q2403" s="147" t="n">
        <v>54016.0997430091</v>
      </c>
      <c r="R2403" s="147" t="n">
        <v>0.279512452341685</v>
      </c>
      <c r="S2403" s="147" t="n">
        <v>0.0804684535010755</v>
      </c>
      <c r="T2403" s="147" t="n">
        <v>0.0126488448103196</v>
      </c>
    </row>
    <row r="2404" customFormat="false" ht="12.75" hidden="false" customHeight="true" outlineLevel="0" collapsed="false">
      <c r="P2404" s="1" t="n">
        <v>2401</v>
      </c>
      <c r="Q2404" s="147" t="n">
        <v>54038.8978852841</v>
      </c>
      <c r="R2404" s="147" t="n">
        <v>0.279344487991074</v>
      </c>
      <c r="S2404" s="147" t="n">
        <v>0.0794689521972281</v>
      </c>
      <c r="T2404" s="147" t="n">
        <v>0.0132334242052653</v>
      </c>
    </row>
    <row r="2405" customFormat="false" ht="12.75" hidden="false" customHeight="true" outlineLevel="0" collapsed="false">
      <c r="P2405" s="1" t="n">
        <v>2402</v>
      </c>
      <c r="Q2405" s="147" t="n">
        <v>54060.8499268791</v>
      </c>
      <c r="R2405" s="147" t="n">
        <v>0.279329828683325</v>
      </c>
      <c r="S2405" s="147" t="n">
        <v>0.0791263003197013</v>
      </c>
      <c r="T2405" s="147" t="n">
        <v>0.0119489129077276</v>
      </c>
    </row>
    <row r="2406" customFormat="false" ht="12.75" hidden="false" customHeight="true" outlineLevel="0" collapsed="false">
      <c r="P2406" s="1" t="n">
        <v>2403</v>
      </c>
      <c r="Q2406" s="147" t="n">
        <v>54083.3852115571</v>
      </c>
      <c r="R2406" s="147" t="n">
        <v>0.278939054990585</v>
      </c>
      <c r="S2406" s="147" t="n">
        <v>0.0782045194286575</v>
      </c>
      <c r="T2406" s="147" t="n">
        <v>0.0127471784717773</v>
      </c>
    </row>
    <row r="2407" customFormat="false" ht="12.75" hidden="false" customHeight="true" outlineLevel="0" collapsed="false">
      <c r="P2407" s="1" t="n">
        <v>2404</v>
      </c>
      <c r="Q2407" s="147" t="n">
        <v>54105.6600925591</v>
      </c>
      <c r="R2407" s="147" t="n">
        <v>0.278582067787082</v>
      </c>
      <c r="S2407" s="147" t="n">
        <v>0.077513573946356</v>
      </c>
      <c r="T2407" s="147" t="n">
        <v>0.0119611084900529</v>
      </c>
    </row>
    <row r="2408" customFormat="false" ht="12.75" hidden="false" customHeight="true" outlineLevel="0" collapsed="false">
      <c r="P2408" s="1" t="n">
        <v>2405</v>
      </c>
      <c r="Q2408" s="147" t="n">
        <v>54128.1691048821</v>
      </c>
      <c r="R2408" s="147" t="n">
        <v>0.278116246474888</v>
      </c>
      <c r="S2408" s="147" t="n">
        <v>0.0760229490668574</v>
      </c>
      <c r="T2408" s="147" t="n">
        <v>0.0122011724132809</v>
      </c>
    </row>
    <row r="2409" customFormat="false" ht="12.75" hidden="false" customHeight="true" outlineLevel="0" collapsed="false">
      <c r="P2409" s="1" t="n">
        <v>2406</v>
      </c>
      <c r="Q2409" s="147" t="n">
        <v>54150.2213747861</v>
      </c>
      <c r="R2409" s="147" t="n">
        <v>0.277458241407457</v>
      </c>
      <c r="S2409" s="147" t="n">
        <v>0.0746219590990145</v>
      </c>
      <c r="T2409" s="147" t="n">
        <v>0.0128733811860948</v>
      </c>
    </row>
    <row r="2410" customFormat="false" ht="12.75" hidden="false" customHeight="true" outlineLevel="0" collapsed="false">
      <c r="P2410" s="1" t="n">
        <v>2407</v>
      </c>
      <c r="Q2410" s="147" t="n">
        <v>54172.8815791631</v>
      </c>
      <c r="R2410" s="147" t="n">
        <v>0.277084382645722</v>
      </c>
      <c r="S2410" s="147" t="n">
        <v>0.0728081055020365</v>
      </c>
      <c r="T2410" s="147" t="n">
        <v>0.0132777861047808</v>
      </c>
    </row>
    <row r="2411" customFormat="false" ht="12.75" hidden="false" customHeight="true" outlineLevel="0" collapsed="false">
      <c r="P2411" s="1" t="n">
        <v>2408</v>
      </c>
      <c r="Q2411" s="147" t="n">
        <v>54195.2847503311</v>
      </c>
      <c r="R2411" s="147" t="n">
        <v>0.27675122839629</v>
      </c>
      <c r="S2411" s="147" t="n">
        <v>0.0717826526925173</v>
      </c>
      <c r="T2411" s="147" t="n">
        <v>0.0142527492681566</v>
      </c>
    </row>
    <row r="2412" customFormat="false" ht="12.75" hidden="false" customHeight="true" outlineLevel="0" collapsed="false">
      <c r="P2412" s="1" t="n">
        <v>2409</v>
      </c>
      <c r="Q2412" s="147" t="n">
        <v>54217.6057837081</v>
      </c>
      <c r="R2412" s="147" t="n">
        <v>0.276648146706491</v>
      </c>
      <c r="S2412" s="147" t="n">
        <v>0.0706656622475676</v>
      </c>
      <c r="T2412" s="147" t="n">
        <v>0.0144811150354641</v>
      </c>
    </row>
    <row r="2413" customFormat="false" ht="12.75" hidden="false" customHeight="true" outlineLevel="0" collapsed="false">
      <c r="P2413" s="1" t="n">
        <v>2410</v>
      </c>
      <c r="Q2413" s="147" t="n">
        <v>54240.0109447171</v>
      </c>
      <c r="R2413" s="147" t="n">
        <v>0.276507808925206</v>
      </c>
      <c r="S2413" s="147" t="n">
        <v>0.0704302967863509</v>
      </c>
      <c r="T2413" s="147" t="n">
        <v>0.0153968814468424</v>
      </c>
    </row>
    <row r="2414" customFormat="false" ht="12.75" hidden="false" customHeight="true" outlineLevel="0" collapsed="false">
      <c r="P2414" s="1" t="n">
        <v>2411</v>
      </c>
      <c r="Q2414" s="147" t="n">
        <v>54262.4997187121</v>
      </c>
      <c r="R2414" s="147" t="n">
        <v>0.276516600054412</v>
      </c>
      <c r="S2414" s="147" t="n">
        <v>0.0711523171720622</v>
      </c>
      <c r="T2414" s="147" t="n">
        <v>0.016459195195692</v>
      </c>
    </row>
    <row r="2415" customFormat="false" ht="12.75" hidden="false" customHeight="true" outlineLevel="0" collapsed="false">
      <c r="P2415" s="1" t="n">
        <v>2412</v>
      </c>
      <c r="Q2415" s="147" t="n">
        <v>54284.8400987511</v>
      </c>
      <c r="R2415" s="147" t="n">
        <v>0.276416950936399</v>
      </c>
      <c r="S2415" s="147" t="n">
        <v>0.0733305924360505</v>
      </c>
      <c r="T2415" s="147" t="n">
        <v>0.0175493206376354</v>
      </c>
    </row>
    <row r="2416" customFormat="false" ht="12.75" hidden="false" customHeight="true" outlineLevel="0" collapsed="false">
      <c r="P2416" s="1" t="n">
        <v>2413</v>
      </c>
      <c r="Q2416" s="147" t="n">
        <v>54307.6275266881</v>
      </c>
      <c r="R2416" s="147" t="n">
        <v>0.276376249122462</v>
      </c>
      <c r="S2416" s="147" t="n">
        <v>0.0768762624353612</v>
      </c>
      <c r="T2416" s="147" t="n">
        <v>0.018592245692534</v>
      </c>
    </row>
    <row r="2417" customFormat="false" ht="12.75" hidden="false" customHeight="true" outlineLevel="0" collapsed="false">
      <c r="P2417" s="1" t="n">
        <v>2414</v>
      </c>
      <c r="Q2417" s="147" t="n">
        <v>54329.9611762251</v>
      </c>
      <c r="R2417" s="147" t="n">
        <v>0.27595655164639</v>
      </c>
      <c r="S2417" s="147" t="n">
        <v>0.0807307085781856</v>
      </c>
      <c r="T2417" s="147" t="n">
        <v>0.01981318533418</v>
      </c>
    </row>
    <row r="2418" customFormat="false" ht="12.75" hidden="false" customHeight="true" outlineLevel="0" collapsed="false">
      <c r="P2418" s="1" t="n">
        <v>2415</v>
      </c>
      <c r="Q2418" s="147" t="n">
        <v>54352.5356462661</v>
      </c>
      <c r="R2418" s="147" t="n">
        <v>0.275477785820516</v>
      </c>
      <c r="S2418" s="147" t="n">
        <v>0.085139383858099</v>
      </c>
      <c r="T2418" s="147" t="n">
        <v>0.0212546034188389</v>
      </c>
    </row>
    <row r="2419" customFormat="false" ht="12.75" hidden="false" customHeight="true" outlineLevel="0" collapsed="false">
      <c r="P2419" s="1" t="n">
        <v>2416</v>
      </c>
      <c r="Q2419" s="147" t="n">
        <v>54374.4755998001</v>
      </c>
      <c r="R2419" s="147" t="n">
        <v>0.274806594692766</v>
      </c>
      <c r="S2419" s="147" t="n">
        <v>0.0868547467942155</v>
      </c>
      <c r="T2419" s="147" t="n">
        <v>0.0220285779083287</v>
      </c>
    </row>
    <row r="2420" customFormat="false" ht="12.75" hidden="false" customHeight="true" outlineLevel="0" collapsed="false">
      <c r="P2420" s="1" t="n">
        <v>2417</v>
      </c>
      <c r="Q2420" s="147" t="n">
        <v>54397.4208881341</v>
      </c>
      <c r="R2420" s="147" t="n">
        <v>0.274211446700013</v>
      </c>
      <c r="S2420" s="147" t="n">
        <v>0.0918501401742029</v>
      </c>
      <c r="T2420" s="147" t="n">
        <v>0.0236059792212594</v>
      </c>
    </row>
    <row r="2421" customFormat="false" ht="12.75" hidden="false" customHeight="true" outlineLevel="0" collapsed="false">
      <c r="P2421" s="1" t="n">
        <v>2418</v>
      </c>
      <c r="Q2421" s="147" t="n">
        <v>54418.9668201771</v>
      </c>
      <c r="R2421" s="147" t="n">
        <v>0.273777355860882</v>
      </c>
      <c r="S2421" s="147" t="n">
        <v>0.0926622883269514</v>
      </c>
      <c r="T2421" s="147" t="n">
        <v>0.0247392715746909</v>
      </c>
    </row>
    <row r="2422" customFormat="false" ht="12.75" hidden="false" customHeight="true" outlineLevel="0" collapsed="false">
      <c r="P2422" s="1" t="n">
        <v>2419</v>
      </c>
      <c r="Q2422" s="147" t="n">
        <v>54441.4922354351</v>
      </c>
      <c r="R2422" s="147" t="n">
        <v>0.273425572245269</v>
      </c>
      <c r="S2422" s="147" t="n">
        <v>0.0954364994752734</v>
      </c>
      <c r="T2422" s="147" t="n">
        <v>0.0251039731425836</v>
      </c>
    </row>
    <row r="2423" customFormat="false" ht="12.75" hidden="false" customHeight="true" outlineLevel="0" collapsed="false">
      <c r="P2423" s="1" t="n">
        <v>2420</v>
      </c>
      <c r="Q2423" s="147" t="n">
        <v>54463.9375292141</v>
      </c>
      <c r="R2423" s="147" t="n">
        <v>0.273040816137511</v>
      </c>
      <c r="S2423" s="147" t="n">
        <v>0.0972596199727983</v>
      </c>
      <c r="T2423" s="147" t="n">
        <v>0.0266743042622347</v>
      </c>
    </row>
    <row r="2424" customFormat="false" ht="12.75" hidden="false" customHeight="true" outlineLevel="0" collapsed="false">
      <c r="P2424" s="1" t="n">
        <v>2421</v>
      </c>
      <c r="Q2424" s="147" t="n">
        <v>54486.1318737281</v>
      </c>
      <c r="R2424" s="147" t="n">
        <v>0.273031166660858</v>
      </c>
      <c r="S2424" s="147" t="n">
        <v>0.100151295379256</v>
      </c>
      <c r="T2424" s="147" t="n">
        <v>0.0268790390856227</v>
      </c>
    </row>
    <row r="2425" customFormat="false" ht="12.75" hidden="false" customHeight="true" outlineLevel="0" collapsed="false">
      <c r="P2425" s="1" t="n">
        <v>2422</v>
      </c>
      <c r="Q2425" s="147" t="n">
        <v>54508.4571328081</v>
      </c>
      <c r="R2425" s="147" t="n">
        <v>0.272640454208263</v>
      </c>
      <c r="S2425" s="147" t="n">
        <v>0.104451596119121</v>
      </c>
      <c r="T2425" s="147" t="n">
        <v>0.026845450758172</v>
      </c>
    </row>
    <row r="2426" customFormat="false" ht="12.75" hidden="false" customHeight="true" outlineLevel="0" collapsed="false">
      <c r="P2426" s="1" t="n">
        <v>2423</v>
      </c>
      <c r="Q2426" s="147" t="n">
        <v>54530.8541169101</v>
      </c>
      <c r="R2426" s="147" t="n">
        <v>0.272412837613087</v>
      </c>
      <c r="S2426" s="147" t="n">
        <v>0.110979088144782</v>
      </c>
      <c r="T2426" s="147" t="n">
        <v>0.0264852059406468</v>
      </c>
    </row>
    <row r="2427" customFormat="false" ht="12.75" hidden="false" customHeight="true" outlineLevel="0" collapsed="false">
      <c r="P2427" s="1" t="n">
        <v>2424</v>
      </c>
      <c r="Q2427" s="147" t="n">
        <v>54552.5994504341</v>
      </c>
      <c r="R2427" s="147" t="n">
        <v>0.272656820118803</v>
      </c>
      <c r="S2427" s="147" t="n">
        <v>0.11429179622357</v>
      </c>
      <c r="T2427" s="147" t="n">
        <v>0.0255701271192999</v>
      </c>
    </row>
    <row r="2428" customFormat="false" ht="12.75" hidden="false" customHeight="true" outlineLevel="0" collapsed="false">
      <c r="P2428" s="1" t="n">
        <v>2425</v>
      </c>
      <c r="Q2428" s="147" t="n">
        <v>54575.4826182481</v>
      </c>
      <c r="R2428" s="147" t="n">
        <v>0.271026035623592</v>
      </c>
      <c r="S2428" s="147" t="n">
        <v>0.128308436839342</v>
      </c>
      <c r="T2428" s="147" t="n">
        <v>0.0246379448951347</v>
      </c>
    </row>
    <row r="2429" customFormat="false" ht="12.75" hidden="false" customHeight="true" outlineLevel="0" collapsed="false">
      <c r="P2429" s="1" t="n">
        <v>2426</v>
      </c>
      <c r="Q2429" s="147" t="n">
        <v>54597.4957468481</v>
      </c>
      <c r="R2429" s="147" t="n">
        <v>0.271149219596191</v>
      </c>
      <c r="S2429" s="147" t="n">
        <v>0.130635993525692</v>
      </c>
      <c r="T2429" s="147" t="n">
        <v>0.0238764180327268</v>
      </c>
    </row>
    <row r="2430" customFormat="false" ht="12.75" hidden="false" customHeight="true" outlineLevel="0" collapsed="false">
      <c r="P2430" s="1" t="n">
        <v>2427</v>
      </c>
      <c r="Q2430" s="147" t="n">
        <v>54619.9019553031</v>
      </c>
      <c r="R2430" s="147" t="n">
        <v>0.270270181425003</v>
      </c>
      <c r="S2430" s="147" t="n">
        <v>0.13398546200094</v>
      </c>
      <c r="T2430" s="147" t="n">
        <v>0.0240817369747546</v>
      </c>
    </row>
    <row r="2431" customFormat="false" ht="12.75" hidden="false" customHeight="true" outlineLevel="0" collapsed="false">
      <c r="P2431" s="1" t="n">
        <v>2428</v>
      </c>
      <c r="Q2431" s="147" t="n">
        <v>54642.4596320811</v>
      </c>
      <c r="R2431" s="147" t="n">
        <v>0.269732423343198</v>
      </c>
      <c r="S2431" s="147" t="n">
        <v>0.136228642940443</v>
      </c>
      <c r="T2431" s="147" t="n">
        <v>0.0236285638914636</v>
      </c>
    </row>
    <row r="2432" customFormat="false" ht="12.75" hidden="false" customHeight="true" outlineLevel="0" collapsed="false">
      <c r="P2432" s="1" t="n">
        <v>2429</v>
      </c>
      <c r="Q2432" s="147" t="n">
        <v>54664.7237077941</v>
      </c>
      <c r="R2432" s="147" t="n">
        <v>0.26934680749367</v>
      </c>
      <c r="S2432" s="147" t="n">
        <v>0.136504953019955</v>
      </c>
      <c r="T2432" s="147" t="n">
        <v>0.0239355725679882</v>
      </c>
    </row>
    <row r="2433" customFormat="false" ht="12.75" hidden="false" customHeight="true" outlineLevel="0" collapsed="false">
      <c r="P2433" s="1" t="n">
        <v>2430</v>
      </c>
      <c r="Q2433" s="147" t="n">
        <v>54686.7856348871</v>
      </c>
      <c r="R2433" s="147" t="n">
        <v>0.268778326598767</v>
      </c>
      <c r="S2433" s="147" t="n">
        <v>0.135503346818088</v>
      </c>
      <c r="T2433" s="147" t="n">
        <v>0.0247082610448504</v>
      </c>
    </row>
    <row r="2434" customFormat="false" ht="12.75" hidden="false" customHeight="true" outlineLevel="0" collapsed="false">
      <c r="P2434" s="1" t="n">
        <v>2431</v>
      </c>
      <c r="Q2434" s="147" t="n">
        <v>54708.9915291721</v>
      </c>
      <c r="R2434" s="147" t="n">
        <v>0.268082885953608</v>
      </c>
      <c r="S2434" s="147" t="n">
        <v>0.133821288515035</v>
      </c>
      <c r="T2434" s="147" t="n">
        <v>0.0252509961869345</v>
      </c>
    </row>
    <row r="2435" customFormat="false" ht="12.75" hidden="false" customHeight="true" outlineLevel="0" collapsed="false">
      <c r="P2435" s="1" t="n">
        <v>2432</v>
      </c>
      <c r="Q2435" s="147" t="n">
        <v>54731.5052734001</v>
      </c>
      <c r="R2435" s="147" t="n">
        <v>0.267189285303294</v>
      </c>
      <c r="S2435" s="147" t="n">
        <v>0.131322192567524</v>
      </c>
      <c r="T2435" s="147" t="n">
        <v>0.0259919105113148</v>
      </c>
    </row>
    <row r="2436" customFormat="false" ht="12.75" hidden="false" customHeight="true" outlineLevel="0" collapsed="false">
      <c r="P2436" s="1" t="n">
        <v>2433</v>
      </c>
      <c r="Q2436" s="147" t="n">
        <v>54753.7309500861</v>
      </c>
      <c r="R2436" s="147" t="n">
        <v>0.266140990165981</v>
      </c>
      <c r="S2436" s="147" t="n">
        <v>0.129724981668291</v>
      </c>
      <c r="T2436" s="147" t="n">
        <v>0.0263471164025169</v>
      </c>
    </row>
    <row r="2437" customFormat="false" ht="12.75" hidden="false" customHeight="true" outlineLevel="0" collapsed="false">
      <c r="P2437" s="1" t="n">
        <v>2434</v>
      </c>
      <c r="Q2437" s="147" t="n">
        <v>54776.0116348701</v>
      </c>
      <c r="R2437" s="147" t="n">
        <v>0.26510079335043</v>
      </c>
      <c r="S2437" s="147" t="n">
        <v>0.128993906567658</v>
      </c>
      <c r="T2437" s="147" t="n">
        <v>0.026807621155055</v>
      </c>
    </row>
    <row r="2438" customFormat="false" ht="12.75" hidden="false" customHeight="true" outlineLevel="0" collapsed="false">
      <c r="P2438" s="1" t="n">
        <v>2435</v>
      </c>
      <c r="Q2438" s="147" t="n">
        <v>54798.0808468731</v>
      </c>
      <c r="R2438" s="147" t="n">
        <v>0.264140374044293</v>
      </c>
      <c r="S2438" s="147" t="n">
        <v>0.129432098373776</v>
      </c>
      <c r="T2438" s="147" t="n">
        <v>0.0268779277138057</v>
      </c>
    </row>
    <row r="2439" customFormat="false" ht="12.75" hidden="false" customHeight="true" outlineLevel="0" collapsed="false">
      <c r="P2439" s="1" t="n">
        <v>2436</v>
      </c>
      <c r="Q2439" s="147" t="n">
        <v>54820.2237009811</v>
      </c>
      <c r="R2439" s="147" t="n">
        <v>0.263422486929445</v>
      </c>
      <c r="S2439" s="147" t="n">
        <v>0.12997799559967</v>
      </c>
      <c r="T2439" s="147" t="n">
        <v>0.0270747064394172</v>
      </c>
    </row>
    <row r="2440" customFormat="false" ht="12.75" hidden="false" customHeight="true" outlineLevel="0" collapsed="false">
      <c r="P2440" s="1" t="n">
        <v>2437</v>
      </c>
      <c r="Q2440" s="147" t="n">
        <v>54842.2872465971</v>
      </c>
      <c r="R2440" s="147" t="n">
        <v>0.262947021166507</v>
      </c>
      <c r="S2440" s="147" t="n">
        <v>0.130524283981133</v>
      </c>
      <c r="T2440" s="147" t="n">
        <v>0.027185361764123</v>
      </c>
    </row>
    <row r="2441" customFormat="false" ht="12.75" hidden="false" customHeight="true" outlineLevel="0" collapsed="false">
      <c r="P2441" s="1" t="n">
        <v>2438</v>
      </c>
      <c r="Q2441" s="147" t="n">
        <v>54864.5332302611</v>
      </c>
      <c r="R2441" s="147" t="n">
        <v>0.262835458929548</v>
      </c>
      <c r="S2441" s="147" t="n">
        <v>0.130246020577976</v>
      </c>
      <c r="T2441" s="147" t="n">
        <v>0.0275285507865014</v>
      </c>
    </row>
    <row r="2442" customFormat="false" ht="12.75" hidden="false" customHeight="true" outlineLevel="0" collapsed="false">
      <c r="P2442" s="1" t="n">
        <v>2439</v>
      </c>
      <c r="Q2442" s="147" t="n">
        <v>54886.6906124601</v>
      </c>
      <c r="R2442" s="147" t="n">
        <v>0.263131625145755</v>
      </c>
      <c r="S2442" s="147" t="n">
        <v>0.129175927041239</v>
      </c>
      <c r="T2442" s="147" t="n">
        <v>0.0278895081821392</v>
      </c>
    </row>
    <row r="2443" customFormat="false" ht="12.75" hidden="false" customHeight="true" outlineLevel="0" collapsed="false">
      <c r="P2443" s="1" t="n">
        <v>2440</v>
      </c>
      <c r="Q2443" s="147" t="n">
        <v>54909.1756569141</v>
      </c>
      <c r="R2443" s="147" t="n">
        <v>0.264100129653429</v>
      </c>
      <c r="S2443" s="147" t="n">
        <v>0.127054455809836</v>
      </c>
      <c r="T2443" s="147" t="n">
        <v>0.0280679782409747</v>
      </c>
    </row>
    <row r="2444" customFormat="false" ht="12.75" hidden="false" customHeight="true" outlineLevel="0" collapsed="false">
      <c r="P2444" s="1" t="n">
        <v>2441</v>
      </c>
      <c r="Q2444" s="147" t="n">
        <v>54931.6440292451</v>
      </c>
      <c r="R2444" s="147" t="n">
        <v>0.264413082777173</v>
      </c>
      <c r="S2444" s="147" t="n">
        <v>0.125737233410941</v>
      </c>
      <c r="T2444" s="147" t="n">
        <v>0.0284264477979151</v>
      </c>
    </row>
    <row r="2445" customFormat="false" ht="12.75" hidden="false" customHeight="true" outlineLevel="0" collapsed="false">
      <c r="P2445" s="1" t="n">
        <v>2442</v>
      </c>
      <c r="Q2445" s="147" t="n">
        <v>54953.8529624771</v>
      </c>
      <c r="R2445" s="147" t="n">
        <v>0.265457325793028</v>
      </c>
      <c r="S2445" s="147" t="n">
        <v>0.124876273841687</v>
      </c>
      <c r="T2445" s="147" t="n">
        <v>0.0281684086315228</v>
      </c>
    </row>
    <row r="2446" customFormat="false" ht="12.75" hidden="false" customHeight="true" outlineLevel="0" collapsed="false">
      <c r="P2446" s="1" t="n">
        <v>2443</v>
      </c>
      <c r="Q2446" s="147" t="n">
        <v>54976.3711313281</v>
      </c>
      <c r="R2446" s="147" t="n">
        <v>0.267043697066743</v>
      </c>
      <c r="S2446" s="147" t="n">
        <v>0.124043257757571</v>
      </c>
      <c r="T2446" s="147" t="n">
        <v>0.0276736424335171</v>
      </c>
    </row>
    <row r="2447" customFormat="false" ht="12.75" hidden="false" customHeight="true" outlineLevel="0" collapsed="false">
      <c r="P2447" s="1" t="n">
        <v>2444</v>
      </c>
      <c r="Q2447" s="147" t="n">
        <v>54998.7824278281</v>
      </c>
      <c r="R2447" s="147" t="n">
        <v>0.268186648129814</v>
      </c>
      <c r="S2447" s="147" t="n">
        <v>0.123302399713385</v>
      </c>
      <c r="T2447" s="147" t="n">
        <v>0.0272691003518865</v>
      </c>
    </row>
    <row r="2448" customFormat="false" ht="12.75" hidden="false" customHeight="true" outlineLevel="0" collapsed="false">
      <c r="P2448" s="1" t="n">
        <v>2445</v>
      </c>
      <c r="Q2448" s="147" t="n">
        <v>55020.8630339161</v>
      </c>
      <c r="R2448" s="147" t="n">
        <v>0.269684668333968</v>
      </c>
      <c r="S2448" s="147" t="n">
        <v>0.122615211301403</v>
      </c>
      <c r="T2448" s="147" t="n">
        <v>0.0267763983293221</v>
      </c>
    </row>
    <row r="2449" customFormat="false" ht="12.75" hidden="false" customHeight="true" outlineLevel="0" collapsed="false">
      <c r="P2449" s="1" t="n">
        <v>2446</v>
      </c>
      <c r="Q2449" s="147" t="n">
        <v>55043.2361954281</v>
      </c>
      <c r="R2449" s="147" t="n">
        <v>0.271042148942834</v>
      </c>
      <c r="S2449" s="147" t="n">
        <v>0.122524074419216</v>
      </c>
      <c r="T2449" s="147" t="n">
        <v>0.02631830683108</v>
      </c>
    </row>
    <row r="2450" customFormat="false" ht="12.75" hidden="false" customHeight="true" outlineLevel="0" collapsed="false">
      <c r="P2450" s="1" t="n">
        <v>2447</v>
      </c>
      <c r="Q2450" s="147" t="n">
        <v>55065.4454481991</v>
      </c>
      <c r="R2450" s="147" t="n">
        <v>0.272289112973284</v>
      </c>
      <c r="S2450" s="147" t="n">
        <v>0.121853081372228</v>
      </c>
      <c r="T2450" s="147" t="n">
        <v>0.025887679526626</v>
      </c>
    </row>
    <row r="2451" customFormat="false" ht="12.75" hidden="false" customHeight="true" outlineLevel="0" collapsed="false">
      <c r="P2451" s="1" t="n">
        <v>2448</v>
      </c>
      <c r="Q2451" s="147" t="n">
        <v>55087.9129947431</v>
      </c>
      <c r="R2451" s="147" t="n">
        <v>0.273151641774661</v>
      </c>
      <c r="S2451" s="147" t="n">
        <v>0.120928636380079</v>
      </c>
      <c r="T2451" s="147" t="n">
        <v>0.0254566114508536</v>
      </c>
    </row>
    <row r="2452" customFormat="false" ht="12.75" hidden="false" customHeight="true" outlineLevel="0" collapsed="false">
      <c r="P2452" s="1" t="n">
        <v>2449</v>
      </c>
      <c r="Q2452" s="147" t="n">
        <v>55110.0965884671</v>
      </c>
      <c r="R2452" s="147" t="n">
        <v>0.273532790731041</v>
      </c>
      <c r="S2452" s="147" t="n">
        <v>0.120058386838799</v>
      </c>
      <c r="T2452" s="147" t="n">
        <v>0.0251576685104424</v>
      </c>
    </row>
    <row r="2453" customFormat="false" ht="12.75" hidden="false" customHeight="true" outlineLevel="0" collapsed="false">
      <c r="P2453" s="1" t="n">
        <v>2450</v>
      </c>
      <c r="Q2453" s="147" t="n">
        <v>55132.2802082721</v>
      </c>
      <c r="R2453" s="147" t="n">
        <v>0.273456888961341</v>
      </c>
      <c r="S2453" s="147" t="n">
        <v>0.119480918433408</v>
      </c>
      <c r="T2453" s="147" t="n">
        <v>0.0252815751912527</v>
      </c>
    </row>
    <row r="2454" customFormat="false" ht="12.75" hidden="false" customHeight="true" outlineLevel="0" collapsed="false">
      <c r="P2454" s="1" t="n">
        <v>2451</v>
      </c>
      <c r="Q2454" s="147" t="n">
        <v>55154.7119080201</v>
      </c>
      <c r="R2454" s="147" t="n">
        <v>0.272837548859487</v>
      </c>
      <c r="S2454" s="147" t="n">
        <v>0.118762626903462</v>
      </c>
      <c r="T2454" s="147" t="n">
        <v>0.0248013458548848</v>
      </c>
    </row>
    <row r="2455" customFormat="false" ht="12.75" hidden="false" customHeight="true" outlineLevel="0" collapsed="false">
      <c r="P2455" s="1" t="n">
        <v>2452</v>
      </c>
      <c r="Q2455" s="147" t="n">
        <v>55176.9453774841</v>
      </c>
      <c r="R2455" s="147" t="n">
        <v>0.271991457985927</v>
      </c>
      <c r="S2455" s="147" t="n">
        <v>0.118436137438492</v>
      </c>
      <c r="T2455" s="147" t="n">
        <v>0.0240643927901195</v>
      </c>
    </row>
    <row r="2456" customFormat="false" ht="12.75" hidden="false" customHeight="true" outlineLevel="0" collapsed="false">
      <c r="P2456" s="1" t="n">
        <v>2453</v>
      </c>
      <c r="Q2456" s="147" t="n">
        <v>55199.3111043671</v>
      </c>
      <c r="R2456" s="147" t="n">
        <v>0.270993963298068</v>
      </c>
      <c r="S2456" s="147" t="n">
        <v>0.118618461076231</v>
      </c>
      <c r="T2456" s="147" t="n">
        <v>0.0227297185527245</v>
      </c>
    </row>
    <row r="2457" customFormat="false" ht="12.75" hidden="false" customHeight="true" outlineLevel="0" collapsed="false">
      <c r="P2457" s="1" t="n">
        <v>2454</v>
      </c>
      <c r="Q2457" s="147" t="n">
        <v>55221.8853511831</v>
      </c>
      <c r="R2457" s="147" t="n">
        <v>0.270014486907034</v>
      </c>
      <c r="S2457" s="147" t="n">
        <v>0.119920596429834</v>
      </c>
      <c r="T2457" s="147" t="n">
        <v>0.0214148793116273</v>
      </c>
    </row>
    <row r="2458" customFormat="false" ht="12.75" hidden="false" customHeight="true" outlineLevel="0" collapsed="false">
      <c r="P2458" s="1" t="n">
        <v>2455</v>
      </c>
      <c r="Q2458" s="147" t="n">
        <v>55244.2804939971</v>
      </c>
      <c r="R2458" s="147" t="n">
        <v>0.269251212655631</v>
      </c>
      <c r="S2458" s="147" t="n">
        <v>0.122122678815649</v>
      </c>
      <c r="T2458" s="147" t="n">
        <v>0.0199649613407966</v>
      </c>
    </row>
    <row r="2459" customFormat="false" ht="12.75" hidden="false" customHeight="true" outlineLevel="0" collapsed="false">
      <c r="P2459" s="1" t="n">
        <v>2456</v>
      </c>
      <c r="Q2459" s="147" t="n">
        <v>55266.6907455811</v>
      </c>
      <c r="R2459" s="147" t="n">
        <v>0.268451575356728</v>
      </c>
      <c r="S2459" s="147" t="n">
        <v>0.124804146651674</v>
      </c>
      <c r="T2459" s="147" t="n">
        <v>0.0186637851830702</v>
      </c>
    </row>
    <row r="2460" customFormat="false" ht="12.75" hidden="false" customHeight="true" outlineLevel="0" collapsed="false">
      <c r="P2460" s="1" t="n">
        <v>2457</v>
      </c>
      <c r="Q2460" s="147" t="n">
        <v>55288.9604399091</v>
      </c>
      <c r="R2460" s="147" t="n">
        <v>0.267877550551948</v>
      </c>
      <c r="S2460" s="147" t="n">
        <v>0.127075108915916</v>
      </c>
      <c r="T2460" s="147" t="n">
        <v>0.0174628804627697</v>
      </c>
    </row>
    <row r="2461" customFormat="false" ht="12.75" hidden="false" customHeight="true" outlineLevel="0" collapsed="false">
      <c r="P2461" s="1" t="n">
        <v>2458</v>
      </c>
      <c r="Q2461" s="147" t="n">
        <v>55310.9848319631</v>
      </c>
      <c r="R2461" s="147" t="n">
        <v>0.267541049738232</v>
      </c>
      <c r="S2461" s="147" t="n">
        <v>0.127876265700808</v>
      </c>
      <c r="T2461" s="147" t="n">
        <v>0.0166478427838731</v>
      </c>
    </row>
    <row r="2462" customFormat="false" ht="12.75" hidden="false" customHeight="true" outlineLevel="0" collapsed="false">
      <c r="P2462" s="1" t="n">
        <v>2459</v>
      </c>
      <c r="Q2462" s="147" t="n">
        <v>55333.5315064891</v>
      </c>
      <c r="R2462" s="147" t="n">
        <v>0.267396921381978</v>
      </c>
      <c r="S2462" s="147" t="n">
        <v>0.127171420451435</v>
      </c>
      <c r="T2462" s="147" t="n">
        <v>0.0152245847168817</v>
      </c>
    </row>
    <row r="2463" customFormat="false" ht="12.75" hidden="false" customHeight="true" outlineLevel="0" collapsed="false">
      <c r="P2463" s="1" t="n">
        <v>2460</v>
      </c>
      <c r="Q2463" s="147" t="n">
        <v>55355.8235264481</v>
      </c>
      <c r="R2463" s="147" t="n">
        <v>0.267652398178672</v>
      </c>
      <c r="S2463" s="147" t="n">
        <v>0.124751863167817</v>
      </c>
      <c r="T2463" s="147" t="n">
        <v>0.0145345898743683</v>
      </c>
    </row>
    <row r="2464" customFormat="false" ht="12.75" hidden="false" customHeight="true" outlineLevel="0" collapsed="false">
      <c r="P2464" s="1" t="n">
        <v>2461</v>
      </c>
      <c r="Q2464" s="147" t="n">
        <v>55378.5457616501</v>
      </c>
      <c r="R2464" s="147" t="n">
        <v>0.268076035761775</v>
      </c>
      <c r="S2464" s="147" t="n">
        <v>0.119446960239427</v>
      </c>
      <c r="T2464" s="147" t="n">
        <v>0.0137930459286696</v>
      </c>
    </row>
    <row r="2465" customFormat="false" ht="12.75" hidden="false" customHeight="true" outlineLevel="0" collapsed="false">
      <c r="P2465" s="1" t="n">
        <v>2462</v>
      </c>
      <c r="Q2465" s="147" t="n">
        <v>55401.2771682651</v>
      </c>
      <c r="R2465" s="147" t="n">
        <v>0.268313277446841</v>
      </c>
      <c r="S2465" s="147" t="n">
        <v>0.113112972704356</v>
      </c>
      <c r="T2465" s="147" t="n">
        <v>0.0137455434495115</v>
      </c>
    </row>
    <row r="2466" customFormat="false" ht="12.75" hidden="false" customHeight="true" outlineLevel="0" collapsed="false">
      <c r="P2466" s="1" t="n">
        <v>2463</v>
      </c>
      <c r="Q2466" s="147" t="n">
        <v>55424.0112646191</v>
      </c>
      <c r="R2466" s="147" t="n">
        <v>0.268771690618025</v>
      </c>
      <c r="S2466" s="147" t="n">
        <v>0.105050432406171</v>
      </c>
      <c r="T2466" s="147" t="n">
        <v>0.0141563525372653</v>
      </c>
    </row>
    <row r="2467" customFormat="false" ht="12.75" hidden="false" customHeight="true" outlineLevel="0" collapsed="false">
      <c r="P2467" s="1" t="n">
        <v>2464</v>
      </c>
      <c r="Q2467" s="147" t="n">
        <v>55446.5301533871</v>
      </c>
      <c r="R2467" s="147" t="n">
        <v>0.269057733747416</v>
      </c>
      <c r="S2467" s="147" t="n">
        <v>0.0982464030728404</v>
      </c>
      <c r="T2467" s="147" t="n">
        <v>0.0149217377527538</v>
      </c>
    </row>
    <row r="2468" customFormat="false" ht="12.75" hidden="false" customHeight="true" outlineLevel="0" collapsed="false">
      <c r="P2468" s="1" t="n">
        <v>2465</v>
      </c>
      <c r="Q2468" s="147" t="n">
        <v>55469.2108325261</v>
      </c>
      <c r="R2468" s="147" t="n">
        <v>0.269485910336254</v>
      </c>
      <c r="S2468" s="147" t="n">
        <v>0.092142241876784</v>
      </c>
      <c r="T2468" s="147" t="n">
        <v>0.0161426756680706</v>
      </c>
    </row>
    <row r="2469" customFormat="false" ht="12.75" hidden="false" customHeight="true" outlineLevel="0" collapsed="false">
      <c r="P2469" s="1" t="n">
        <v>2466</v>
      </c>
      <c r="Q2469" s="147" t="n">
        <v>55491.6270568571</v>
      </c>
      <c r="R2469" s="147" t="n">
        <v>0.269843194824559</v>
      </c>
      <c r="S2469" s="147" t="n">
        <v>0.0871653029204475</v>
      </c>
      <c r="T2469" s="147" t="n">
        <v>0.0174505286538413</v>
      </c>
    </row>
    <row r="2470" customFormat="false" ht="12.75" hidden="false" customHeight="true" outlineLevel="0" collapsed="false">
      <c r="P2470" s="1" t="n">
        <v>2467</v>
      </c>
      <c r="Q2470" s="147" t="n">
        <v>55514.4561120501</v>
      </c>
      <c r="R2470" s="147" t="n">
        <v>0.270208201313062</v>
      </c>
      <c r="S2470" s="147" t="n">
        <v>0.0836304251791518</v>
      </c>
      <c r="T2470" s="147" t="n">
        <v>0.0187100669439153</v>
      </c>
    </row>
    <row r="2471" customFormat="false" ht="12.75" hidden="false" customHeight="true" outlineLevel="0" collapsed="false">
      <c r="P2471" s="1" t="n">
        <v>2468</v>
      </c>
      <c r="Q2471" s="147" t="n">
        <v>55536.9759027241</v>
      </c>
      <c r="R2471" s="147" t="n">
        <v>0.270523589573407</v>
      </c>
      <c r="S2471" s="147" t="n">
        <v>0.0812336884728435</v>
      </c>
      <c r="T2471" s="147" t="n">
        <v>0.0200847916589753</v>
      </c>
    </row>
    <row r="2472" customFormat="false" ht="12.75" hidden="false" customHeight="true" outlineLevel="0" collapsed="false">
      <c r="P2472" s="1" t="n">
        <v>2469</v>
      </c>
      <c r="Q2472" s="147" t="n">
        <v>55559.6827234381</v>
      </c>
      <c r="R2472" s="147" t="n">
        <v>0.270763998703757</v>
      </c>
      <c r="S2472" s="147" t="n">
        <v>0.0797176467570759</v>
      </c>
      <c r="T2472" s="147" t="n">
        <v>0.0209922238451657</v>
      </c>
    </row>
    <row r="2473" customFormat="false" ht="12.75" hidden="false" customHeight="true" outlineLevel="0" collapsed="false">
      <c r="P2473" s="1" t="n">
        <v>2470</v>
      </c>
      <c r="Q2473" s="147" t="n">
        <v>55582.2896972521</v>
      </c>
      <c r="R2473" s="147" t="n">
        <v>0.270881455128684</v>
      </c>
      <c r="S2473" s="147" t="n">
        <v>0.078273200891524</v>
      </c>
      <c r="T2473" s="147" t="n">
        <v>0.0216598959687496</v>
      </c>
    </row>
    <row r="2474" customFormat="false" ht="12.75" hidden="false" customHeight="true" outlineLevel="0" collapsed="false">
      <c r="P2474" s="1" t="n">
        <v>2471</v>
      </c>
      <c r="Q2474" s="147" t="n">
        <v>55605.129082754</v>
      </c>
      <c r="R2474" s="147" t="n">
        <v>0.270905201246375</v>
      </c>
      <c r="S2474" s="147" t="n">
        <v>0.0764565530729186</v>
      </c>
      <c r="T2474" s="147" t="n">
        <v>0.0220705953872473</v>
      </c>
    </row>
    <row r="2475" customFormat="false" ht="12.75" hidden="false" customHeight="true" outlineLevel="0" collapsed="false">
      <c r="P2475" s="1" t="n">
        <v>2472</v>
      </c>
      <c r="Q2475" s="147" t="n">
        <v>55627.562237346</v>
      </c>
      <c r="R2475" s="147" t="n">
        <v>0.270720497939647</v>
      </c>
      <c r="S2475" s="147" t="n">
        <v>0.0746771874609645</v>
      </c>
      <c r="T2475" s="147" t="n">
        <v>0.0224231336315882</v>
      </c>
    </row>
    <row r="2476" customFormat="false" ht="12.75" hidden="false" customHeight="true" outlineLevel="0" collapsed="false">
      <c r="P2476" s="1" t="n">
        <v>2473</v>
      </c>
      <c r="Q2476" s="147" t="n">
        <v>55649.943934955</v>
      </c>
      <c r="R2476" s="147" t="n">
        <v>0.270479057318804</v>
      </c>
      <c r="S2476" s="147" t="n">
        <v>0.0734119773005052</v>
      </c>
      <c r="T2476" s="147" t="n">
        <v>0.0227437158354342</v>
      </c>
    </row>
    <row r="2477" customFormat="false" ht="12.75" hidden="false" customHeight="true" outlineLevel="0" collapsed="false">
      <c r="P2477" s="1" t="n">
        <v>2474</v>
      </c>
      <c r="Q2477" s="147" t="n">
        <v>55672.296803409</v>
      </c>
      <c r="R2477" s="147" t="n">
        <v>0.270215444582004</v>
      </c>
      <c r="S2477" s="147" t="n">
        <v>0.0731284591253152</v>
      </c>
      <c r="T2477" s="147" t="n">
        <v>0.0230009527118961</v>
      </c>
    </row>
    <row r="2478" customFormat="false" ht="12.75" hidden="false" customHeight="true" outlineLevel="0" collapsed="false">
      <c r="P2478" s="1" t="n">
        <v>2475</v>
      </c>
      <c r="Q2478" s="147" t="n">
        <v>55694.749147179</v>
      </c>
      <c r="R2478" s="147" t="n">
        <v>0.270232302498322</v>
      </c>
      <c r="S2478" s="147" t="n">
        <v>0.0730354630494653</v>
      </c>
      <c r="T2478" s="147" t="n">
        <v>0.0229996943759185</v>
      </c>
    </row>
    <row r="2479" customFormat="false" ht="12.75" hidden="false" customHeight="true" outlineLevel="0" collapsed="false">
      <c r="P2479" s="1" t="n">
        <v>2476</v>
      </c>
      <c r="Q2479" s="147" t="n">
        <v>55717.488503908</v>
      </c>
      <c r="R2479" s="147" t="n">
        <v>0.270450462751384</v>
      </c>
      <c r="S2479" s="147" t="n">
        <v>0.0738732297539775</v>
      </c>
      <c r="T2479" s="147" t="n">
        <v>0.0228393602823378</v>
      </c>
    </row>
    <row r="2480" customFormat="false" ht="12.75" hidden="false" customHeight="true" outlineLevel="0" collapsed="false">
      <c r="P2480" s="1" t="n">
        <v>2477</v>
      </c>
      <c r="Q2480" s="147" t="n">
        <v>55740.375546073</v>
      </c>
      <c r="R2480" s="147" t="n">
        <v>0.271185616484393</v>
      </c>
      <c r="S2480" s="147" t="n">
        <v>0.0772058581603823</v>
      </c>
      <c r="T2480" s="147" t="n">
        <v>0.0223518196315241</v>
      </c>
    </row>
    <row r="2481" customFormat="false" ht="12.75" hidden="false" customHeight="true" outlineLevel="0" collapsed="false">
      <c r="P2481" s="1" t="n">
        <v>2478</v>
      </c>
      <c r="Q2481" s="147" t="n">
        <v>55763.110842949</v>
      </c>
      <c r="R2481" s="147" t="n">
        <v>0.272024607345635</v>
      </c>
      <c r="S2481" s="147" t="n">
        <v>0.0798097639685863</v>
      </c>
      <c r="T2481" s="147" t="n">
        <v>0.0225445503069193</v>
      </c>
    </row>
    <row r="2482" customFormat="false" ht="12.75" hidden="false" customHeight="true" outlineLevel="0" collapsed="false">
      <c r="P2482" s="1" t="n">
        <v>2479</v>
      </c>
      <c r="Q2482" s="147" t="n">
        <v>55785.689919153</v>
      </c>
      <c r="R2482" s="147" t="n">
        <v>0.273586990960413</v>
      </c>
      <c r="S2482" s="147" t="n">
        <v>0.0803768088709723</v>
      </c>
      <c r="T2482" s="147" t="n">
        <v>0.0226017385627626</v>
      </c>
    </row>
    <row r="2483" customFormat="false" ht="12.75" hidden="false" customHeight="true" outlineLevel="0" collapsed="false">
      <c r="P2483" s="1" t="n">
        <v>2480</v>
      </c>
      <c r="Q2483" s="147" t="n">
        <v>55808.534009201</v>
      </c>
      <c r="R2483" s="147" t="n">
        <v>0.275213461298901</v>
      </c>
      <c r="S2483" s="147" t="n">
        <v>0.0793619792499732</v>
      </c>
      <c r="T2483" s="147" t="n">
        <v>0.0226427952183186</v>
      </c>
    </row>
    <row r="2484" customFormat="false" ht="12.75" hidden="false" customHeight="true" outlineLevel="0" collapsed="false">
      <c r="P2484" s="1" t="n">
        <v>2481</v>
      </c>
      <c r="Q2484" s="147" t="n">
        <v>55831.166631149</v>
      </c>
      <c r="R2484" s="147" t="n">
        <v>0.277079089444232</v>
      </c>
      <c r="S2484" s="147" t="n">
        <v>0.0758645475046974</v>
      </c>
      <c r="T2484" s="147" t="n">
        <v>0.0225786104133726</v>
      </c>
    </row>
    <row r="2485" customFormat="false" ht="12.75" hidden="false" customHeight="true" outlineLevel="0" collapsed="false">
      <c r="P2485" s="1" t="n">
        <v>2482</v>
      </c>
      <c r="Q2485" s="147" t="n">
        <v>55854.076214784</v>
      </c>
      <c r="R2485" s="147" t="n">
        <v>0.278803038245938</v>
      </c>
      <c r="S2485" s="147" t="n">
        <v>0.0711173380342966</v>
      </c>
      <c r="T2485" s="147" t="n">
        <v>0.0228483725297954</v>
      </c>
    </row>
    <row r="2486" customFormat="false" ht="12.75" hidden="false" customHeight="true" outlineLevel="0" collapsed="false">
      <c r="P2486" s="1" t="n">
        <v>2483</v>
      </c>
      <c r="Q2486" s="147" t="n">
        <v>55876.525813308</v>
      </c>
      <c r="R2486" s="147" t="n">
        <v>0.280229542525822</v>
      </c>
      <c r="S2486" s="147" t="n">
        <v>0.0665320869331825</v>
      </c>
      <c r="T2486" s="147" t="n">
        <v>0.0233617380851809</v>
      </c>
    </row>
    <row r="2487" customFormat="false" ht="12.75" hidden="false" customHeight="true" outlineLevel="0" collapsed="false">
      <c r="P2487" s="1" t="n">
        <v>2484</v>
      </c>
      <c r="Q2487" s="147" t="n">
        <v>55898.503553289</v>
      </c>
      <c r="R2487" s="147" t="n">
        <v>0.281172342422798</v>
      </c>
      <c r="S2487" s="147" t="n">
        <v>0.0642576392947992</v>
      </c>
      <c r="T2487" s="147" t="n">
        <v>0.0245364410344881</v>
      </c>
    </row>
    <row r="2488" customFormat="false" ht="12.75" hidden="false" customHeight="true" outlineLevel="0" collapsed="false">
      <c r="P2488" s="1" t="n">
        <v>2485</v>
      </c>
      <c r="Q2488" s="147" t="n">
        <v>55921.358338454</v>
      </c>
      <c r="R2488" s="147" t="n">
        <v>0.280736958465269</v>
      </c>
      <c r="S2488" s="147" t="n">
        <v>0.0626880315405365</v>
      </c>
      <c r="T2488" s="147" t="n">
        <v>0.024635430442091</v>
      </c>
    </row>
    <row r="2489" customFormat="false" ht="12.75" hidden="false" customHeight="true" outlineLevel="0" collapsed="false">
      <c r="P2489" s="1" t="n">
        <v>2486</v>
      </c>
      <c r="Q2489" s="147" t="n">
        <v>55943.693496839</v>
      </c>
      <c r="R2489" s="147" t="n">
        <v>0.280926911152897</v>
      </c>
      <c r="S2489" s="147" t="n">
        <v>0.0643125832020998</v>
      </c>
      <c r="T2489" s="147" t="n">
        <v>0.0265404651653997</v>
      </c>
    </row>
    <row r="2490" customFormat="false" ht="12.75" hidden="false" customHeight="true" outlineLevel="0" collapsed="false">
      <c r="P2490" s="1" t="n">
        <v>2487</v>
      </c>
      <c r="Q2490" s="147" t="n">
        <v>55966.701640457</v>
      </c>
      <c r="R2490" s="147" t="n">
        <v>0.278921830907336</v>
      </c>
      <c r="S2490" s="147" t="n">
        <v>0.0698703613013798</v>
      </c>
      <c r="T2490" s="147" t="n">
        <v>0.0280844967563672</v>
      </c>
    </row>
    <row r="2491" customFormat="false" ht="12.75" hidden="false" customHeight="true" outlineLevel="0" collapsed="false">
      <c r="P2491" s="1" t="n">
        <v>2488</v>
      </c>
      <c r="Q2491" s="147" t="n">
        <v>55989.642147487</v>
      </c>
      <c r="R2491" s="147" t="n">
        <v>0.277708359039077</v>
      </c>
      <c r="S2491" s="147" t="n">
        <v>0.0769037058701143</v>
      </c>
      <c r="T2491" s="147" t="n">
        <v>0.0304766826594937</v>
      </c>
    </row>
    <row r="2492" customFormat="false" ht="12.75" hidden="false" customHeight="true" outlineLevel="0" collapsed="false">
      <c r="P2492" s="1" t="n">
        <v>2489</v>
      </c>
      <c r="Q2492" s="147" t="n">
        <v>56012.29853382</v>
      </c>
      <c r="R2492" s="147" t="n">
        <v>0.275438558011142</v>
      </c>
      <c r="S2492" s="147" t="n">
        <v>0.0846915600570037</v>
      </c>
      <c r="T2492" s="147" t="n">
        <v>0.0328153769262867</v>
      </c>
    </row>
    <row r="2493" customFormat="false" ht="12.75" hidden="false" customHeight="true" outlineLevel="0" collapsed="false">
      <c r="P2493" s="1" t="n">
        <v>2490</v>
      </c>
      <c r="Q2493" s="147" t="n">
        <v>56034.665421988</v>
      </c>
      <c r="R2493" s="147" t="n">
        <v>0.273129919762054</v>
      </c>
      <c r="S2493" s="147" t="n">
        <v>0.0905317019589345</v>
      </c>
      <c r="T2493" s="147" t="n">
        <v>0.0349933355984063</v>
      </c>
    </row>
    <row r="2494" customFormat="false" ht="12.75" hidden="false" customHeight="true" outlineLevel="0" collapsed="false">
      <c r="P2494" s="1" t="n">
        <v>2491</v>
      </c>
      <c r="Q2494" s="147" t="n">
        <v>56057.059385266</v>
      </c>
      <c r="R2494" s="147" t="n">
        <v>0.270519212389922</v>
      </c>
      <c r="S2494" s="147" t="n">
        <v>0.0934497501457379</v>
      </c>
      <c r="T2494" s="147" t="n">
        <v>0.0367236672290905</v>
      </c>
    </row>
    <row r="2495" customFormat="false" ht="12.75" hidden="false" customHeight="true" outlineLevel="0" collapsed="false">
      <c r="P2495" s="1" t="n">
        <v>2492</v>
      </c>
      <c r="Q2495" s="147" t="n">
        <v>56079.221493676</v>
      </c>
      <c r="R2495" s="147" t="n">
        <v>0.268366707597134</v>
      </c>
      <c r="S2495" s="147" t="n">
        <v>0.0943977922682905</v>
      </c>
      <c r="T2495" s="147" t="n">
        <v>0.0377190705105466</v>
      </c>
    </row>
    <row r="2496" customFormat="false" ht="12.75" hidden="false" customHeight="true" outlineLevel="0" collapsed="false">
      <c r="P2496" s="1" t="n">
        <v>2493</v>
      </c>
      <c r="Q2496" s="147" t="n">
        <v>56101.3531755</v>
      </c>
      <c r="R2496" s="147" t="n">
        <v>0.266435148264762</v>
      </c>
      <c r="S2496" s="147" t="n">
        <v>0.0928354230022256</v>
      </c>
      <c r="T2496" s="147" t="n">
        <v>0.0383988356303511</v>
      </c>
    </row>
    <row r="2497" customFormat="false" ht="12.75" hidden="false" customHeight="true" outlineLevel="0" collapsed="false">
      <c r="P2497" s="1" t="n">
        <v>2494</v>
      </c>
      <c r="Q2497" s="147" t="n">
        <v>56124.047862909</v>
      </c>
      <c r="R2497" s="147" t="n">
        <v>0.265399507326003</v>
      </c>
      <c r="S2497" s="147" t="n">
        <v>0.0889706046565066</v>
      </c>
      <c r="T2497" s="147" t="n">
        <v>0.038774343394379</v>
      </c>
    </row>
    <row r="2498" customFormat="false" ht="12.75" hidden="false" customHeight="true" outlineLevel="0" collapsed="false">
      <c r="P2498" s="1" t="n">
        <v>2495</v>
      </c>
      <c r="Q2498" s="147" t="n">
        <v>56146.805864993</v>
      </c>
      <c r="R2498" s="147" t="n">
        <v>0.265648529038176</v>
      </c>
      <c r="S2498" s="147" t="n">
        <v>0.0833261257203555</v>
      </c>
      <c r="T2498" s="147" t="n">
        <v>0.0387466857317285</v>
      </c>
    </row>
    <row r="2499" customFormat="false" ht="12.75" hidden="false" customHeight="true" outlineLevel="0" collapsed="false">
      <c r="P2499" s="1" t="n">
        <v>2496</v>
      </c>
      <c r="Q2499" s="147" t="n">
        <v>56169.157613461</v>
      </c>
      <c r="R2499" s="147" t="n">
        <v>0.266235192949642</v>
      </c>
      <c r="S2499" s="147" t="n">
        <v>0.0779176203870506</v>
      </c>
      <c r="T2499" s="147" t="n">
        <v>0.0378603214134023</v>
      </c>
    </row>
    <row r="2500" customFormat="false" ht="12.75" hidden="false" customHeight="true" outlineLevel="0" collapsed="false">
      <c r="P2500" s="1" t="n">
        <v>2497</v>
      </c>
      <c r="Q2500" s="147" t="n">
        <v>56191.678929307</v>
      </c>
      <c r="R2500" s="147" t="n">
        <v>0.267617479261733</v>
      </c>
      <c r="S2500" s="147" t="n">
        <v>0.0716704580918645</v>
      </c>
      <c r="T2500" s="147" t="n">
        <v>0.03671342709766</v>
      </c>
    </row>
    <row r="2501" customFormat="false" ht="12.75" hidden="false" customHeight="true" outlineLevel="0" collapsed="false">
      <c r="P2501" s="1" t="n">
        <v>2498</v>
      </c>
      <c r="Q2501" s="147" t="n">
        <v>56214.247889262</v>
      </c>
      <c r="R2501" s="147" t="n">
        <v>0.268972281441152</v>
      </c>
      <c r="S2501" s="147" t="n">
        <v>0.0660739573184625</v>
      </c>
      <c r="T2501" s="147" t="n">
        <v>0.0358295012673069</v>
      </c>
    </row>
    <row r="2502" customFormat="false" ht="12.75" hidden="false" customHeight="true" outlineLevel="0" collapsed="false">
      <c r="P2502" s="1" t="n">
        <v>2499</v>
      </c>
      <c r="Q2502" s="147" t="n">
        <v>56236.677869026</v>
      </c>
      <c r="R2502" s="147" t="n">
        <v>0.270383184060777</v>
      </c>
      <c r="S2502" s="147" t="n">
        <v>0.0626139947026562</v>
      </c>
      <c r="T2502" s="147" t="n">
        <v>0.0346084366982109</v>
      </c>
    </row>
    <row r="2503" customFormat="false" ht="12.75" hidden="false" customHeight="true" outlineLevel="0" collapsed="false">
      <c r="P2503" s="1" t="n">
        <v>2500</v>
      </c>
      <c r="Q2503" s="147" t="n">
        <v>56258.959199178</v>
      </c>
      <c r="R2503" s="147" t="n">
        <v>0.271830100917573</v>
      </c>
      <c r="S2503" s="147" t="n">
        <v>0.0611875372027084</v>
      </c>
      <c r="T2503" s="147" t="n">
        <v>0.0337081361332056</v>
      </c>
    </row>
    <row r="2504" customFormat="false" ht="12.75" hidden="false" customHeight="true" outlineLevel="0" collapsed="false">
      <c r="P2504" s="1" t="n">
        <v>2501</v>
      </c>
      <c r="Q2504" s="147" t="n">
        <v>56280.965365246</v>
      </c>
      <c r="R2504" s="147" t="n">
        <v>0.272885209822787</v>
      </c>
      <c r="S2504" s="147" t="n">
        <v>0.0619655288900893</v>
      </c>
      <c r="T2504" s="147" t="n">
        <v>0.0331817638203209</v>
      </c>
    </row>
    <row r="2505" customFormat="false" ht="12.75" hidden="false" customHeight="true" outlineLevel="0" collapsed="false">
      <c r="P2505" s="1" t="n">
        <v>2502</v>
      </c>
      <c r="Q2505" s="147" t="n">
        <v>56303.877892989</v>
      </c>
      <c r="R2505" s="147" t="n">
        <v>0.273285971519985</v>
      </c>
      <c r="S2505" s="147" t="n">
        <v>0.0676774419447536</v>
      </c>
      <c r="T2505" s="147" t="n">
        <v>0.0339214814445515</v>
      </c>
    </row>
    <row r="2506" customFormat="false" ht="12.75" hidden="false" customHeight="true" outlineLevel="0" collapsed="false">
      <c r="P2506" s="1" t="n">
        <v>2503</v>
      </c>
      <c r="Q2506" s="147" t="n">
        <v>56326.332679843</v>
      </c>
      <c r="R2506" s="147" t="n">
        <v>0.273883493298946</v>
      </c>
      <c r="S2506" s="147" t="n">
        <v>0.0721033753514996</v>
      </c>
      <c r="T2506" s="147" t="n">
        <v>0.033939209641445</v>
      </c>
    </row>
    <row r="2507" customFormat="false" ht="12.75" hidden="false" customHeight="true" outlineLevel="0" collapsed="false">
      <c r="P2507" s="1" t="n">
        <v>2504</v>
      </c>
      <c r="Q2507" s="147" t="n">
        <v>56349.324327487</v>
      </c>
      <c r="R2507" s="147" t="n">
        <v>0.274118411376541</v>
      </c>
      <c r="S2507" s="147" t="n">
        <v>0.0803269944875387</v>
      </c>
      <c r="T2507" s="147" t="n">
        <v>0.0349744861379589</v>
      </c>
    </row>
    <row r="2508" customFormat="false" ht="12.75" hidden="false" customHeight="true" outlineLevel="0" collapsed="false">
      <c r="P2508" s="1" t="n">
        <v>2505</v>
      </c>
      <c r="Q2508" s="147" t="n">
        <v>56371.838571922</v>
      </c>
      <c r="R2508" s="147" t="n">
        <v>0.274670548125895</v>
      </c>
      <c r="S2508" s="147" t="n">
        <v>0.0870392832180286</v>
      </c>
      <c r="T2508" s="147" t="n">
        <v>0.0365056063056113</v>
      </c>
    </row>
    <row r="2509" customFormat="false" ht="12.75" hidden="false" customHeight="true" outlineLevel="0" collapsed="false">
      <c r="P2509" s="1" t="n">
        <v>2506</v>
      </c>
      <c r="Q2509" s="147" t="n">
        <v>56394.189031626</v>
      </c>
      <c r="R2509" s="147" t="n">
        <v>0.27453569538894</v>
      </c>
      <c r="S2509" s="147" t="n">
        <v>0.0939244252678076</v>
      </c>
      <c r="T2509" s="147" t="n">
        <v>0.0382114447764498</v>
      </c>
    </row>
    <row r="2510" customFormat="false" ht="12.75" hidden="false" customHeight="true" outlineLevel="0" collapsed="false">
      <c r="P2510" s="1" t="n">
        <v>2507</v>
      </c>
      <c r="Q2510" s="147" t="n">
        <v>56416.354777382</v>
      </c>
      <c r="R2510" s="147" t="n">
        <v>0.274118452214499</v>
      </c>
      <c r="S2510" s="147" t="n">
        <v>0.0990379546633863</v>
      </c>
      <c r="T2510" s="147" t="n">
        <v>0.0399349793491888</v>
      </c>
    </row>
    <row r="2511" customFormat="false" ht="12.75" hidden="false" customHeight="true" outlineLevel="0" collapsed="false">
      <c r="P2511" s="1" t="n">
        <v>2508</v>
      </c>
      <c r="Q2511" s="147" t="n">
        <v>56438.823299871</v>
      </c>
      <c r="R2511" s="147" t="n">
        <v>0.273246349742442</v>
      </c>
      <c r="S2511" s="147" t="n">
        <v>0.102714630093069</v>
      </c>
      <c r="T2511" s="147" t="n">
        <v>0.04106486027501</v>
      </c>
    </row>
    <row r="2512" customFormat="false" ht="12.75" hidden="false" customHeight="true" outlineLevel="0" collapsed="false">
      <c r="P2512" s="1" t="n">
        <v>2509</v>
      </c>
      <c r="Q2512" s="147" t="n">
        <v>56460.554755705</v>
      </c>
      <c r="R2512" s="147" t="n">
        <v>0.272431082219214</v>
      </c>
      <c r="S2512" s="147" t="n">
        <v>0.105170843932627</v>
      </c>
      <c r="T2512" s="147" t="n">
        <v>0.0419061292470312</v>
      </c>
    </row>
    <row r="2513" customFormat="false" ht="12.75" hidden="false" customHeight="true" outlineLevel="0" collapsed="false">
      <c r="P2513" s="1" t="n">
        <v>2510</v>
      </c>
      <c r="Q2513" s="147" t="n">
        <v>56482.632124537</v>
      </c>
      <c r="R2513" s="147" t="n">
        <v>0.271393536681709</v>
      </c>
      <c r="S2513" s="147" t="n">
        <v>0.105594193578842</v>
      </c>
      <c r="T2513" s="147" t="n">
        <v>0.0413815018076107</v>
      </c>
    </row>
    <row r="2514" customFormat="false" ht="12.75" hidden="false" customHeight="true" outlineLevel="0" collapsed="false">
      <c r="P2514" s="1" t="n">
        <v>2511</v>
      </c>
      <c r="Q2514" s="147" t="n">
        <v>56504.775128505</v>
      </c>
      <c r="R2514" s="147" t="n">
        <v>0.270465987208066</v>
      </c>
      <c r="S2514" s="147" t="n">
        <v>0.106101495894366</v>
      </c>
      <c r="T2514" s="147" t="n">
        <v>0.0409945816402465</v>
      </c>
    </row>
    <row r="2515" customFormat="false" ht="12.75" hidden="false" customHeight="true" outlineLevel="0" collapsed="false">
      <c r="P2515" s="1" t="n">
        <v>2512</v>
      </c>
      <c r="Q2515" s="147" t="n">
        <v>56526.898091502</v>
      </c>
      <c r="R2515" s="147" t="n">
        <v>0.269974695409904</v>
      </c>
      <c r="S2515" s="147" t="n">
        <v>0.106157940535043</v>
      </c>
      <c r="T2515" s="147" t="n">
        <v>0.0397135284694005</v>
      </c>
    </row>
    <row r="2516" customFormat="false" ht="12.75" hidden="false" customHeight="true" outlineLevel="0" collapsed="false">
      <c r="P2516" s="1" t="n">
        <v>2513</v>
      </c>
      <c r="Q2516" s="147" t="n">
        <v>56549.593311099</v>
      </c>
      <c r="R2516" s="147" t="n">
        <v>0.270011501299906</v>
      </c>
      <c r="S2516" s="147" t="n">
        <v>0.106905632587745</v>
      </c>
      <c r="T2516" s="147" t="n">
        <v>0.0387205068725938</v>
      </c>
    </row>
    <row r="2517" customFormat="false" ht="12.75" hidden="false" customHeight="true" outlineLevel="0" collapsed="false">
      <c r="P2517" s="1" t="n">
        <v>2514</v>
      </c>
      <c r="Q2517" s="147" t="n">
        <v>56571.990704794</v>
      </c>
      <c r="R2517" s="147" t="n">
        <v>0.270087611166833</v>
      </c>
      <c r="S2517" s="147" t="n">
        <v>0.107733033745976</v>
      </c>
      <c r="T2517" s="147" t="n">
        <v>0.037705445050889</v>
      </c>
    </row>
    <row r="2518" customFormat="false" ht="12.75" hidden="false" customHeight="true" outlineLevel="0" collapsed="false">
      <c r="P2518" s="1" t="n">
        <v>2515</v>
      </c>
      <c r="Q2518" s="147" t="n">
        <v>56594.492544179</v>
      </c>
      <c r="R2518" s="147" t="n">
        <v>0.270604242127902</v>
      </c>
      <c r="S2518" s="147" t="n">
        <v>0.108398608054864</v>
      </c>
      <c r="T2518" s="147" t="n">
        <v>0.0365936005937791</v>
      </c>
    </row>
    <row r="2519" customFormat="false" ht="12.75" hidden="false" customHeight="true" outlineLevel="0" collapsed="false">
      <c r="P2519" s="1" t="n">
        <v>2516</v>
      </c>
      <c r="Q2519" s="147" t="n">
        <v>56616.938985636</v>
      </c>
      <c r="R2519" s="147" t="n">
        <v>0.271514182998111</v>
      </c>
      <c r="S2519" s="147" t="n">
        <v>0.109157447708321</v>
      </c>
      <c r="T2519" s="147" t="n">
        <v>0.0356753106036158</v>
      </c>
    </row>
    <row r="2520" customFormat="false" ht="12.75" hidden="false" customHeight="true" outlineLevel="0" collapsed="false">
      <c r="P2520" s="1" t="n">
        <v>2517</v>
      </c>
      <c r="Q2520" s="147" t="n">
        <v>56639.258826193</v>
      </c>
      <c r="R2520" s="147" t="n">
        <v>0.27243574243115</v>
      </c>
      <c r="S2520" s="147" t="n">
        <v>0.109700926863936</v>
      </c>
      <c r="T2520" s="147" t="n">
        <v>0.0348509861852427</v>
      </c>
    </row>
    <row r="2521" customFormat="false" ht="12.75" hidden="false" customHeight="true" outlineLevel="0" collapsed="false">
      <c r="P2521" s="1" t="n">
        <v>2518</v>
      </c>
      <c r="Q2521" s="147" t="n">
        <v>56661.54867365</v>
      </c>
      <c r="R2521" s="147" t="n">
        <v>0.272944168257557</v>
      </c>
      <c r="S2521" s="147" t="n">
        <v>0.109097719761826</v>
      </c>
      <c r="T2521" s="147" t="n">
        <v>0.0338920329538769</v>
      </c>
    </row>
    <row r="2522" customFormat="false" ht="12.75" hidden="false" customHeight="true" outlineLevel="0" collapsed="false">
      <c r="P2522" s="1" t="n">
        <v>2519</v>
      </c>
      <c r="Q2522" s="147" t="n">
        <v>56683.764807734</v>
      </c>
      <c r="R2522" s="147" t="n">
        <v>0.273059984449498</v>
      </c>
      <c r="S2522" s="147" t="n">
        <v>0.107735116776602</v>
      </c>
      <c r="T2522" s="147" t="n">
        <v>0.0330464943394029</v>
      </c>
    </row>
    <row r="2523" customFormat="false" ht="12.75" hidden="false" customHeight="true" outlineLevel="0" collapsed="false">
      <c r="P2523" s="1" t="n">
        <v>2520</v>
      </c>
      <c r="Q2523" s="147" t="n">
        <v>56706.132545838</v>
      </c>
      <c r="R2523" s="147" t="n">
        <v>0.272751833764715</v>
      </c>
      <c r="S2523" s="147" t="n">
        <v>0.105957595042504</v>
      </c>
      <c r="T2523" s="147" t="n">
        <v>0.0320670063417908</v>
      </c>
    </row>
    <row r="2524" customFormat="false" ht="12.75" hidden="false" customHeight="true" outlineLevel="0" collapsed="false">
      <c r="P2524" s="1" t="n">
        <v>2521</v>
      </c>
      <c r="Q2524" s="147" t="n">
        <v>56728.682720701</v>
      </c>
      <c r="R2524" s="147" t="n">
        <v>0.271888460103671</v>
      </c>
      <c r="S2524" s="147" t="n">
        <v>0.103816583764704</v>
      </c>
      <c r="T2524" s="147" t="n">
        <v>0.0309660896880539</v>
      </c>
    </row>
    <row r="2525" customFormat="false" ht="12.75" hidden="false" customHeight="true" outlineLevel="0" collapsed="false">
      <c r="P2525" s="1" t="n">
        <v>2522</v>
      </c>
      <c r="Q2525" s="147" t="n">
        <v>56751.35727621</v>
      </c>
      <c r="R2525" s="147" t="n">
        <v>0.270676005072365</v>
      </c>
      <c r="S2525" s="147" t="n">
        <v>0.102770237809676</v>
      </c>
      <c r="T2525" s="147" t="n">
        <v>0.0298556715108903</v>
      </c>
    </row>
    <row r="2526" customFormat="false" ht="12.75" hidden="false" customHeight="true" outlineLevel="0" collapsed="false">
      <c r="P2526" s="1" t="n">
        <v>2523</v>
      </c>
      <c r="Q2526" s="147" t="n">
        <v>56774.367659065</v>
      </c>
      <c r="R2526" s="147" t="n">
        <v>0.269192819946512</v>
      </c>
      <c r="S2526" s="147" t="n">
        <v>0.103451504439662</v>
      </c>
      <c r="T2526" s="147" t="n">
        <v>0.028861896025558</v>
      </c>
    </row>
    <row r="2527" customFormat="false" ht="12.75" hidden="false" customHeight="true" outlineLevel="0" collapsed="false">
      <c r="P2527" s="1" t="n">
        <v>2524</v>
      </c>
      <c r="Q2527" s="147" t="n">
        <v>56796.952395541</v>
      </c>
      <c r="R2527" s="147" t="n">
        <v>0.267481613158324</v>
      </c>
      <c r="S2527" s="147" t="n">
        <v>0.105288297716496</v>
      </c>
      <c r="T2527" s="147" t="n">
        <v>0.0281895838540296</v>
      </c>
    </row>
    <row r="2528" customFormat="false" ht="12.75" hidden="false" customHeight="true" outlineLevel="0" collapsed="false">
      <c r="P2528" s="1" t="n">
        <v>2525</v>
      </c>
      <c r="Q2528" s="147" t="n">
        <v>56819.704479787</v>
      </c>
      <c r="R2528" s="147" t="n">
        <v>0.265841078360394</v>
      </c>
      <c r="S2528" s="147" t="n">
        <v>0.106798357587949</v>
      </c>
      <c r="T2528" s="147" t="n">
        <v>0.0281012657677037</v>
      </c>
    </row>
    <row r="2529" customFormat="false" ht="12.75" hidden="false" customHeight="true" outlineLevel="0" collapsed="false">
      <c r="P2529" s="1" t="n">
        <v>2526</v>
      </c>
      <c r="Q2529" s="147" t="n">
        <v>56842.40550737</v>
      </c>
      <c r="R2529" s="147" t="n">
        <v>0.264206529579291</v>
      </c>
      <c r="S2529" s="147" t="n">
        <v>0.106610641173821</v>
      </c>
      <c r="T2529" s="147" t="n">
        <v>0.0284483963928328</v>
      </c>
    </row>
    <row r="2530" customFormat="false" ht="12.75" hidden="false" customHeight="true" outlineLevel="0" collapsed="false">
      <c r="P2530" s="1" t="n">
        <v>2527</v>
      </c>
      <c r="Q2530" s="147" t="n">
        <v>56864.92288563</v>
      </c>
      <c r="R2530" s="147" t="n">
        <v>0.263151344029734</v>
      </c>
      <c r="S2530" s="147" t="n">
        <v>0.103874351091152</v>
      </c>
      <c r="T2530" s="147" t="n">
        <v>0.028914472822382</v>
      </c>
    </row>
    <row r="2531" customFormat="false" ht="12.75" hidden="false" customHeight="true" outlineLevel="0" collapsed="false">
      <c r="P2531" s="1" t="n">
        <v>2528</v>
      </c>
      <c r="Q2531" s="147" t="n">
        <v>56887.33961307</v>
      </c>
      <c r="R2531" s="147" t="n">
        <v>0.262934849045358</v>
      </c>
      <c r="S2531" s="147" t="n">
        <v>0.0992005364551764</v>
      </c>
      <c r="T2531" s="147" t="n">
        <v>0.0292272595951817</v>
      </c>
    </row>
    <row r="2532" customFormat="false" ht="12.75" hidden="false" customHeight="true" outlineLevel="0" collapsed="false">
      <c r="P2532" s="1" t="n">
        <v>2529</v>
      </c>
      <c r="Q2532" s="147" t="n">
        <v>56909.879436548</v>
      </c>
      <c r="R2532" s="147" t="n">
        <v>0.263840849417984</v>
      </c>
      <c r="S2532" s="147" t="n">
        <v>0.0924744747797415</v>
      </c>
      <c r="T2532" s="147" t="n">
        <v>0.0294482209426401</v>
      </c>
    </row>
    <row r="2533" customFormat="false" ht="12.75" hidden="false" customHeight="true" outlineLevel="0" collapsed="false">
      <c r="P2533" s="1" t="n">
        <v>2530</v>
      </c>
      <c r="Q2533" s="147" t="n">
        <v>56932.437272303</v>
      </c>
      <c r="R2533" s="147" t="n">
        <v>0.265647205757646</v>
      </c>
      <c r="S2533" s="147" t="n">
        <v>0.0848956762407931</v>
      </c>
      <c r="T2533" s="147" t="n">
        <v>0.0294599887730151</v>
      </c>
    </row>
    <row r="2534" customFormat="false" ht="12.75" hidden="false" customHeight="true" outlineLevel="0" collapsed="false">
      <c r="P2534" s="1" t="n">
        <v>2531</v>
      </c>
      <c r="Q2534" s="147" t="n">
        <v>56955.034484297</v>
      </c>
      <c r="R2534" s="147" t="n">
        <v>0.267692090705033</v>
      </c>
      <c r="S2534" s="147" t="n">
        <v>0.0777607883522743</v>
      </c>
      <c r="T2534" s="147" t="n">
        <v>0.0293333565551757</v>
      </c>
    </row>
    <row r="2535" customFormat="false" ht="12.75" hidden="false" customHeight="true" outlineLevel="0" collapsed="false">
      <c r="P2535" s="1" t="n">
        <v>2532</v>
      </c>
      <c r="Q2535" s="147" t="n">
        <v>56977.282165105</v>
      </c>
      <c r="R2535" s="147" t="n">
        <v>0.269943176235159</v>
      </c>
      <c r="S2535" s="147" t="n">
        <v>0.0719346608499423</v>
      </c>
      <c r="T2535" s="147" t="n">
        <v>0.0291267045744262</v>
      </c>
    </row>
    <row r="2536" customFormat="false" ht="12.75" hidden="false" customHeight="true" outlineLevel="0" collapsed="false">
      <c r="P2536" s="1" t="n">
        <v>2533</v>
      </c>
      <c r="Q2536" s="147" t="n">
        <v>56999.965302031</v>
      </c>
      <c r="R2536" s="147" t="n">
        <v>0.272115850641357</v>
      </c>
      <c r="S2536" s="147" t="n">
        <v>0.067573197746927</v>
      </c>
      <c r="T2536" s="147" t="n">
        <v>0.0287582729155569</v>
      </c>
    </row>
    <row r="2537" customFormat="false" ht="12.75" hidden="false" customHeight="true" outlineLevel="0" collapsed="false">
      <c r="P2537" s="1" t="n">
        <v>2534</v>
      </c>
      <c r="Q2537" s="147" t="n">
        <v>57022.316839665</v>
      </c>
      <c r="R2537" s="147" t="n">
        <v>0.273843523625823</v>
      </c>
      <c r="S2537" s="147" t="n">
        <v>0.0646041737239879</v>
      </c>
      <c r="T2537" s="147" t="n">
        <v>0.028290398593701</v>
      </c>
    </row>
    <row r="2538" customFormat="false" ht="12.75" hidden="false" customHeight="true" outlineLevel="0" collapsed="false">
      <c r="P2538" s="1" t="n">
        <v>2535</v>
      </c>
      <c r="Q2538" s="147" t="n">
        <v>57044.683861437</v>
      </c>
      <c r="R2538" s="147" t="n">
        <v>0.275118734331561</v>
      </c>
      <c r="S2538" s="147" t="n">
        <v>0.0639054423114572</v>
      </c>
      <c r="T2538" s="147" t="n">
        <v>0.0279858295558209</v>
      </c>
    </row>
    <row r="2539" customFormat="false" ht="12.75" hidden="false" customHeight="true" outlineLevel="0" collapsed="false">
      <c r="P2539" s="1" t="n">
        <v>2536</v>
      </c>
      <c r="Q2539" s="147" t="n">
        <v>57067.324233187</v>
      </c>
      <c r="R2539" s="147" t="n">
        <v>0.275848983873664</v>
      </c>
      <c r="S2539" s="147" t="n">
        <v>0.0650961959771864</v>
      </c>
      <c r="T2539" s="147" t="n">
        <v>0.0276403232967531</v>
      </c>
    </row>
    <row r="2540" customFormat="false" ht="12.75" hidden="false" customHeight="true" outlineLevel="0" collapsed="false">
      <c r="P2540" s="1" t="n">
        <v>2537</v>
      </c>
      <c r="Q2540" s="147" t="n">
        <v>57089.640129697</v>
      </c>
      <c r="R2540" s="147" t="n">
        <v>0.276055593527082</v>
      </c>
      <c r="S2540" s="147" t="n">
        <v>0.0676850280200271</v>
      </c>
      <c r="T2540" s="147" t="n">
        <v>0.0272001923198777</v>
      </c>
    </row>
    <row r="2541" customFormat="false" ht="12.75" hidden="false" customHeight="true" outlineLevel="0" collapsed="false">
      <c r="P2541" s="1" t="n">
        <v>2538</v>
      </c>
      <c r="Q2541" s="147" t="n">
        <v>57112.264740611</v>
      </c>
      <c r="R2541" s="147" t="n">
        <v>0.275758732514327</v>
      </c>
      <c r="S2541" s="147" t="n">
        <v>0.0705129559741384</v>
      </c>
      <c r="T2541" s="147" t="n">
        <v>0.0268433493471262</v>
      </c>
    </row>
    <row r="2542" customFormat="false" ht="12.75" hidden="false" customHeight="true" outlineLevel="0" collapsed="false">
      <c r="P2542" s="1" t="n">
        <v>2539</v>
      </c>
      <c r="Q2542" s="147" t="n">
        <v>57135.104689399</v>
      </c>
      <c r="R2542" s="147" t="n">
        <v>0.274927216250281</v>
      </c>
      <c r="S2542" s="147" t="n">
        <v>0.0733173334539035</v>
      </c>
      <c r="T2542" s="147" t="n">
        <v>0.0269040871589154</v>
      </c>
    </row>
    <row r="2543" customFormat="false" ht="12.75" hidden="false" customHeight="true" outlineLevel="0" collapsed="false">
      <c r="P2543" s="1" t="n">
        <v>2540</v>
      </c>
      <c r="Q2543" s="147" t="n">
        <v>57157.935699643</v>
      </c>
      <c r="R2543" s="147" t="n">
        <v>0.273788604985544</v>
      </c>
      <c r="S2543" s="147" t="n">
        <v>0.076252702301238</v>
      </c>
      <c r="T2543" s="147" t="n">
        <v>0.0270816412770645</v>
      </c>
    </row>
    <row r="2544" customFormat="false" ht="12.75" hidden="false" customHeight="true" outlineLevel="0" collapsed="false">
      <c r="P2544" s="1" t="n">
        <v>2541</v>
      </c>
      <c r="Q2544" s="147" t="n">
        <v>57180.98980015</v>
      </c>
      <c r="R2544" s="147" t="n">
        <v>0.272050945188193</v>
      </c>
      <c r="S2544" s="147" t="n">
        <v>0.0791044255950708</v>
      </c>
      <c r="T2544" s="147" t="n">
        <v>0.0273824950686817</v>
      </c>
    </row>
    <row r="2545" customFormat="false" ht="12.75" hidden="false" customHeight="true" outlineLevel="0" collapsed="false">
      <c r="P2545" s="1" t="n">
        <v>2542</v>
      </c>
      <c r="Q2545" s="147" t="n">
        <v>57203.823576684</v>
      </c>
      <c r="R2545" s="147" t="n">
        <v>0.270294021978402</v>
      </c>
      <c r="S2545" s="147" t="n">
        <v>0.081963068869561</v>
      </c>
      <c r="T2545" s="147" t="n">
        <v>0.0276175960926416</v>
      </c>
    </row>
    <row r="2546" customFormat="false" ht="12.75" hidden="false" customHeight="true" outlineLevel="0" collapsed="false">
      <c r="P2546" s="1" t="n">
        <v>2543</v>
      </c>
      <c r="Q2546" s="147" t="n">
        <v>57226.558441059</v>
      </c>
      <c r="R2546" s="147" t="n">
        <v>0.268514843491648</v>
      </c>
      <c r="S2546" s="147" t="n">
        <v>0.0843893346861325</v>
      </c>
      <c r="T2546" s="147" t="n">
        <v>0.0278144916007885</v>
      </c>
    </row>
    <row r="2547" customFormat="false" ht="12.75" hidden="false" customHeight="true" outlineLevel="0" collapsed="false">
      <c r="P2547" s="1" t="n">
        <v>2544</v>
      </c>
      <c r="Q2547" s="147" t="n">
        <v>57249.165277876</v>
      </c>
      <c r="R2547" s="147" t="n">
        <v>0.267021076627413</v>
      </c>
      <c r="S2547" s="147" t="n">
        <v>0.0859974950576623</v>
      </c>
      <c r="T2547" s="147" t="n">
        <v>0.0281974136124828</v>
      </c>
    </row>
    <row r="2548" customFormat="false" ht="12.75" hidden="false" customHeight="true" outlineLevel="0" collapsed="false">
      <c r="P2548" s="1" t="n">
        <v>2545</v>
      </c>
      <c r="Q2548" s="147" t="n">
        <v>57271.702973803</v>
      </c>
      <c r="R2548" s="147" t="n">
        <v>0.265860266489435</v>
      </c>
      <c r="S2548" s="147" t="n">
        <v>0.0860326822984068</v>
      </c>
      <c r="T2548" s="147" t="n">
        <v>0.0283342501070569</v>
      </c>
    </row>
    <row r="2549" customFormat="false" ht="12.75" hidden="false" customHeight="true" outlineLevel="0" collapsed="false">
      <c r="P2549" s="1" t="n">
        <v>2546</v>
      </c>
      <c r="Q2549" s="147" t="n">
        <v>57294.379035458</v>
      </c>
      <c r="R2549" s="147" t="n">
        <v>0.264954673541525</v>
      </c>
      <c r="S2549" s="147" t="n">
        <v>0.0845573728907952</v>
      </c>
      <c r="T2549" s="147" t="n">
        <v>0.0279976816967855</v>
      </c>
    </row>
    <row r="2550" customFormat="false" ht="12.75" hidden="false" customHeight="true" outlineLevel="0" collapsed="false">
      <c r="P2550" s="1" t="n">
        <v>2547</v>
      </c>
      <c r="Q2550" s="147" t="n">
        <v>57316.648640536</v>
      </c>
      <c r="R2550" s="147" t="n">
        <v>0.264320088894689</v>
      </c>
      <c r="S2550" s="147" t="n">
        <v>0.0815489225305113</v>
      </c>
      <c r="T2550" s="147" t="n">
        <v>0.0270709930675464</v>
      </c>
    </row>
    <row r="2551" customFormat="false" ht="12.75" hidden="false" customHeight="true" outlineLevel="0" collapsed="false">
      <c r="P2551" s="1" t="n">
        <v>2548</v>
      </c>
      <c r="Q2551" s="147" t="n">
        <v>57339.108865539</v>
      </c>
      <c r="R2551" s="147" t="n">
        <v>0.263980051339599</v>
      </c>
      <c r="S2551" s="147" t="n">
        <v>0.0779954585138224</v>
      </c>
      <c r="T2551" s="147" t="n">
        <v>0.0256430104256843</v>
      </c>
    </row>
    <row r="2552" customFormat="false" ht="12.75" hidden="false" customHeight="true" outlineLevel="0" collapsed="false">
      <c r="P2552" s="1" t="n">
        <v>2549</v>
      </c>
      <c r="Q2552" s="147" t="n">
        <v>57361.365993298</v>
      </c>
      <c r="R2552" s="147" t="n">
        <v>0.263907423886536</v>
      </c>
      <c r="S2552" s="147" t="n">
        <v>0.0737472091873863</v>
      </c>
      <c r="T2552" s="147" t="n">
        <v>0.0240086460116246</v>
      </c>
    </row>
    <row r="2553" customFormat="false" ht="12.75" hidden="false" customHeight="true" outlineLevel="0" collapsed="false">
      <c r="P2553" s="1" t="n">
        <v>2550</v>
      </c>
      <c r="Q2553" s="147" t="n">
        <v>57383.7690126521</v>
      </c>
      <c r="R2553" s="147" t="n">
        <v>0.26424916798633</v>
      </c>
      <c r="S2553" s="147" t="n">
        <v>0.0689681679149795</v>
      </c>
      <c r="T2553" s="147" t="n">
        <v>0.0227520696531421</v>
      </c>
    </row>
    <row r="2554" customFormat="false" ht="12.75" hidden="false" customHeight="true" outlineLevel="0" collapsed="false">
      <c r="P2554" s="1" t="n">
        <v>2551</v>
      </c>
      <c r="Q2554" s="147" t="n">
        <v>57406.1329420061</v>
      </c>
      <c r="R2554" s="147" t="n">
        <v>0.264703345938136</v>
      </c>
      <c r="S2554" s="147" t="n">
        <v>0.0633672283998858</v>
      </c>
      <c r="T2554" s="147" t="n">
        <v>0.0218506075140457</v>
      </c>
    </row>
    <row r="2555" customFormat="false" ht="12.75" hidden="false" customHeight="true" outlineLevel="0" collapsed="false">
      <c r="P2555" s="1" t="n">
        <v>2552</v>
      </c>
      <c r="Q2555" s="147" t="n">
        <v>57428.8293978781</v>
      </c>
      <c r="R2555" s="147" t="n">
        <v>0.265429200202926</v>
      </c>
      <c r="S2555" s="147" t="n">
        <v>0.057433452561984</v>
      </c>
      <c r="T2555" s="147" t="n">
        <v>0.0215981685070815</v>
      </c>
    </row>
    <row r="2556" customFormat="false" ht="12.75" hidden="false" customHeight="true" outlineLevel="0" collapsed="false">
      <c r="P2556" s="1" t="n">
        <v>2553</v>
      </c>
      <c r="Q2556" s="147" t="n">
        <v>57451.3525546351</v>
      </c>
      <c r="R2556" s="147" t="n">
        <v>0.265983564282864</v>
      </c>
      <c r="S2556" s="147" t="n">
        <v>0.0530547332773394</v>
      </c>
      <c r="T2556" s="147" t="n">
        <v>0.0210448698503568</v>
      </c>
    </row>
    <row r="2557" customFormat="false" ht="12.75" hidden="false" customHeight="true" outlineLevel="0" collapsed="false">
      <c r="P2557" s="1" t="n">
        <v>2554</v>
      </c>
      <c r="Q2557" s="147" t="n">
        <v>57474.1890455571</v>
      </c>
      <c r="R2557" s="147" t="n">
        <v>0.266521435447141</v>
      </c>
      <c r="S2557" s="147" t="n">
        <v>0.0492520389209767</v>
      </c>
      <c r="T2557" s="147" t="n">
        <v>0.0206367851773118</v>
      </c>
    </row>
    <row r="2558" customFormat="false" ht="12.75" hidden="false" customHeight="true" outlineLevel="0" collapsed="false">
      <c r="P2558" s="1" t="n">
        <v>2555</v>
      </c>
      <c r="Q2558" s="147" t="n">
        <v>57496.5939976841</v>
      </c>
      <c r="R2558" s="147" t="n">
        <v>0.266954572310021</v>
      </c>
      <c r="S2558" s="147" t="n">
        <v>0.0467204784361979</v>
      </c>
      <c r="T2558" s="147" t="n">
        <v>0.0199996939538021</v>
      </c>
    </row>
    <row r="2559" customFormat="false" ht="12.75" hidden="false" customHeight="true" outlineLevel="0" collapsed="false">
      <c r="P2559" s="1" t="n">
        <v>2556</v>
      </c>
      <c r="Q2559" s="147" t="n">
        <v>57518.8853460841</v>
      </c>
      <c r="R2559" s="147" t="n">
        <v>0.267120432841969</v>
      </c>
      <c r="S2559" s="147" t="n">
        <v>0.045990737711287</v>
      </c>
      <c r="T2559" s="147" t="n">
        <v>0.0191434385762952</v>
      </c>
    </row>
    <row r="2560" customFormat="false" ht="12.75" hidden="false" customHeight="true" outlineLevel="0" collapsed="false">
      <c r="P2560" s="1" t="n">
        <v>2557</v>
      </c>
      <c r="Q2560" s="147" t="n">
        <v>57541.1872522511</v>
      </c>
      <c r="R2560" s="147" t="n">
        <v>0.267287272320108</v>
      </c>
      <c r="S2560" s="147" t="n">
        <v>0.0475599867181084</v>
      </c>
      <c r="T2560" s="147" t="n">
        <v>0.0180558028739105</v>
      </c>
    </row>
    <row r="2561" customFormat="false" ht="12.75" hidden="false" customHeight="true" outlineLevel="0" collapsed="false">
      <c r="P2561" s="1" t="n">
        <v>2558</v>
      </c>
      <c r="Q2561" s="147" t="n">
        <v>57563.8917712901</v>
      </c>
      <c r="R2561" s="147" t="n">
        <v>0.267306166018674</v>
      </c>
      <c r="S2561" s="147" t="n">
        <v>0.0538195626813609</v>
      </c>
      <c r="T2561" s="147" t="n">
        <v>0.0164784034095384</v>
      </c>
    </row>
    <row r="2562" customFormat="false" ht="12.75" hidden="false" customHeight="true" outlineLevel="0" collapsed="false">
      <c r="P2562" s="1" t="n">
        <v>2559</v>
      </c>
      <c r="Q2562" s="147" t="n">
        <v>57586.9788741541</v>
      </c>
      <c r="R2562" s="147" t="n">
        <v>0.266758423870217</v>
      </c>
      <c r="S2562" s="147" t="n">
        <v>0.0680933344767503</v>
      </c>
      <c r="T2562" s="147" t="n">
        <v>0.0149370702808231</v>
      </c>
    </row>
    <row r="2563" customFormat="false" ht="12.75" hidden="false" customHeight="true" outlineLevel="0" collapsed="false">
      <c r="P2563" s="1" t="n">
        <v>2560</v>
      </c>
      <c r="Q2563" s="147" t="n">
        <v>57608.9142456311</v>
      </c>
      <c r="R2563" s="147" t="n">
        <v>0.266041745399271</v>
      </c>
      <c r="S2563" s="147" t="n">
        <v>0.0700876363353044</v>
      </c>
      <c r="T2563" s="147" t="n">
        <v>0.0154963722130099</v>
      </c>
    </row>
    <row r="2564" customFormat="false" ht="12.75" hidden="false" customHeight="true" outlineLevel="0" collapsed="false">
      <c r="P2564" s="1" t="n">
        <v>2561</v>
      </c>
      <c r="Q2564" s="147" t="n">
        <v>57631.8814092921</v>
      </c>
      <c r="R2564" s="147" t="n">
        <v>0.265584033146105</v>
      </c>
      <c r="S2564" s="147" t="n">
        <v>0.0803455170758694</v>
      </c>
      <c r="T2564" s="147" t="n">
        <v>0.0140022377568311</v>
      </c>
    </row>
    <row r="2565" customFormat="false" ht="12.75" hidden="false" customHeight="true" outlineLevel="0" collapsed="false">
      <c r="P2565" s="1" t="n">
        <v>2562</v>
      </c>
      <c r="Q2565" s="147" t="n">
        <v>57653.8661848691</v>
      </c>
      <c r="R2565" s="147" t="n">
        <v>0.26468213950259</v>
      </c>
      <c r="S2565" s="147" t="n">
        <v>0.08243718004852</v>
      </c>
      <c r="T2565" s="147" t="n">
        <v>0.0152955261940837</v>
      </c>
    </row>
    <row r="2566" customFormat="false" ht="12.75" hidden="false" customHeight="true" outlineLevel="0" collapsed="false">
      <c r="P2566" s="1" t="n">
        <v>2563</v>
      </c>
      <c r="Q2566" s="147" t="n">
        <v>57676.6231120651</v>
      </c>
      <c r="R2566" s="147" t="n">
        <v>0.263690448743825</v>
      </c>
      <c r="S2566" s="147" t="n">
        <v>0.0898147020113002</v>
      </c>
      <c r="T2566" s="147" t="n">
        <v>0.014706477514497</v>
      </c>
    </row>
    <row r="2567" customFormat="false" ht="12.75" hidden="false" customHeight="true" outlineLevel="0" collapsed="false">
      <c r="P2567" s="1" t="n">
        <v>2564</v>
      </c>
      <c r="Q2567" s="147" t="n">
        <v>57699.0086097521</v>
      </c>
      <c r="R2567" s="147" t="n">
        <v>0.263744411063595</v>
      </c>
      <c r="S2567" s="147" t="n">
        <v>0.0922134331667275</v>
      </c>
      <c r="T2567" s="147" t="n">
        <v>0.0157332849087915</v>
      </c>
    </row>
    <row r="2568" customFormat="false" ht="12.75" hidden="false" customHeight="true" outlineLevel="0" collapsed="false">
      <c r="P2568" s="1" t="n">
        <v>2565</v>
      </c>
      <c r="Q2568" s="147" t="n">
        <v>57721.8128031161</v>
      </c>
      <c r="R2568" s="147" t="n">
        <v>0.26322273623171</v>
      </c>
      <c r="S2568" s="147" t="n">
        <v>0.0939919990750017</v>
      </c>
      <c r="T2568" s="147" t="n">
        <v>0.016285461412752</v>
      </c>
    </row>
    <row r="2569" customFormat="false" ht="12.75" hidden="false" customHeight="true" outlineLevel="0" collapsed="false">
      <c r="P2569" s="1" t="n">
        <v>2566</v>
      </c>
      <c r="Q2569" s="147" t="n">
        <v>57744.7005306491</v>
      </c>
      <c r="R2569" s="147" t="n">
        <v>0.263245112958885</v>
      </c>
      <c r="S2569" s="147" t="n">
        <v>0.0945477389123077</v>
      </c>
      <c r="T2569" s="147" t="n">
        <v>0.0172290921569559</v>
      </c>
    </row>
    <row r="2570" customFormat="false" ht="12.75" hidden="false" customHeight="true" outlineLevel="0" collapsed="false">
      <c r="P2570" s="1" t="n">
        <v>2567</v>
      </c>
      <c r="Q2570" s="147" t="n">
        <v>57767.7146126321</v>
      </c>
      <c r="R2570" s="147" t="n">
        <v>0.262787092843716</v>
      </c>
      <c r="S2570" s="147" t="n">
        <v>0.0943767677131905</v>
      </c>
      <c r="T2570" s="147" t="n">
        <v>0.0186382528830485</v>
      </c>
    </row>
    <row r="2571" customFormat="false" ht="12.75" hidden="false" customHeight="true" outlineLevel="0" collapsed="false">
      <c r="P2571" s="1" t="n">
        <v>2568</v>
      </c>
      <c r="Q2571" s="147" t="n">
        <v>57789.9135338261</v>
      </c>
      <c r="R2571" s="147" t="n">
        <v>0.262089090296954</v>
      </c>
      <c r="S2571" s="147" t="n">
        <v>0.0941335494876141</v>
      </c>
      <c r="T2571" s="147" t="n">
        <v>0.0199413749080688</v>
      </c>
    </row>
    <row r="2572" customFormat="false" ht="12.75" hidden="false" customHeight="true" outlineLevel="0" collapsed="false">
      <c r="P2572" s="1" t="n">
        <v>2569</v>
      </c>
      <c r="Q2572" s="147" t="n">
        <v>57812.1162206641</v>
      </c>
      <c r="R2572" s="147" t="n">
        <v>0.261136265232747</v>
      </c>
      <c r="S2572" s="147" t="n">
        <v>0.0947989536976721</v>
      </c>
      <c r="T2572" s="147" t="n">
        <v>0.0212232823574579</v>
      </c>
    </row>
    <row r="2573" customFormat="false" ht="12.75" hidden="false" customHeight="true" outlineLevel="0" collapsed="false">
      <c r="P2573" s="1" t="n">
        <v>2570</v>
      </c>
      <c r="Q2573" s="147" t="n">
        <v>57834.5121477321</v>
      </c>
      <c r="R2573" s="147" t="n">
        <v>0.259520556648292</v>
      </c>
      <c r="S2573" s="147" t="n">
        <v>0.0972078843304838</v>
      </c>
      <c r="T2573" s="147" t="n">
        <v>0.0227118280619125</v>
      </c>
    </row>
    <row r="2574" customFormat="false" ht="12.75" hidden="false" customHeight="true" outlineLevel="0" collapsed="false">
      <c r="P2574" s="1" t="n">
        <v>2571</v>
      </c>
      <c r="Q2574" s="147" t="n">
        <v>57856.7366277411</v>
      </c>
      <c r="R2574" s="147" t="n">
        <v>0.258257017982985</v>
      </c>
      <c r="S2574" s="147" t="n">
        <v>0.100266963261266</v>
      </c>
      <c r="T2574" s="147" t="n">
        <v>0.0240517386936727</v>
      </c>
    </row>
    <row r="2575" customFormat="false" ht="12.75" hidden="false" customHeight="true" outlineLevel="0" collapsed="false">
      <c r="P2575" s="1" t="n">
        <v>2572</v>
      </c>
      <c r="Q2575" s="147" t="n">
        <v>57879.853579782</v>
      </c>
      <c r="R2575" s="147" t="n">
        <v>0.25631827519761</v>
      </c>
      <c r="S2575" s="147" t="n">
        <v>0.105817467310242</v>
      </c>
      <c r="T2575" s="147" t="n">
        <v>0.0251649442376303</v>
      </c>
    </row>
    <row r="2576" customFormat="false" ht="12.75" hidden="false" customHeight="true" outlineLevel="0" collapsed="false">
      <c r="P2576" s="1" t="n">
        <v>2573</v>
      </c>
      <c r="Q2576" s="147" t="n">
        <v>57902.5896594401</v>
      </c>
      <c r="R2576" s="147" t="n">
        <v>0.255497864695756</v>
      </c>
      <c r="S2576" s="147" t="n">
        <v>0.109983300776468</v>
      </c>
      <c r="T2576" s="147" t="n">
        <v>0.0257460868750365</v>
      </c>
    </row>
    <row r="2577" customFormat="false" ht="12.75" hidden="false" customHeight="true" outlineLevel="0" collapsed="false">
      <c r="P2577" s="1" t="n">
        <v>2574</v>
      </c>
      <c r="Q2577" s="147" t="n">
        <v>57924.987394641</v>
      </c>
      <c r="R2577" s="147" t="n">
        <v>0.254825480077642</v>
      </c>
      <c r="S2577" s="147" t="n">
        <v>0.110914276880736</v>
      </c>
      <c r="T2577" s="147" t="n">
        <v>0.0259066742184617</v>
      </c>
    </row>
    <row r="2578" customFormat="false" ht="12.75" hidden="false" customHeight="true" outlineLevel="0" collapsed="false">
      <c r="P2578" s="1" t="n">
        <v>2575</v>
      </c>
      <c r="Q2578" s="147" t="n">
        <v>57947.486613077</v>
      </c>
      <c r="R2578" s="147" t="n">
        <v>0.254429560772447</v>
      </c>
      <c r="S2578" s="147" t="n">
        <v>0.107345764249056</v>
      </c>
      <c r="T2578" s="147" t="n">
        <v>0.0257188908171457</v>
      </c>
    </row>
    <row r="2579" customFormat="false" ht="12.75" hidden="false" customHeight="true" outlineLevel="0" collapsed="false">
      <c r="P2579" s="1" t="n">
        <v>2576</v>
      </c>
      <c r="Q2579" s="147" t="n">
        <v>57970.397257461</v>
      </c>
      <c r="R2579" s="147" t="n">
        <v>0.254321921162965</v>
      </c>
      <c r="S2579" s="147" t="n">
        <v>0.0995199915570334</v>
      </c>
      <c r="T2579" s="147" t="n">
        <v>0.0254254696775348</v>
      </c>
    </row>
    <row r="2580" customFormat="false" ht="12.75" hidden="false" customHeight="true" outlineLevel="0" collapsed="false">
      <c r="P2580" s="1" t="n">
        <v>2577</v>
      </c>
      <c r="Q2580" s="147" t="n">
        <v>57993.199874427</v>
      </c>
      <c r="R2580" s="147" t="n">
        <v>0.254111882421716</v>
      </c>
      <c r="S2580" s="147" t="n">
        <v>0.0908514569358281</v>
      </c>
      <c r="T2580" s="147" t="n">
        <v>0.0252618700694346</v>
      </c>
    </row>
    <row r="2581" customFormat="false" ht="12.75" hidden="false" customHeight="true" outlineLevel="0" collapsed="false">
      <c r="P2581" s="1" t="n">
        <v>2578</v>
      </c>
      <c r="Q2581" s="147" t="n">
        <v>58015.149722419</v>
      </c>
      <c r="R2581" s="147" t="n">
        <v>0.253803048594536</v>
      </c>
      <c r="S2581" s="147" t="n">
        <v>0.0868964584084864</v>
      </c>
      <c r="T2581" s="147" t="n">
        <v>0.0251747521076868</v>
      </c>
    </row>
    <row r="2582" customFormat="false" ht="12.75" hidden="false" customHeight="true" outlineLevel="0" collapsed="false">
      <c r="P2582" s="1" t="n">
        <v>2579</v>
      </c>
      <c r="Q2582" s="147" t="n">
        <v>58038.236202105</v>
      </c>
      <c r="R2582" s="147" t="n">
        <v>0.254125674413472</v>
      </c>
      <c r="S2582" s="147" t="n">
        <v>0.0757199337455151</v>
      </c>
      <c r="T2582" s="147" t="n">
        <v>0.0241221210281123</v>
      </c>
    </row>
    <row r="2583" customFormat="false" ht="12.75" hidden="false" customHeight="true" outlineLevel="0" collapsed="false">
      <c r="P2583" s="1" t="n">
        <v>2580</v>
      </c>
      <c r="Q2583" s="147" t="n">
        <v>58060.2434567021</v>
      </c>
      <c r="R2583" s="147" t="n">
        <v>0.254342791732332</v>
      </c>
      <c r="S2583" s="147" t="n">
        <v>0.071360533755481</v>
      </c>
      <c r="T2583" s="147" t="n">
        <v>0.0237355765150278</v>
      </c>
    </row>
    <row r="2584" customFormat="false" ht="12.75" hidden="false" customHeight="true" outlineLevel="0" collapsed="false">
      <c r="P2584" s="1" t="n">
        <v>2581</v>
      </c>
      <c r="Q2584" s="147" t="n">
        <v>58082.9821883481</v>
      </c>
      <c r="R2584" s="147" t="n">
        <v>0.254973155627081</v>
      </c>
      <c r="S2584" s="147" t="n">
        <v>0.0661459024105883</v>
      </c>
      <c r="T2584" s="147" t="n">
        <v>0.0240372416132796</v>
      </c>
    </row>
    <row r="2585" customFormat="false" ht="12.75" hidden="false" customHeight="true" outlineLevel="0" collapsed="false">
      <c r="P2585" s="1" t="n">
        <v>2582</v>
      </c>
      <c r="Q2585" s="147" t="n">
        <v>58105.6473236761</v>
      </c>
      <c r="R2585" s="147" t="n">
        <v>0.255777446402493</v>
      </c>
      <c r="S2585" s="147" t="n">
        <v>0.0641485282978396</v>
      </c>
      <c r="T2585" s="147" t="n">
        <v>0.0241991188421941</v>
      </c>
    </row>
    <row r="2586" customFormat="false" ht="12.75" hidden="false" customHeight="true" outlineLevel="0" collapsed="false">
      <c r="P2586" s="1" t="n">
        <v>2583</v>
      </c>
      <c r="Q2586" s="147" t="n">
        <v>58128.2085288691</v>
      </c>
      <c r="R2586" s="147" t="n">
        <v>0.256356708933856</v>
      </c>
      <c r="S2586" s="147" t="n">
        <v>0.0644375911100219</v>
      </c>
      <c r="T2586" s="147" t="n">
        <v>0.0250329284100354</v>
      </c>
    </row>
    <row r="2587" customFormat="false" ht="12.75" hidden="false" customHeight="true" outlineLevel="0" collapsed="false">
      <c r="P2587" s="1" t="n">
        <v>2584</v>
      </c>
      <c r="Q2587" s="147" t="n">
        <v>58150.7295911761</v>
      </c>
      <c r="R2587" s="147" t="n">
        <v>0.256716904849616</v>
      </c>
      <c r="S2587" s="147" t="n">
        <v>0.0684521762686365</v>
      </c>
      <c r="T2587" s="147" t="n">
        <v>0.0263220959265002</v>
      </c>
    </row>
    <row r="2588" customFormat="false" ht="12.75" hidden="false" customHeight="true" outlineLevel="0" collapsed="false">
      <c r="P2588" s="1" t="n">
        <v>2585</v>
      </c>
      <c r="Q2588" s="147" t="n">
        <v>58173.2219924301</v>
      </c>
      <c r="R2588" s="147" t="n">
        <v>0.25669446684992</v>
      </c>
      <c r="S2588" s="147" t="n">
        <v>0.0713093074631037</v>
      </c>
      <c r="T2588" s="147" t="n">
        <v>0.0267819423984126</v>
      </c>
    </row>
    <row r="2589" customFormat="false" ht="12.75" hidden="false" customHeight="true" outlineLevel="0" collapsed="false">
      <c r="P2589" s="1" t="n">
        <v>2586</v>
      </c>
      <c r="Q2589" s="147" t="n">
        <v>58196.0207660621</v>
      </c>
      <c r="R2589" s="147" t="n">
        <v>0.256995910340794</v>
      </c>
      <c r="S2589" s="147" t="n">
        <v>0.0773340758355184</v>
      </c>
      <c r="T2589" s="147" t="n">
        <v>0.0279339286954599</v>
      </c>
    </row>
    <row r="2590" customFormat="false" ht="12.75" hidden="false" customHeight="true" outlineLevel="0" collapsed="false">
      <c r="P2590" s="1" t="n">
        <v>2587</v>
      </c>
      <c r="Q2590" s="147" t="n">
        <v>58218.0949950551</v>
      </c>
      <c r="R2590" s="147" t="n">
        <v>0.257061779569214</v>
      </c>
      <c r="S2590" s="147" t="n">
        <v>0.0795642990232514</v>
      </c>
      <c r="T2590" s="147" t="n">
        <v>0.0272860062000411</v>
      </c>
    </row>
    <row r="2591" customFormat="false" ht="12.75" hidden="false" customHeight="true" outlineLevel="0" collapsed="false">
      <c r="P2591" s="1" t="n">
        <v>2588</v>
      </c>
      <c r="Q2591" s="147" t="n">
        <v>58240.8325010971</v>
      </c>
      <c r="R2591" s="147" t="n">
        <v>0.257625415383614</v>
      </c>
      <c r="S2591" s="147" t="n">
        <v>0.0844948769874903</v>
      </c>
      <c r="T2591" s="147" t="n">
        <v>0.0272135598681731</v>
      </c>
    </row>
    <row r="2592" customFormat="false" ht="12.75" hidden="false" customHeight="true" outlineLevel="0" collapsed="false">
      <c r="P2592" s="1" t="n">
        <v>2589</v>
      </c>
      <c r="Q2592" s="147" t="n">
        <v>58263.0361007621</v>
      </c>
      <c r="R2592" s="147" t="n">
        <v>0.258029931164789</v>
      </c>
      <c r="S2592" s="147" t="n">
        <v>0.0862709783434064</v>
      </c>
      <c r="T2592" s="147" t="n">
        <v>0.0267002683676888</v>
      </c>
    </row>
    <row r="2593" customFormat="false" ht="12.75" hidden="false" customHeight="true" outlineLevel="0" collapsed="false">
      <c r="P2593" s="1" t="n">
        <v>2590</v>
      </c>
      <c r="Q2593" s="147" t="n">
        <v>58285.2687053381</v>
      </c>
      <c r="R2593" s="147" t="n">
        <v>0.258738027929456</v>
      </c>
      <c r="S2593" s="147" t="n">
        <v>0.0879538102762323</v>
      </c>
      <c r="T2593" s="147" t="n">
        <v>0.0256771263611485</v>
      </c>
    </row>
    <row r="2594" customFormat="false" ht="12.75" hidden="false" customHeight="true" outlineLevel="0" collapsed="false">
      <c r="P2594" s="1" t="n">
        <v>2591</v>
      </c>
      <c r="Q2594" s="147" t="n">
        <v>58307.6841635261</v>
      </c>
      <c r="R2594" s="147" t="n">
        <v>0.259363842760022</v>
      </c>
      <c r="S2594" s="147" t="n">
        <v>0.0871193406297871</v>
      </c>
      <c r="T2594" s="147" t="n">
        <v>0.0253102148549939</v>
      </c>
    </row>
    <row r="2595" customFormat="false" ht="12.75" hidden="false" customHeight="true" outlineLevel="0" collapsed="false">
      <c r="P2595" s="1" t="n">
        <v>2592</v>
      </c>
      <c r="Q2595" s="147" t="n">
        <v>58330.7264709921</v>
      </c>
      <c r="R2595" s="147" t="n">
        <v>0.260215030743568</v>
      </c>
      <c r="S2595" s="147" t="n">
        <v>0.0833680705185326</v>
      </c>
      <c r="T2595" s="147" t="n">
        <v>0.0239096199604456</v>
      </c>
    </row>
    <row r="2596" customFormat="false" ht="12.75" hidden="false" customHeight="true" outlineLevel="0" collapsed="false">
      <c r="P2596" s="1" t="n">
        <v>2593</v>
      </c>
      <c r="Q2596" s="147" t="n">
        <v>58352.5268845251</v>
      </c>
      <c r="R2596" s="147" t="n">
        <v>0.260701374929148</v>
      </c>
      <c r="S2596" s="147" t="n">
        <v>0.0827490343300709</v>
      </c>
      <c r="T2596" s="147" t="n">
        <v>0.0242346393177792</v>
      </c>
    </row>
    <row r="2597" customFormat="false" ht="12.75" hidden="false" customHeight="true" outlineLevel="0" collapsed="false">
      <c r="P2597" s="1" t="n">
        <v>2594</v>
      </c>
      <c r="Q2597" s="147" t="n">
        <v>58375.2525532351</v>
      </c>
      <c r="R2597" s="147" t="n">
        <v>0.261494977034901</v>
      </c>
      <c r="S2597" s="147" t="n">
        <v>0.0805259645858163</v>
      </c>
      <c r="T2597" s="147" t="n">
        <v>0.02252868117187</v>
      </c>
    </row>
    <row r="2598" customFormat="false" ht="12.75" hidden="false" customHeight="true" outlineLevel="0" collapsed="false">
      <c r="P2598" s="1" t="n">
        <v>2595</v>
      </c>
      <c r="Q2598" s="147" t="n">
        <v>58397.4532914211</v>
      </c>
      <c r="R2598" s="147" t="n">
        <v>0.261704325071605</v>
      </c>
      <c r="S2598" s="147" t="n">
        <v>0.0806223166098231</v>
      </c>
      <c r="T2598" s="147" t="n">
        <v>0.0225904407528994</v>
      </c>
    </row>
    <row r="2599" customFormat="false" ht="12.75" hidden="false" customHeight="true" outlineLevel="0" collapsed="false">
      <c r="P2599" s="1" t="n">
        <v>2596</v>
      </c>
      <c r="Q2599" s="147" t="n">
        <v>58419.6760674981</v>
      </c>
      <c r="R2599" s="147" t="n">
        <v>0.262190364533585</v>
      </c>
      <c r="S2599" s="147" t="n">
        <v>0.0804660140724846</v>
      </c>
      <c r="T2599" s="147" t="n">
        <v>0.0215819757796834</v>
      </c>
    </row>
    <row r="2600" customFormat="false" ht="12.75" hidden="false" customHeight="true" outlineLevel="0" collapsed="false">
      <c r="P2600" s="1" t="n">
        <v>2597</v>
      </c>
      <c r="Q2600" s="147" t="n">
        <v>58441.213548405</v>
      </c>
      <c r="R2600" s="147" t="n">
        <v>0.262246990921487</v>
      </c>
      <c r="S2600" s="147" t="n">
        <v>0.0808212952720253</v>
      </c>
      <c r="T2600" s="147" t="n">
        <v>0.0208623001561699</v>
      </c>
    </row>
    <row r="2601" customFormat="false" ht="12.75" hidden="false" customHeight="true" outlineLevel="0" collapsed="false">
      <c r="P2601" s="1" t="n">
        <v>2598</v>
      </c>
      <c r="Q2601" s="147" t="n">
        <v>58463.5635784711</v>
      </c>
      <c r="R2601" s="147" t="n">
        <v>0.262705658373016</v>
      </c>
      <c r="S2601" s="147" t="n">
        <v>0.080533187688175</v>
      </c>
      <c r="T2601" s="147" t="n">
        <v>0.0201894361979149</v>
      </c>
    </row>
    <row r="2602" customFormat="false" ht="12.75" hidden="false" customHeight="true" outlineLevel="0" collapsed="false">
      <c r="P2602" s="1" t="n">
        <v>2599</v>
      </c>
      <c r="Q2602" s="147" t="n">
        <v>58485.7451859851</v>
      </c>
      <c r="R2602" s="147" t="n">
        <v>0.262660963871624</v>
      </c>
      <c r="S2602" s="147" t="n">
        <v>0.0799007759271381</v>
      </c>
      <c r="T2602" s="147" t="n">
        <v>0.0198397078152418</v>
      </c>
    </row>
    <row r="2603" customFormat="false" ht="12.75" hidden="false" customHeight="true" outlineLevel="0" collapsed="false">
      <c r="P2603" s="1" t="n">
        <v>2600</v>
      </c>
      <c r="Q2603" s="147" t="n">
        <v>58508.1825671841</v>
      </c>
      <c r="R2603" s="147" t="n">
        <v>0.262817027237688</v>
      </c>
      <c r="S2603" s="147" t="n">
        <v>0.0798168326634283</v>
      </c>
      <c r="T2603" s="147" t="n">
        <v>0.0204317604445276</v>
      </c>
    </row>
    <row r="2604" customFormat="false" ht="12.75" hidden="false" customHeight="true" outlineLevel="0" collapsed="false">
      <c r="P2604" s="1" t="n">
        <v>2601</v>
      </c>
      <c r="Q2604" s="147" t="n">
        <v>58530.848392849</v>
      </c>
      <c r="R2604" s="147" t="n">
        <v>0.263337586775776</v>
      </c>
      <c r="S2604" s="147" t="n">
        <v>0.0796713554187522</v>
      </c>
      <c r="T2604" s="147" t="n">
        <v>0.0201388414340864</v>
      </c>
    </row>
    <row r="2605" customFormat="false" ht="12.75" hidden="false" customHeight="true" outlineLevel="0" collapsed="false">
      <c r="P2605" s="1" t="n">
        <v>2602</v>
      </c>
      <c r="Q2605" s="147" t="n">
        <v>58553.0787712541</v>
      </c>
      <c r="R2605" s="147" t="n">
        <v>0.263977127433457</v>
      </c>
      <c r="S2605" s="147" t="n">
        <v>0.079486167643783</v>
      </c>
      <c r="T2605" s="147" t="n">
        <v>0.0204912314588417</v>
      </c>
    </row>
    <row r="2606" customFormat="false" ht="12.75" hidden="false" customHeight="true" outlineLevel="0" collapsed="false">
      <c r="P2606" s="1" t="n">
        <v>2603</v>
      </c>
      <c r="Q2606" s="147" t="n">
        <v>58575.5205830551</v>
      </c>
      <c r="R2606" s="147" t="n">
        <v>0.264529851267608</v>
      </c>
      <c r="S2606" s="147" t="n">
        <v>0.0793914809567148</v>
      </c>
      <c r="T2606" s="147" t="n">
        <v>0.0199817375527237</v>
      </c>
    </row>
    <row r="2607" customFormat="false" ht="12.75" hidden="false" customHeight="true" outlineLevel="0" collapsed="false">
      <c r="P2607" s="1" t="n">
        <v>2604</v>
      </c>
      <c r="Q2607" s="147" t="n">
        <v>58598.0981576111</v>
      </c>
      <c r="R2607" s="147" t="n">
        <v>0.265142261628337</v>
      </c>
      <c r="S2607" s="147" t="n">
        <v>0.0794908648273903</v>
      </c>
      <c r="T2607" s="147" t="n">
        <v>0.0196273086814896</v>
      </c>
    </row>
    <row r="2608" customFormat="false" ht="12.75" hidden="false" customHeight="true" outlineLevel="0" collapsed="false">
      <c r="P2608" s="1" t="n">
        <v>2605</v>
      </c>
      <c r="Q2608" s="147" t="n">
        <v>58620.3008803491</v>
      </c>
      <c r="R2608" s="147" t="n">
        <v>0.265519059954542</v>
      </c>
      <c r="S2608" s="147" t="n">
        <v>0.079816900303545</v>
      </c>
      <c r="T2608" s="147" t="n">
        <v>0.0188996795064397</v>
      </c>
    </row>
    <row r="2609" customFormat="false" ht="12.75" hidden="false" customHeight="true" outlineLevel="0" collapsed="false">
      <c r="P2609" s="1" t="n">
        <v>2606</v>
      </c>
      <c r="Q2609" s="147" t="n">
        <v>58642.5698109051</v>
      </c>
      <c r="R2609" s="147" t="n">
        <v>0.265540378872684</v>
      </c>
      <c r="S2609" s="147" t="n">
        <v>0.0803001605838967</v>
      </c>
      <c r="T2609" s="147" t="n">
        <v>0.0183229264767567</v>
      </c>
    </row>
    <row r="2610" customFormat="false" ht="12.75" hidden="false" customHeight="true" outlineLevel="0" collapsed="false">
      <c r="P2610" s="1" t="n">
        <v>2607</v>
      </c>
      <c r="Q2610" s="147" t="n">
        <v>58665.0586664141</v>
      </c>
      <c r="R2610" s="147" t="n">
        <v>0.265290806636952</v>
      </c>
      <c r="S2610" s="147" t="n">
        <v>0.081203563380517</v>
      </c>
      <c r="T2610" s="147" t="n">
        <v>0.0180916568248333</v>
      </c>
    </row>
    <row r="2611" customFormat="false" ht="12.75" hidden="false" customHeight="true" outlineLevel="0" collapsed="false">
      <c r="P2611" s="1" t="n">
        <v>2608</v>
      </c>
      <c r="Q2611" s="147" t="n">
        <v>58687.8308385541</v>
      </c>
      <c r="R2611" s="147" t="n">
        <v>0.264104847297824</v>
      </c>
      <c r="S2611" s="147" t="n">
        <v>0.083626892916165</v>
      </c>
      <c r="T2611" s="147" t="n">
        <v>0.017551263922435</v>
      </c>
    </row>
    <row r="2612" customFormat="false" ht="12.75" hidden="false" customHeight="true" outlineLevel="0" collapsed="false">
      <c r="P2612" s="1" t="n">
        <v>2609</v>
      </c>
      <c r="Q2612" s="147" t="n">
        <v>58710.8562742991</v>
      </c>
      <c r="R2612" s="147" t="n">
        <v>0.26378610006936</v>
      </c>
      <c r="S2612" s="147" t="n">
        <v>0.0875703665770597</v>
      </c>
      <c r="T2612" s="147" t="n">
        <v>0.016748670566236</v>
      </c>
    </row>
    <row r="2613" customFormat="false" ht="12.75" hidden="false" customHeight="true" outlineLevel="0" collapsed="false">
      <c r="P2613" s="1" t="n">
        <v>2610</v>
      </c>
      <c r="Q2613" s="147" t="n">
        <v>58733.6797218201</v>
      </c>
      <c r="R2613" s="147" t="n">
        <v>0.263017444327301</v>
      </c>
      <c r="S2613" s="147" t="n">
        <v>0.0916229703479657</v>
      </c>
      <c r="T2613" s="147" t="n">
        <v>0.0171863540781532</v>
      </c>
    </row>
    <row r="2614" customFormat="false" ht="12.75" hidden="false" customHeight="true" outlineLevel="0" collapsed="false">
      <c r="P2614" s="1" t="n">
        <v>2611</v>
      </c>
      <c r="Q2614" s="147" t="n">
        <v>58756.7057528631</v>
      </c>
      <c r="R2614" s="147" t="n">
        <v>0.262373991544498</v>
      </c>
      <c r="S2614" s="147" t="n">
        <v>0.0953789174914585</v>
      </c>
      <c r="T2614" s="147" t="n">
        <v>0.0178949606643116</v>
      </c>
    </row>
    <row r="2615" customFormat="false" ht="12.75" hidden="false" customHeight="true" outlineLevel="0" collapsed="false">
      <c r="P2615" s="1" t="n">
        <v>2612</v>
      </c>
      <c r="Q2615" s="147" t="n">
        <v>58779.6688100631</v>
      </c>
      <c r="R2615" s="147" t="n">
        <v>0.261836537342405</v>
      </c>
      <c r="S2615" s="147" t="n">
        <v>0.0977629000710271</v>
      </c>
      <c r="T2615" s="147" t="n">
        <v>0.0182597970014576</v>
      </c>
    </row>
    <row r="2616" customFormat="false" ht="12.75" hidden="false" customHeight="true" outlineLevel="0" collapsed="false">
      <c r="P2616" s="1" t="n">
        <v>2613</v>
      </c>
      <c r="Q2616" s="147" t="n">
        <v>58802.4224346861</v>
      </c>
      <c r="R2616" s="147" t="n">
        <v>0.261789093161191</v>
      </c>
      <c r="S2616" s="147" t="n">
        <v>0.0977098689521069</v>
      </c>
      <c r="T2616" s="147" t="n">
        <v>0.0185295554419581</v>
      </c>
    </row>
    <row r="2617" customFormat="false" ht="12.75" hidden="false" customHeight="true" outlineLevel="0" collapsed="false">
      <c r="P2617" s="1" t="n">
        <v>2614</v>
      </c>
      <c r="Q2617" s="147" t="n">
        <v>58824.7872429321</v>
      </c>
      <c r="R2617" s="147" t="n">
        <v>0.26200626336571</v>
      </c>
      <c r="S2617" s="147" t="n">
        <v>0.0947098958894323</v>
      </c>
      <c r="T2617" s="147" t="n">
        <v>0.0180970835139674</v>
      </c>
    </row>
    <row r="2618" customFormat="false" ht="12.75" hidden="false" customHeight="true" outlineLevel="0" collapsed="false">
      <c r="P2618" s="1" t="n">
        <v>2615</v>
      </c>
      <c r="Q2618" s="147" t="n">
        <v>58847.9545422331</v>
      </c>
      <c r="R2618" s="147" t="n">
        <v>0.262534173392825</v>
      </c>
      <c r="S2618" s="147" t="n">
        <v>0.08820013659157</v>
      </c>
      <c r="T2618" s="147" t="n">
        <v>0.0174054089176703</v>
      </c>
    </row>
    <row r="2619" customFormat="false" ht="12.75" hidden="false" customHeight="true" outlineLevel="0" collapsed="false">
      <c r="P2619" s="1" t="n">
        <v>2616</v>
      </c>
      <c r="Q2619" s="147" t="n">
        <v>58871.1804989511</v>
      </c>
      <c r="R2619" s="147" t="n">
        <v>0.263349040172301</v>
      </c>
      <c r="S2619" s="147" t="n">
        <v>0.0779242807191405</v>
      </c>
      <c r="T2619" s="147" t="n">
        <v>0.017356245358297</v>
      </c>
    </row>
    <row r="2620" customFormat="false" ht="12.75" hidden="false" customHeight="true" outlineLevel="0" collapsed="false">
      <c r="P2620" s="1" t="n">
        <v>2617</v>
      </c>
      <c r="Q2620" s="147" t="n">
        <v>58893.2350439821</v>
      </c>
      <c r="R2620" s="147" t="n">
        <v>0.263404695176</v>
      </c>
      <c r="S2620" s="147" t="n">
        <v>0.0733066365418284</v>
      </c>
      <c r="T2620" s="147" t="n">
        <v>0.0166030296170415</v>
      </c>
    </row>
    <row r="2621" customFormat="false" ht="12.75" hidden="false" customHeight="true" outlineLevel="0" collapsed="false">
      <c r="P2621" s="1" t="n">
        <v>2618</v>
      </c>
      <c r="Q2621" s="147" t="n">
        <v>58916.2145782101</v>
      </c>
      <c r="R2621" s="147" t="n">
        <v>0.264847677058404</v>
      </c>
      <c r="S2621" s="147" t="n">
        <v>0.0649972549423097</v>
      </c>
      <c r="T2621" s="147" t="n">
        <v>0.0172175718928475</v>
      </c>
    </row>
    <row r="2622" customFormat="false" ht="12.75" hidden="false" customHeight="true" outlineLevel="0" collapsed="false">
      <c r="P2622" s="1" t="n">
        <v>2619</v>
      </c>
      <c r="Q2622" s="147" t="n">
        <v>58939.1606178781</v>
      </c>
      <c r="R2622" s="147" t="n">
        <v>0.265147971009239</v>
      </c>
      <c r="S2622" s="147" t="n">
        <v>0.059231056771456</v>
      </c>
      <c r="T2622" s="147" t="n">
        <v>0.0168294174859363</v>
      </c>
    </row>
    <row r="2623" customFormat="false" ht="12.75" hidden="false" customHeight="true" outlineLevel="0" collapsed="false">
      <c r="P2623" s="1" t="n">
        <v>2620</v>
      </c>
      <c r="Q2623" s="147" t="n">
        <v>58961.8586308831</v>
      </c>
      <c r="R2623" s="147" t="n">
        <v>0.265973097563541</v>
      </c>
      <c r="S2623" s="147" t="n">
        <v>0.0560203362700329</v>
      </c>
      <c r="T2623" s="147" t="n">
        <v>0.0181628873054713</v>
      </c>
    </row>
    <row r="2624" customFormat="false" ht="12.75" hidden="false" customHeight="true" outlineLevel="0" collapsed="false">
      <c r="P2624" s="1" t="n">
        <v>2621</v>
      </c>
      <c r="Q2624" s="147" t="n">
        <v>58984.3024305211</v>
      </c>
      <c r="R2624" s="147" t="n">
        <v>0.266179892952873</v>
      </c>
      <c r="S2624" s="147" t="n">
        <v>0.0555309559480851</v>
      </c>
      <c r="T2624" s="147" t="n">
        <v>0.0195964251843613</v>
      </c>
    </row>
    <row r="2625" customFormat="false" ht="12.75" hidden="false" customHeight="true" outlineLevel="0" collapsed="false">
      <c r="P2625" s="1" t="n">
        <v>2622</v>
      </c>
      <c r="Q2625" s="147" t="n">
        <v>59007.2104291461</v>
      </c>
      <c r="R2625" s="147" t="n">
        <v>0.266202769221218</v>
      </c>
      <c r="S2625" s="147" t="n">
        <v>0.0571664218390669</v>
      </c>
      <c r="T2625" s="147" t="n">
        <v>0.0209951939360148</v>
      </c>
    </row>
    <row r="2626" customFormat="false" ht="12.75" hidden="false" customHeight="true" outlineLevel="0" collapsed="false">
      <c r="P2626" s="1" t="n">
        <v>2623</v>
      </c>
      <c r="Q2626" s="147" t="n">
        <v>59030.2397478381</v>
      </c>
      <c r="R2626" s="147" t="n">
        <v>0.265983027692237</v>
      </c>
      <c r="S2626" s="147" t="n">
        <v>0.0599181757537189</v>
      </c>
      <c r="T2626" s="147" t="n">
        <v>0.0222834525587958</v>
      </c>
    </row>
    <row r="2627" customFormat="false" ht="12.75" hidden="false" customHeight="true" outlineLevel="0" collapsed="false">
      <c r="P2627" s="1" t="n">
        <v>2624</v>
      </c>
      <c r="Q2627" s="147" t="n">
        <v>59053.4604023391</v>
      </c>
      <c r="R2627" s="147" t="n">
        <v>0.265803823449746</v>
      </c>
      <c r="S2627" s="147" t="n">
        <v>0.0634768304735153</v>
      </c>
      <c r="T2627" s="147" t="n">
        <v>0.0232567945600529</v>
      </c>
    </row>
    <row r="2628" customFormat="false" ht="12.75" hidden="false" customHeight="true" outlineLevel="0" collapsed="false">
      <c r="P2628" s="1" t="n">
        <v>2625</v>
      </c>
      <c r="Q2628" s="147" t="n">
        <v>59076.5023085901</v>
      </c>
      <c r="R2628" s="147" t="n">
        <v>0.265916660674784</v>
      </c>
      <c r="S2628" s="147" t="n">
        <v>0.0677477753238594</v>
      </c>
      <c r="T2628" s="147" t="n">
        <v>0.023772822937116</v>
      </c>
    </row>
    <row r="2629" customFormat="false" ht="12.75" hidden="false" customHeight="true" outlineLevel="0" collapsed="false">
      <c r="P2629" s="1" t="n">
        <v>2626</v>
      </c>
      <c r="Q2629" s="147" t="n">
        <v>59099.3381982431</v>
      </c>
      <c r="R2629" s="147" t="n">
        <v>0.266202516181802</v>
      </c>
      <c r="S2629" s="147" t="n">
        <v>0.0726169278225888</v>
      </c>
      <c r="T2629" s="147" t="n">
        <v>0.0241646139627909</v>
      </c>
    </row>
    <row r="2630" customFormat="false" ht="12.75" hidden="false" customHeight="true" outlineLevel="0" collapsed="false">
      <c r="P2630" s="1" t="n">
        <v>2627</v>
      </c>
      <c r="Q2630" s="147" t="n">
        <v>59122.1056036911</v>
      </c>
      <c r="R2630" s="147" t="n">
        <v>0.266592876439155</v>
      </c>
      <c r="S2630" s="147" t="n">
        <v>0.0770351234420409</v>
      </c>
      <c r="T2630" s="147" t="n">
        <v>0.0247767586989304</v>
      </c>
    </row>
    <row r="2631" customFormat="false" ht="12.75" hidden="false" customHeight="true" outlineLevel="0" collapsed="false">
      <c r="P2631" s="1" t="n">
        <v>2628</v>
      </c>
      <c r="Q2631" s="147" t="n">
        <v>59144.7425271591</v>
      </c>
      <c r="R2631" s="147" t="n">
        <v>0.266818681265315</v>
      </c>
      <c r="S2631" s="147" t="n">
        <v>0.0818892498425656</v>
      </c>
      <c r="T2631" s="147" t="n">
        <v>0.0254648511155311</v>
      </c>
    </row>
    <row r="2632" customFormat="false" ht="12.75" hidden="false" customHeight="true" outlineLevel="0" collapsed="false">
      <c r="P2632" s="1" t="n">
        <v>2629</v>
      </c>
      <c r="Q2632" s="147" t="n">
        <v>59167.3879862811</v>
      </c>
      <c r="R2632" s="147" t="n">
        <v>0.267715998955265</v>
      </c>
      <c r="S2632" s="147" t="n">
        <v>0.0864463308485786</v>
      </c>
      <c r="T2632" s="147" t="n">
        <v>0.0257476308015639</v>
      </c>
    </row>
    <row r="2633" customFormat="false" ht="12.75" hidden="false" customHeight="true" outlineLevel="0" collapsed="false">
      <c r="P2633" s="1" t="n">
        <v>2630</v>
      </c>
      <c r="Q2633" s="147" t="n">
        <v>59190.2478366161</v>
      </c>
      <c r="R2633" s="147" t="n">
        <v>0.268912935298607</v>
      </c>
      <c r="S2633" s="147" t="n">
        <v>0.0890089983498655</v>
      </c>
      <c r="T2633" s="147" t="n">
        <v>0.0259120562861072</v>
      </c>
    </row>
    <row r="2634" customFormat="false" ht="12.75" hidden="false" customHeight="true" outlineLevel="0" collapsed="false">
      <c r="P2634" s="1" t="n">
        <v>2631</v>
      </c>
      <c r="Q2634" s="147" t="n">
        <v>59212.7504895001</v>
      </c>
      <c r="R2634" s="147" t="n">
        <v>0.270061820942498</v>
      </c>
      <c r="S2634" s="147" t="n">
        <v>0.0906123425102166</v>
      </c>
      <c r="T2634" s="147" t="n">
        <v>0.0255347657778609</v>
      </c>
    </row>
    <row r="2635" customFormat="false" ht="12.75" hidden="false" customHeight="true" outlineLevel="0" collapsed="false">
      <c r="P2635" s="1" t="n">
        <v>2632</v>
      </c>
      <c r="Q2635" s="147" t="n">
        <v>59235.3358280121</v>
      </c>
      <c r="R2635" s="147" t="n">
        <v>0.271248541955483</v>
      </c>
      <c r="S2635" s="147" t="n">
        <v>0.0900301147167561</v>
      </c>
      <c r="T2635" s="147" t="n">
        <v>0.0250371975646987</v>
      </c>
    </row>
    <row r="2636" customFormat="false" ht="12.75" hidden="false" customHeight="true" outlineLevel="0" collapsed="false">
      <c r="P2636" s="1" t="n">
        <v>2633</v>
      </c>
      <c r="Q2636" s="147" t="n">
        <v>59257.7014164661</v>
      </c>
      <c r="R2636" s="147" t="n">
        <v>0.272082376302241</v>
      </c>
      <c r="S2636" s="147" t="n">
        <v>0.0868565956805329</v>
      </c>
      <c r="T2636" s="147" t="n">
        <v>0.0247284942004051</v>
      </c>
    </row>
    <row r="2637" customFormat="false" ht="12.75" hidden="false" customHeight="true" outlineLevel="0" collapsed="false">
      <c r="P2637" s="1" t="n">
        <v>2634</v>
      </c>
      <c r="Q2637" s="147" t="n">
        <v>59280.6635486771</v>
      </c>
      <c r="R2637" s="147" t="n">
        <v>0.272705730673192</v>
      </c>
      <c r="S2637" s="147" t="n">
        <v>0.0818905286301558</v>
      </c>
      <c r="T2637" s="147" t="n">
        <v>0.0247081161223659</v>
      </c>
    </row>
    <row r="2638" customFormat="false" ht="12.75" hidden="false" customHeight="true" outlineLevel="0" collapsed="false">
      <c r="P2638" s="1" t="n">
        <v>2635</v>
      </c>
      <c r="Q2638" s="147" t="n">
        <v>59303.1892998261</v>
      </c>
      <c r="R2638" s="147" t="n">
        <v>0.272985092523072</v>
      </c>
      <c r="S2638" s="147" t="n">
        <v>0.0792646562728092</v>
      </c>
      <c r="T2638" s="147" t="n">
        <v>0.0246075281707077</v>
      </c>
    </row>
    <row r="2639" customFormat="false" ht="12.75" hidden="false" customHeight="true" outlineLevel="0" collapsed="false">
      <c r="P2639" s="1" t="n">
        <v>2636</v>
      </c>
      <c r="Q2639" s="147" t="n">
        <v>59325.7512002341</v>
      </c>
      <c r="R2639" s="147" t="n">
        <v>0.272675477522042</v>
      </c>
      <c r="S2639" s="147" t="n">
        <v>0.0773620708580983</v>
      </c>
      <c r="T2639" s="147" t="n">
        <v>0.0253341092010419</v>
      </c>
    </row>
    <row r="2640" customFormat="false" ht="12.75" hidden="false" customHeight="true" outlineLevel="0" collapsed="false">
      <c r="P2640" s="1" t="n">
        <v>2637</v>
      </c>
      <c r="Q2640" s="147" t="n">
        <v>59347.7524697461</v>
      </c>
      <c r="R2640" s="147" t="n">
        <v>0.272469870126965</v>
      </c>
      <c r="S2640" s="147" t="n">
        <v>0.0781649943659408</v>
      </c>
      <c r="T2640" s="147" t="n">
        <v>0.0257984498874678</v>
      </c>
    </row>
    <row r="2641" customFormat="false" ht="12.75" hidden="false" customHeight="true" outlineLevel="0" collapsed="false">
      <c r="P2641" s="1" t="n">
        <v>2638</v>
      </c>
      <c r="Q2641" s="147" t="n">
        <v>59370.0141343891</v>
      </c>
      <c r="R2641" s="147" t="n">
        <v>0.271611395161404</v>
      </c>
      <c r="S2641" s="147" t="n">
        <v>0.0816284544196927</v>
      </c>
      <c r="T2641" s="147" t="n">
        <v>0.0267866751669176</v>
      </c>
    </row>
    <row r="2642" customFormat="false" ht="12.75" hidden="false" customHeight="true" outlineLevel="0" collapsed="false">
      <c r="P2642" s="1" t="n">
        <v>2639</v>
      </c>
      <c r="Q2642" s="147" t="n">
        <v>59392.3899136691</v>
      </c>
      <c r="R2642" s="147" t="n">
        <v>0.270909289623558</v>
      </c>
      <c r="S2642" s="147" t="n">
        <v>0.0853796925222438</v>
      </c>
      <c r="T2642" s="147" t="n">
        <v>0.0278114913350594</v>
      </c>
    </row>
    <row r="2643" customFormat="false" ht="12.75" hidden="false" customHeight="true" outlineLevel="0" collapsed="false">
      <c r="P2643" s="1" t="n">
        <v>2640</v>
      </c>
      <c r="Q2643" s="147" t="n">
        <v>59415.1194674031</v>
      </c>
      <c r="R2643" s="147" t="n">
        <v>0.270169241023726</v>
      </c>
      <c r="S2643" s="147" t="n">
        <v>0.0910988581074319</v>
      </c>
      <c r="T2643" s="147" t="n">
        <v>0.0282526563521945</v>
      </c>
    </row>
    <row r="2644" customFormat="false" ht="12.75" hidden="false" customHeight="true" outlineLevel="0" collapsed="false">
      <c r="P2644" s="1" t="n">
        <v>2641</v>
      </c>
      <c r="Q2644" s="147" t="n">
        <v>59437.6800120771</v>
      </c>
      <c r="R2644" s="147" t="n">
        <v>0.269925718429045</v>
      </c>
      <c r="S2644" s="147" t="n">
        <v>0.0960258473723529</v>
      </c>
      <c r="T2644" s="147" t="n">
        <v>0.0282395980510781</v>
      </c>
    </row>
    <row r="2645" customFormat="false" ht="12.75" hidden="false" customHeight="true" outlineLevel="0" collapsed="false">
      <c r="P2645" s="1" t="n">
        <v>2642</v>
      </c>
      <c r="Q2645" s="147" t="n">
        <v>59460.2539481781</v>
      </c>
      <c r="R2645" s="147" t="n">
        <v>0.269331827541784</v>
      </c>
      <c r="S2645" s="147" t="n">
        <v>0.100332023581285</v>
      </c>
      <c r="T2645" s="147" t="n">
        <v>0.0282558713196968</v>
      </c>
    </row>
    <row r="2646" customFormat="false" ht="12.75" hidden="false" customHeight="true" outlineLevel="0" collapsed="false">
      <c r="P2646" s="1" t="n">
        <v>2643</v>
      </c>
      <c r="Q2646" s="147" t="n">
        <v>59483.0657133421</v>
      </c>
      <c r="R2646" s="147" t="n">
        <v>0.268564252236488</v>
      </c>
      <c r="S2646" s="147" t="n">
        <v>0.103025597041463</v>
      </c>
      <c r="T2646" s="147" t="n">
        <v>0.0278385404150748</v>
      </c>
    </row>
    <row r="2647" customFormat="false" ht="12.75" hidden="false" customHeight="true" outlineLevel="0" collapsed="false">
      <c r="P2647" s="1" t="n">
        <v>2644</v>
      </c>
      <c r="Q2647" s="147" t="n">
        <v>59505.2585691791</v>
      </c>
      <c r="R2647" s="147" t="n">
        <v>0.267794612000226</v>
      </c>
      <c r="S2647" s="147" t="n">
        <v>0.10321139104134</v>
      </c>
      <c r="T2647" s="147" t="n">
        <v>0.027915438510191</v>
      </c>
    </row>
    <row r="2648" customFormat="false" ht="12.75" hidden="false" customHeight="true" outlineLevel="0" collapsed="false">
      <c r="P2648" s="1" t="n">
        <v>2645</v>
      </c>
      <c r="Q2648" s="147" t="n">
        <v>59527.2992866071</v>
      </c>
      <c r="R2648" s="147" t="n">
        <v>0.266707264445703</v>
      </c>
      <c r="S2648" s="147" t="n">
        <v>0.101866738916162</v>
      </c>
      <c r="T2648" s="147" t="n">
        <v>0.0270953951482786</v>
      </c>
    </row>
    <row r="2649" customFormat="false" ht="12.75" hidden="false" customHeight="true" outlineLevel="0" collapsed="false">
      <c r="P2649" s="1" t="n">
        <v>2646</v>
      </c>
      <c r="Q2649" s="147" t="n">
        <v>59549.5012667571</v>
      </c>
      <c r="R2649" s="147" t="n">
        <v>0.266101305852835</v>
      </c>
      <c r="S2649" s="147" t="n">
        <v>0.0991722940722416</v>
      </c>
      <c r="T2649" s="147" t="n">
        <v>0.0266158581523939</v>
      </c>
    </row>
    <row r="2650" customFormat="false" ht="12.75" hidden="false" customHeight="true" outlineLevel="0" collapsed="false">
      <c r="P2650" s="1" t="n">
        <v>2647</v>
      </c>
      <c r="Q2650" s="147" t="n">
        <v>59571.7344420171</v>
      </c>
      <c r="R2650" s="147" t="n">
        <v>0.265538858685068</v>
      </c>
      <c r="S2650" s="147" t="n">
        <v>0.0949263745021546</v>
      </c>
      <c r="T2650" s="147" t="n">
        <v>0.0260844094621758</v>
      </c>
    </row>
    <row r="2651" customFormat="false" ht="12.75" hidden="false" customHeight="true" outlineLevel="0" collapsed="false">
      <c r="P2651" s="1" t="n">
        <v>2648</v>
      </c>
      <c r="Q2651" s="147" t="n">
        <v>59594.5734152181</v>
      </c>
      <c r="R2651" s="147" t="n">
        <v>0.265613696319536</v>
      </c>
      <c r="S2651" s="147" t="n">
        <v>0.0877982712497469</v>
      </c>
      <c r="T2651" s="147" t="n">
        <v>0.0269416454412011</v>
      </c>
    </row>
    <row r="2652" customFormat="false" ht="12.75" hidden="false" customHeight="true" outlineLevel="0" collapsed="false">
      <c r="P2652" s="1" t="n">
        <v>2649</v>
      </c>
      <c r="Q2652" s="147" t="n">
        <v>59617.2697548601</v>
      </c>
      <c r="R2652" s="147" t="n">
        <v>0.265671896510295</v>
      </c>
      <c r="S2652" s="147" t="n">
        <v>0.0846307198812751</v>
      </c>
      <c r="T2652" s="147" t="n">
        <v>0.027053352765493</v>
      </c>
    </row>
    <row r="2653" customFormat="false" ht="12.75" hidden="false" customHeight="true" outlineLevel="0" collapsed="false">
      <c r="P2653" s="1" t="n">
        <v>2650</v>
      </c>
      <c r="Q2653" s="147" t="n">
        <v>59640.1154996131</v>
      </c>
      <c r="R2653" s="147" t="n">
        <v>0.266352631731737</v>
      </c>
      <c r="S2653" s="147" t="n">
        <v>0.082119365400157</v>
      </c>
      <c r="T2653" s="147" t="n">
        <v>0.0277021333742114</v>
      </c>
    </row>
    <row r="2654" customFormat="false" ht="12.75" hidden="false" customHeight="true" outlineLevel="0" collapsed="false">
      <c r="P2654" s="1" t="n">
        <v>2651</v>
      </c>
      <c r="Q2654" s="147" t="n">
        <v>59663.0208158491</v>
      </c>
      <c r="R2654" s="147" t="n">
        <v>0.266830486740596</v>
      </c>
      <c r="S2654" s="147" t="n">
        <v>0.0818933394567512</v>
      </c>
      <c r="T2654" s="147" t="n">
        <v>0.0286124807887811</v>
      </c>
    </row>
    <row r="2655" customFormat="false" ht="12.75" hidden="false" customHeight="true" outlineLevel="0" collapsed="false">
      <c r="P2655" s="1" t="n">
        <v>2652</v>
      </c>
      <c r="Q2655" s="147" t="n">
        <v>59685.4053699731</v>
      </c>
      <c r="R2655" s="147" t="n">
        <v>0.267884727879003</v>
      </c>
      <c r="S2655" s="147" t="n">
        <v>0.0821725141761877</v>
      </c>
      <c r="T2655" s="147" t="n">
        <v>0.0292208686138417</v>
      </c>
    </row>
    <row r="2656" customFormat="false" ht="12.75" hidden="false" customHeight="true" outlineLevel="0" collapsed="false">
      <c r="P2656" s="1" t="n">
        <v>2653</v>
      </c>
      <c r="Q2656" s="147" t="n">
        <v>59708.2075815661</v>
      </c>
      <c r="R2656" s="147" t="n">
        <v>0.268074500541584</v>
      </c>
      <c r="S2656" s="147" t="n">
        <v>0.0860661567291167</v>
      </c>
      <c r="T2656" s="147" t="n">
        <v>0.0307796244363309</v>
      </c>
    </row>
    <row r="2657" customFormat="false" ht="12.75" hidden="false" customHeight="true" outlineLevel="0" collapsed="false">
      <c r="P2657" s="1" t="n">
        <v>2654</v>
      </c>
      <c r="Q2657" s="147" t="n">
        <v>59730.3621715021</v>
      </c>
      <c r="R2657" s="147" t="n">
        <v>0.26891407672112</v>
      </c>
      <c r="S2657" s="147" t="n">
        <v>0.0891299375148505</v>
      </c>
      <c r="T2657" s="147" t="n">
        <v>0.0308210000268724</v>
      </c>
    </row>
    <row r="2658" customFormat="false" ht="12.75" hidden="false" customHeight="true" outlineLevel="0" collapsed="false">
      <c r="P2658" s="1" t="n">
        <v>2655</v>
      </c>
      <c r="Q2658" s="147" t="n">
        <v>59753.2310929391</v>
      </c>
      <c r="R2658" s="147" t="n">
        <v>0.268810798791183</v>
      </c>
      <c r="S2658" s="147" t="n">
        <v>0.0953777422616781</v>
      </c>
      <c r="T2658" s="147" t="n">
        <v>0.0307441045532082</v>
      </c>
    </row>
    <row r="2659" customFormat="false" ht="12.75" hidden="false" customHeight="true" outlineLevel="0" collapsed="false">
      <c r="P2659" s="1" t="n">
        <v>2656</v>
      </c>
      <c r="Q2659" s="147" t="n">
        <v>59775.1447540131</v>
      </c>
      <c r="R2659" s="147" t="n">
        <v>0.268950095758201</v>
      </c>
      <c r="S2659" s="147" t="n">
        <v>0.0998792648345049</v>
      </c>
      <c r="T2659" s="147" t="n">
        <v>0.0304927937059068</v>
      </c>
    </row>
    <row r="2660" customFormat="false" ht="12.75" hidden="false" customHeight="true" outlineLevel="0" collapsed="false">
      <c r="P2660" s="1" t="n">
        <v>2657</v>
      </c>
      <c r="Q2660" s="147" t="n">
        <v>59797.5714420621</v>
      </c>
      <c r="R2660" s="147" t="n">
        <v>0.268239447715926</v>
      </c>
      <c r="S2660" s="147" t="n">
        <v>0.10622901418654</v>
      </c>
      <c r="T2660" s="147" t="n">
        <v>0.0296237478229173</v>
      </c>
    </row>
    <row r="2661" customFormat="false" ht="12.75" hidden="false" customHeight="true" outlineLevel="0" collapsed="false">
      <c r="P2661" s="1" t="n">
        <v>2658</v>
      </c>
      <c r="Q2661" s="147" t="n">
        <v>59819.6443971761</v>
      </c>
      <c r="R2661" s="147" t="n">
        <v>0.267737491508101</v>
      </c>
      <c r="S2661" s="147" t="n">
        <v>0.109780725684507</v>
      </c>
      <c r="T2661" s="147" t="n">
        <v>0.029133189038818</v>
      </c>
    </row>
    <row r="2662" customFormat="false" ht="12.75" hidden="false" customHeight="true" outlineLevel="0" collapsed="false">
      <c r="P2662" s="1" t="n">
        <v>2659</v>
      </c>
      <c r="Q2662" s="147" t="n">
        <v>59842.5035030641</v>
      </c>
      <c r="R2662" s="147" t="n">
        <v>0.266889905516138</v>
      </c>
      <c r="S2662" s="147" t="n">
        <v>0.111918614797205</v>
      </c>
      <c r="T2662" s="147" t="n">
        <v>0.0273626201380653</v>
      </c>
    </row>
    <row r="2663" customFormat="false" ht="12.75" hidden="false" customHeight="true" outlineLevel="0" collapsed="false">
      <c r="P2663" s="1" t="n">
        <v>2660</v>
      </c>
      <c r="Q2663" s="147" t="n">
        <v>59865.0751477081</v>
      </c>
      <c r="R2663" s="147" t="n">
        <v>0.266609314014191</v>
      </c>
      <c r="S2663" s="147" t="n">
        <v>0.109579793344195</v>
      </c>
      <c r="T2663" s="147" t="n">
        <v>0.0258790788223347</v>
      </c>
    </row>
    <row r="2664" customFormat="false" ht="12.75" hidden="false" customHeight="true" outlineLevel="0" collapsed="false">
      <c r="P2664" s="1" t="n">
        <v>2661</v>
      </c>
      <c r="Q2664" s="147" t="n">
        <v>59887.9227425831</v>
      </c>
      <c r="R2664" s="147" t="n">
        <v>0.266392219147713</v>
      </c>
      <c r="S2664" s="147" t="n">
        <v>0.104902996416674</v>
      </c>
      <c r="T2664" s="147" t="n">
        <v>0.0246448810571244</v>
      </c>
    </row>
    <row r="2665" customFormat="false" ht="12.75" hidden="false" customHeight="true" outlineLevel="0" collapsed="false">
      <c r="P2665" s="1" t="n">
        <v>2662</v>
      </c>
      <c r="Q2665" s="147" t="n">
        <v>59910.8974687621</v>
      </c>
      <c r="R2665" s="147" t="n">
        <v>0.266637685471303</v>
      </c>
      <c r="S2665" s="147" t="n">
        <v>0.0992334043644839</v>
      </c>
      <c r="T2665" s="147" t="n">
        <v>0.0234980019072691</v>
      </c>
    </row>
    <row r="2666" customFormat="false" ht="12.75" hidden="false" customHeight="true" outlineLevel="0" collapsed="false">
      <c r="P2666" s="1" t="n">
        <v>2663</v>
      </c>
      <c r="Q2666" s="147" t="n">
        <v>59933.8386767601</v>
      </c>
      <c r="R2666" s="147" t="n">
        <v>0.266972009278652</v>
      </c>
      <c r="S2666" s="147" t="n">
        <v>0.0932629037631893</v>
      </c>
      <c r="T2666" s="147" t="n">
        <v>0.0219707486254478</v>
      </c>
    </row>
    <row r="2667" customFormat="false" ht="12.75" hidden="false" customHeight="true" outlineLevel="0" collapsed="false">
      <c r="P2667" s="1" t="n">
        <v>2664</v>
      </c>
      <c r="Q2667" s="147" t="n">
        <v>59956.4676565971</v>
      </c>
      <c r="R2667" s="147" t="n">
        <v>0.26767323648329</v>
      </c>
      <c r="S2667" s="147" t="n">
        <v>0.0862706600827564</v>
      </c>
      <c r="T2667" s="147" t="n">
        <v>0.0206057902716716</v>
      </c>
    </row>
    <row r="2668" customFormat="false" ht="12.75" hidden="false" customHeight="true" outlineLevel="0" collapsed="false">
      <c r="P2668" s="1" t="n">
        <v>2665</v>
      </c>
      <c r="Q2668" s="147" t="n">
        <v>59979.1148490191</v>
      </c>
      <c r="R2668" s="147" t="n">
        <v>0.268224960612198</v>
      </c>
      <c r="S2668" s="147" t="n">
        <v>0.079118634659609</v>
      </c>
      <c r="T2668" s="147" t="n">
        <v>0.0196849041591687</v>
      </c>
    </row>
    <row r="2669" customFormat="false" ht="12.75" hidden="false" customHeight="true" outlineLevel="0" collapsed="false">
      <c r="P2669" s="1" t="n">
        <v>2666</v>
      </c>
      <c r="Q2669" s="147" t="n">
        <v>60002.1205686601</v>
      </c>
      <c r="R2669" s="147" t="n">
        <v>0.269014757054353</v>
      </c>
      <c r="S2669" s="147" t="n">
        <v>0.0722795255334462</v>
      </c>
      <c r="T2669" s="147" t="n">
        <v>0.0190902015554299</v>
      </c>
    </row>
    <row r="2670" customFormat="false" ht="12.75" hidden="false" customHeight="true" outlineLevel="0" collapsed="false">
      <c r="P2670" s="1" t="n">
        <v>2667</v>
      </c>
      <c r="Q2670" s="147" t="n">
        <v>60024.8111744131</v>
      </c>
      <c r="R2670" s="147" t="n">
        <v>0.269734166419118</v>
      </c>
      <c r="S2670" s="147" t="n">
        <v>0.0668861009282092</v>
      </c>
      <c r="T2670" s="147" t="n">
        <v>0.0188459665465772</v>
      </c>
    </row>
    <row r="2671" customFormat="false" ht="12.75" hidden="false" customHeight="true" outlineLevel="0" collapsed="false">
      <c r="P2671" s="1" t="n">
        <v>2668</v>
      </c>
      <c r="Q2671" s="147" t="n">
        <v>60047.2393884991</v>
      </c>
      <c r="R2671" s="147" t="n">
        <v>0.270372560717668</v>
      </c>
      <c r="S2671" s="147" t="n">
        <v>0.0629886114221264</v>
      </c>
      <c r="T2671" s="147" t="n">
        <v>0.019110666104434</v>
      </c>
    </row>
    <row r="2672" customFormat="false" ht="12.75" hidden="false" customHeight="true" outlineLevel="0" collapsed="false">
      <c r="P2672" s="1" t="n">
        <v>2669</v>
      </c>
      <c r="Q2672" s="147" t="n">
        <v>60069.8242616581</v>
      </c>
      <c r="R2672" s="147" t="n">
        <v>0.270937186240091</v>
      </c>
      <c r="S2672" s="147" t="n">
        <v>0.0612716194679306</v>
      </c>
      <c r="T2672" s="147" t="n">
        <v>0.0197783757434471</v>
      </c>
    </row>
    <row r="2673" customFormat="false" ht="12.75" hidden="false" customHeight="true" outlineLevel="0" collapsed="false">
      <c r="P2673" s="1" t="n">
        <v>2670</v>
      </c>
      <c r="Q2673" s="147" t="n">
        <v>60092.3169997501</v>
      </c>
      <c r="R2673" s="147" t="n">
        <v>0.271408827462258</v>
      </c>
      <c r="S2673" s="147" t="n">
        <v>0.0622923505469574</v>
      </c>
      <c r="T2673" s="147" t="n">
        <v>0.0207796095515337</v>
      </c>
    </row>
    <row r="2674" customFormat="false" ht="12.75" hidden="false" customHeight="true" outlineLevel="0" collapsed="false">
      <c r="P2674" s="1" t="n">
        <v>2671</v>
      </c>
      <c r="Q2674" s="147" t="n">
        <v>60115.5339943691</v>
      </c>
      <c r="R2674" s="147" t="n">
        <v>0.271641146779814</v>
      </c>
      <c r="S2674" s="147" t="n">
        <v>0.0675498895155129</v>
      </c>
      <c r="T2674" s="147" t="n">
        <v>0.0219603967272901</v>
      </c>
    </row>
    <row r="2675" customFormat="false" ht="12.75" hidden="false" customHeight="true" outlineLevel="0" collapsed="false">
      <c r="P2675" s="1" t="n">
        <v>2672</v>
      </c>
      <c r="Q2675" s="147" t="n">
        <v>60137.6153721971</v>
      </c>
      <c r="R2675" s="147" t="n">
        <v>0.271650939688544</v>
      </c>
      <c r="S2675" s="147" t="n">
        <v>0.0692161751553719</v>
      </c>
      <c r="T2675" s="147" t="n">
        <v>0.0215351552955075</v>
      </c>
    </row>
    <row r="2676" customFormat="false" ht="12.75" hidden="false" customHeight="true" outlineLevel="0" collapsed="false">
      <c r="P2676" s="1" t="n">
        <v>2673</v>
      </c>
      <c r="Q2676" s="147" t="n">
        <v>60160.5230349341</v>
      </c>
      <c r="R2676" s="147" t="n">
        <v>0.271925750496793</v>
      </c>
      <c r="S2676" s="147" t="n">
        <v>0.0763402020447376</v>
      </c>
      <c r="T2676" s="147" t="n">
        <v>0.021806439772309</v>
      </c>
    </row>
    <row r="2677" customFormat="false" ht="12.75" hidden="false" customHeight="true" outlineLevel="0" collapsed="false">
      <c r="P2677" s="1" t="n">
        <v>2674</v>
      </c>
      <c r="Q2677" s="147" t="n">
        <v>60182.3515622471</v>
      </c>
      <c r="R2677" s="147" t="n">
        <v>0.271549936862847</v>
      </c>
      <c r="S2677" s="147" t="n">
        <v>0.077422399256929</v>
      </c>
      <c r="T2677" s="147" t="n">
        <v>0.0225645486168597</v>
      </c>
    </row>
    <row r="2678" customFormat="false" ht="12.75" hidden="false" customHeight="true" outlineLevel="0" collapsed="false">
      <c r="P2678" s="1" t="n">
        <v>2675</v>
      </c>
      <c r="Q2678" s="147" t="n">
        <v>60205.2261305401</v>
      </c>
      <c r="R2678" s="147" t="n">
        <v>0.271720220158188</v>
      </c>
      <c r="S2678" s="147" t="n">
        <v>0.0801394832329103</v>
      </c>
      <c r="T2678" s="147" t="n">
        <v>0.0224071977901431</v>
      </c>
    </row>
    <row r="2679" customFormat="false" ht="12.75" hidden="false" customHeight="true" outlineLevel="0" collapsed="false">
      <c r="P2679" s="1" t="n">
        <v>2676</v>
      </c>
      <c r="Q2679" s="147" t="n">
        <v>60227.0185302121</v>
      </c>
      <c r="R2679" s="147" t="n">
        <v>0.271356581072456</v>
      </c>
      <c r="S2679" s="147" t="n">
        <v>0.0801783243777938</v>
      </c>
      <c r="T2679" s="147" t="n">
        <v>0.0231801724302431</v>
      </c>
    </row>
    <row r="2680" customFormat="false" ht="12.75" hidden="false" customHeight="true" outlineLevel="0" collapsed="false">
      <c r="P2680" s="1" t="n">
        <v>2677</v>
      </c>
      <c r="Q2680" s="147" t="n">
        <v>60249.3951599421</v>
      </c>
      <c r="R2680" s="147" t="n">
        <v>0.271203205949478</v>
      </c>
      <c r="S2680" s="147" t="n">
        <v>0.0780063903555063</v>
      </c>
      <c r="T2680" s="147" t="n">
        <v>0.0232290787470802</v>
      </c>
    </row>
    <row r="2681" customFormat="false" ht="12.75" hidden="false" customHeight="true" outlineLevel="0" collapsed="false">
      <c r="P2681" s="1" t="n">
        <v>2678</v>
      </c>
      <c r="Q2681" s="147" t="n">
        <v>60271.1885962601</v>
      </c>
      <c r="R2681" s="147" t="n">
        <v>0.271012372335529</v>
      </c>
      <c r="S2681" s="147" t="n">
        <v>0.0771655371359622</v>
      </c>
      <c r="T2681" s="147" t="n">
        <v>0.0236826655593276</v>
      </c>
    </row>
    <row r="2682" customFormat="false" ht="12.75" hidden="false" customHeight="true" outlineLevel="0" collapsed="false">
      <c r="P2682" s="1" t="n">
        <v>2679</v>
      </c>
      <c r="Q2682" s="147" t="n">
        <v>60293.2270093871</v>
      </c>
      <c r="R2682" s="147" t="n">
        <v>0.270580021566069</v>
      </c>
      <c r="S2682" s="147" t="n">
        <v>0.0733389380435716</v>
      </c>
      <c r="T2682" s="147" t="n">
        <v>0.0236554709898288</v>
      </c>
    </row>
    <row r="2683" customFormat="false" ht="12.75" hidden="false" customHeight="true" outlineLevel="0" collapsed="false">
      <c r="P2683" s="1" t="n">
        <v>2680</v>
      </c>
      <c r="Q2683" s="147" t="n">
        <v>60316.1421625321</v>
      </c>
      <c r="R2683" s="147" t="n">
        <v>0.270378837169844</v>
      </c>
      <c r="S2683" s="147" t="n">
        <v>0.0667861301154815</v>
      </c>
      <c r="T2683" s="147" t="n">
        <v>0.0238859128396141</v>
      </c>
    </row>
    <row r="2684" customFormat="false" ht="12.75" hidden="false" customHeight="true" outlineLevel="0" collapsed="false">
      <c r="P2684" s="1" t="n">
        <v>2681</v>
      </c>
      <c r="Q2684" s="147" t="n">
        <v>60338.2608031471</v>
      </c>
      <c r="R2684" s="147" t="n">
        <v>0.270070817552927</v>
      </c>
      <c r="S2684" s="147" t="n">
        <v>0.0659042326335397</v>
      </c>
      <c r="T2684" s="147" t="n">
        <v>0.0243440037941594</v>
      </c>
    </row>
    <row r="2685" customFormat="false" ht="12.75" hidden="false" customHeight="true" outlineLevel="0" collapsed="false">
      <c r="P2685" s="1" t="n">
        <v>2682</v>
      </c>
      <c r="Q2685" s="147" t="n">
        <v>60361.1297094431</v>
      </c>
      <c r="R2685" s="147" t="n">
        <v>0.269722089742241</v>
      </c>
      <c r="S2685" s="147" t="n">
        <v>0.0628149050793213</v>
      </c>
      <c r="T2685" s="147" t="n">
        <v>0.0257289092038447</v>
      </c>
    </row>
    <row r="2686" customFormat="false" ht="12.75" hidden="false" customHeight="true" outlineLevel="0" collapsed="false">
      <c r="P2686" s="1" t="n">
        <v>2683</v>
      </c>
      <c r="Q2686" s="147" t="n">
        <v>60383.2148244571</v>
      </c>
      <c r="R2686" s="147" t="n">
        <v>0.269863649067999</v>
      </c>
      <c r="S2686" s="147" t="n">
        <v>0.0625428151985139</v>
      </c>
      <c r="T2686" s="147" t="n">
        <v>0.0259154927589334</v>
      </c>
    </row>
    <row r="2687" customFormat="false" ht="12.75" hidden="false" customHeight="true" outlineLevel="0" collapsed="false">
      <c r="P2687" s="1" t="n">
        <v>2684</v>
      </c>
      <c r="Q2687" s="147" t="n">
        <v>60405.9578415031</v>
      </c>
      <c r="R2687" s="147" t="n">
        <v>0.269533269537532</v>
      </c>
      <c r="S2687" s="147" t="n">
        <v>0.0640092041084947</v>
      </c>
      <c r="T2687" s="147" t="n">
        <v>0.0266264396576185</v>
      </c>
    </row>
    <row r="2688" customFormat="false" ht="12.75" hidden="false" customHeight="true" outlineLevel="0" collapsed="false">
      <c r="P2688" s="1" t="n">
        <v>2685</v>
      </c>
      <c r="Q2688" s="147" t="n">
        <v>60427.8754105281</v>
      </c>
      <c r="R2688" s="147" t="n">
        <v>0.26983349969337</v>
      </c>
      <c r="S2688" s="147" t="n">
        <v>0.0653945889957725</v>
      </c>
      <c r="T2688" s="147" t="n">
        <v>0.0269228353562918</v>
      </c>
    </row>
    <row r="2689" customFormat="false" ht="12.75" hidden="false" customHeight="true" outlineLevel="0" collapsed="false">
      <c r="P2689" s="1" t="n">
        <v>2686</v>
      </c>
      <c r="Q2689" s="147" t="n">
        <v>60450.5367272011</v>
      </c>
      <c r="R2689" s="147" t="n">
        <v>0.269264458455115</v>
      </c>
      <c r="S2689" s="147" t="n">
        <v>0.071506322541496</v>
      </c>
      <c r="T2689" s="147" t="n">
        <v>0.0279436198388899</v>
      </c>
    </row>
    <row r="2690" customFormat="false" ht="12.75" hidden="false" customHeight="true" outlineLevel="0" collapsed="false">
      <c r="P2690" s="1" t="n">
        <v>2687</v>
      </c>
      <c r="Q2690" s="147" t="n">
        <v>60472.5040401521</v>
      </c>
      <c r="R2690" s="147" t="n">
        <v>0.269583194122294</v>
      </c>
      <c r="S2690" s="147" t="n">
        <v>0.0737469104846987</v>
      </c>
      <c r="T2690" s="147" t="n">
        <v>0.0271974269600777</v>
      </c>
    </row>
    <row r="2691" customFormat="false" ht="12.75" hidden="false" customHeight="true" outlineLevel="0" collapsed="false">
      <c r="P2691" s="1" t="n">
        <v>2688</v>
      </c>
      <c r="Q2691" s="147" t="n">
        <v>60494.8580939661</v>
      </c>
      <c r="R2691" s="147" t="n">
        <v>0.268780982610451</v>
      </c>
      <c r="S2691" s="147" t="n">
        <v>0.0813516315245918</v>
      </c>
      <c r="T2691" s="147" t="n">
        <v>0.0267661800634813</v>
      </c>
    </row>
    <row r="2692" customFormat="false" ht="12.75" hidden="false" customHeight="true" outlineLevel="0" collapsed="false">
      <c r="P2692" s="1" t="n">
        <v>2689</v>
      </c>
      <c r="Q2692" s="147" t="n">
        <v>60517.8922345201</v>
      </c>
      <c r="R2692" s="147" t="n">
        <v>0.268706059024975</v>
      </c>
      <c r="S2692" s="147" t="n">
        <v>0.0907737486325982</v>
      </c>
      <c r="T2692" s="147" t="n">
        <v>0.0252275225489839</v>
      </c>
    </row>
    <row r="2693" customFormat="false" ht="12.75" hidden="false" customHeight="true" outlineLevel="0" collapsed="false">
      <c r="P2693" s="1" t="n">
        <v>2690</v>
      </c>
      <c r="Q2693" s="147" t="n">
        <v>60539.8111149801</v>
      </c>
      <c r="R2693" s="147" t="n">
        <v>0.268688481243833</v>
      </c>
      <c r="S2693" s="147" t="n">
        <v>0.0922206103782853</v>
      </c>
      <c r="T2693" s="147" t="n">
        <v>0.0237069283070758</v>
      </c>
    </row>
    <row r="2694" customFormat="false" ht="12.75" hidden="false" customHeight="true" outlineLevel="0" collapsed="false">
      <c r="P2694" s="1" t="n">
        <v>2691</v>
      </c>
      <c r="Q2694" s="147" t="n">
        <v>60562.5545673641</v>
      </c>
      <c r="R2694" s="147" t="n">
        <v>0.26792980541005</v>
      </c>
      <c r="S2694" s="147" t="n">
        <v>0.0948767973479264</v>
      </c>
      <c r="T2694" s="147" t="n">
        <v>0.0214176685752472</v>
      </c>
    </row>
    <row r="2695" customFormat="false" ht="12.75" hidden="false" customHeight="true" outlineLevel="0" collapsed="false">
      <c r="P2695" s="1" t="n">
        <v>2692</v>
      </c>
      <c r="Q2695" s="147" t="n">
        <v>60585.0515152671</v>
      </c>
      <c r="R2695" s="147" t="n">
        <v>0.267595752691011</v>
      </c>
      <c r="S2695" s="147" t="n">
        <v>0.095234689522559</v>
      </c>
      <c r="T2695" s="147" t="n">
        <v>0.0207725369439741</v>
      </c>
    </row>
    <row r="2696" customFormat="false" ht="12.75" hidden="false" customHeight="true" outlineLevel="0" collapsed="false">
      <c r="P2696" s="1" t="n">
        <v>2693</v>
      </c>
      <c r="Q2696" s="147" t="n">
        <v>60607.7055635201</v>
      </c>
      <c r="R2696" s="147" t="n">
        <v>0.267033906698613</v>
      </c>
      <c r="S2696" s="147" t="n">
        <v>0.0947992290245506</v>
      </c>
      <c r="T2696" s="147" t="n">
        <v>0.0186939265824206</v>
      </c>
    </row>
    <row r="2697" customFormat="false" ht="12.75" hidden="false" customHeight="true" outlineLevel="0" collapsed="false">
      <c r="P2697" s="1" t="n">
        <v>2694</v>
      </c>
      <c r="Q2697" s="147" t="n">
        <v>60630.0436712091</v>
      </c>
      <c r="R2697" s="147" t="n">
        <v>0.266269611503738</v>
      </c>
      <c r="S2697" s="147" t="n">
        <v>0.092038623491438</v>
      </c>
      <c r="T2697" s="147" t="n">
        <v>0.0176119141423286</v>
      </c>
    </row>
    <row r="2698" customFormat="false" ht="12.75" hidden="false" customHeight="true" outlineLevel="0" collapsed="false">
      <c r="P2698" s="1" t="n">
        <v>2695</v>
      </c>
      <c r="Q2698" s="147" t="n">
        <v>60652.8302993851</v>
      </c>
      <c r="R2698" s="147" t="n">
        <v>0.265797014497075</v>
      </c>
      <c r="S2698" s="147" t="n">
        <v>0.0872791006032006</v>
      </c>
      <c r="T2698" s="147" t="n">
        <v>0.0154506333366924</v>
      </c>
    </row>
    <row r="2699" customFormat="false" ht="12.75" hidden="false" customHeight="true" outlineLevel="0" collapsed="false">
      <c r="P2699" s="1" t="n">
        <v>2696</v>
      </c>
      <c r="Q2699" s="147" t="n">
        <v>60675.3646689331</v>
      </c>
      <c r="R2699" s="147" t="n">
        <v>0.264832817536886</v>
      </c>
      <c r="S2699" s="147" t="n">
        <v>0.0826066902555265</v>
      </c>
      <c r="T2699" s="147" t="n">
        <v>0.0141720125996683</v>
      </c>
    </row>
    <row r="2700" customFormat="false" ht="12.75" hidden="false" customHeight="true" outlineLevel="0" collapsed="false">
      <c r="P2700" s="1" t="n">
        <v>2697</v>
      </c>
      <c r="Q2700" s="147" t="n">
        <v>60697.9511713251</v>
      </c>
      <c r="R2700" s="147" t="n">
        <v>0.264185305506831</v>
      </c>
      <c r="S2700" s="147" t="n">
        <v>0.0778172261392315</v>
      </c>
      <c r="T2700" s="147" t="n">
        <v>0.012854731969286</v>
      </c>
    </row>
    <row r="2701" customFormat="false" ht="12.75" hidden="false" customHeight="true" outlineLevel="0" collapsed="false">
      <c r="P2701" s="1" t="n">
        <v>2698</v>
      </c>
      <c r="Q2701" s="147" t="n">
        <v>60719.8585297221</v>
      </c>
      <c r="R2701" s="147" t="n">
        <v>0.263603892056784</v>
      </c>
      <c r="S2701" s="147" t="n">
        <v>0.0760716791612807</v>
      </c>
      <c r="T2701" s="147" t="n">
        <v>0.0121443713569629</v>
      </c>
    </row>
    <row r="2702" customFormat="false" ht="12.75" hidden="false" customHeight="true" outlineLevel="0" collapsed="false">
      <c r="P2702" s="1" t="n">
        <v>2699</v>
      </c>
      <c r="Q2702" s="147" t="n">
        <v>60742.7360794631</v>
      </c>
      <c r="R2702" s="147" t="n">
        <v>0.263727093762311</v>
      </c>
      <c r="S2702" s="147" t="n">
        <v>0.0735492560319132</v>
      </c>
      <c r="T2702" s="147" t="n">
        <v>0.0124679860626193</v>
      </c>
    </row>
    <row r="2703" customFormat="false" ht="12.75" hidden="false" customHeight="true" outlineLevel="0" collapsed="false">
      <c r="P2703" s="1" t="n">
        <v>2700</v>
      </c>
      <c r="Q2703" s="147" t="n">
        <v>60764.8843432651</v>
      </c>
      <c r="R2703" s="147" t="n">
        <v>0.263966436333802</v>
      </c>
      <c r="S2703" s="147" t="n">
        <v>0.0735674136300665</v>
      </c>
      <c r="T2703" s="147" t="n">
        <v>0.0123839844094178</v>
      </c>
    </row>
    <row r="2704" customFormat="false" ht="12.75" hidden="false" customHeight="true" outlineLevel="0" collapsed="false">
      <c r="P2704" s="1" t="n">
        <v>2701</v>
      </c>
      <c r="Q2704" s="147" t="n">
        <v>60787.2154666431</v>
      </c>
      <c r="R2704" s="147" t="n">
        <v>0.264566451586103</v>
      </c>
      <c r="S2704" s="147" t="n">
        <v>0.0744610375054254</v>
      </c>
      <c r="T2704" s="147" t="n">
        <v>0.0150146085344674</v>
      </c>
    </row>
    <row r="2705" customFormat="false" ht="12.75" hidden="false" customHeight="true" outlineLevel="0" collapsed="false">
      <c r="P2705" s="1" t="n">
        <v>2702</v>
      </c>
      <c r="Q2705" s="147" t="n">
        <v>60809.3359499201</v>
      </c>
      <c r="R2705" s="147" t="n">
        <v>0.265694608020528</v>
      </c>
      <c r="S2705" s="147" t="n">
        <v>0.0758705835039182</v>
      </c>
      <c r="T2705" s="147" t="n">
        <v>0.0161181011934924</v>
      </c>
    </row>
    <row r="2706" customFormat="false" ht="12.75" hidden="false" customHeight="true" outlineLevel="0" collapsed="false">
      <c r="P2706" s="1" t="n">
        <v>2703</v>
      </c>
      <c r="Q2706" s="147" t="n">
        <v>60831.6403051871</v>
      </c>
      <c r="R2706" s="147" t="n">
        <v>0.266602867537532</v>
      </c>
      <c r="S2706" s="147" t="n">
        <v>0.0793835524911592</v>
      </c>
      <c r="T2706" s="147" t="n">
        <v>0.0179857679465818</v>
      </c>
    </row>
    <row r="2707" customFormat="false" ht="12.75" hidden="false" customHeight="true" outlineLevel="0" collapsed="false">
      <c r="P2707" s="1" t="n">
        <v>2704</v>
      </c>
      <c r="Q2707" s="147" t="n">
        <v>60853.9447954251</v>
      </c>
      <c r="R2707" s="147" t="n">
        <v>0.267218067171145</v>
      </c>
      <c r="S2707" s="147" t="n">
        <v>0.0836478116116536</v>
      </c>
      <c r="T2707" s="147" t="n">
        <v>0.0200701867413314</v>
      </c>
    </row>
    <row r="2708" customFormat="false" ht="12.75" hidden="false" customHeight="true" outlineLevel="0" collapsed="false">
      <c r="P2708" s="1" t="n">
        <v>2705</v>
      </c>
      <c r="Q2708" s="147" t="n">
        <v>60876.8854623671</v>
      </c>
      <c r="R2708" s="147" t="n">
        <v>0.267455453607307</v>
      </c>
      <c r="S2708" s="147" t="n">
        <v>0.0897227250600619</v>
      </c>
      <c r="T2708" s="147" t="n">
        <v>0.0213476288163155</v>
      </c>
    </row>
    <row r="2709" customFormat="false" ht="12.75" hidden="false" customHeight="true" outlineLevel="0" collapsed="false">
      <c r="P2709" s="1" t="n">
        <v>2706</v>
      </c>
      <c r="Q2709" s="147" t="n">
        <v>60899.4314402421</v>
      </c>
      <c r="R2709" s="147" t="n">
        <v>0.267574827459404</v>
      </c>
      <c r="S2709" s="147" t="n">
        <v>0.0941091505697274</v>
      </c>
      <c r="T2709" s="147" t="n">
        <v>0.0211288899538985</v>
      </c>
    </row>
    <row r="2710" customFormat="false" ht="12.75" hidden="false" customHeight="true" outlineLevel="0" collapsed="false">
      <c r="P2710" s="1" t="n">
        <v>2707</v>
      </c>
      <c r="Q2710" s="147" t="n">
        <v>60921.9680680171</v>
      </c>
      <c r="R2710" s="147" t="n">
        <v>0.266893526421298</v>
      </c>
      <c r="S2710" s="147" t="n">
        <v>0.097510430749393</v>
      </c>
      <c r="T2710" s="147" t="n">
        <v>0.0207898813776699</v>
      </c>
    </row>
    <row r="2711" customFormat="false" ht="12.75" hidden="false" customHeight="true" outlineLevel="0" collapsed="false">
      <c r="P2711" s="1" t="n">
        <v>2708</v>
      </c>
      <c r="Q2711" s="147" t="n">
        <v>60944.7289610261</v>
      </c>
      <c r="R2711" s="147" t="n">
        <v>0.266390235232271</v>
      </c>
      <c r="S2711" s="147" t="n">
        <v>0.0987605684665431</v>
      </c>
      <c r="T2711" s="147" t="n">
        <v>0.020026888761986</v>
      </c>
    </row>
    <row r="2712" customFormat="false" ht="12.75" hidden="false" customHeight="true" outlineLevel="0" collapsed="false">
      <c r="P2712" s="1" t="n">
        <v>2709</v>
      </c>
      <c r="Q2712" s="147" t="n">
        <v>60967.1617039581</v>
      </c>
      <c r="R2712" s="147" t="n">
        <v>0.265757545386845</v>
      </c>
      <c r="S2712" s="147" t="n">
        <v>0.0981635829842434</v>
      </c>
      <c r="T2712" s="147" t="n">
        <v>0.019364053870505</v>
      </c>
    </row>
    <row r="2713" customFormat="false" ht="12.75" hidden="false" customHeight="true" outlineLevel="0" collapsed="false">
      <c r="P2713" s="1" t="n">
        <v>2710</v>
      </c>
      <c r="Q2713" s="147" t="n">
        <v>60989.9881134471</v>
      </c>
      <c r="R2713" s="147" t="n">
        <v>0.265545124478498</v>
      </c>
      <c r="S2713" s="147" t="n">
        <v>0.0945601704554844</v>
      </c>
      <c r="T2713" s="147" t="n">
        <v>0.0168656040060264</v>
      </c>
    </row>
    <row r="2714" customFormat="false" ht="12.75" hidden="false" customHeight="true" outlineLevel="0" collapsed="false">
      <c r="P2714" s="1" t="n">
        <v>2711</v>
      </c>
      <c r="Q2714" s="147" t="n">
        <v>61012.3086621021</v>
      </c>
      <c r="R2714" s="147" t="n">
        <v>0.265380236399222</v>
      </c>
      <c r="S2714" s="147" t="n">
        <v>0.0919844479354092</v>
      </c>
      <c r="T2714" s="147" t="n">
        <v>0.0157682055014507</v>
      </c>
    </row>
    <row r="2715" customFormat="false" ht="12.75" hidden="false" customHeight="true" outlineLevel="0" collapsed="false">
      <c r="P2715" s="1" t="n">
        <v>2712</v>
      </c>
      <c r="Q2715" s="147" t="n">
        <v>61034.8198495401</v>
      </c>
      <c r="R2715" s="147" t="n">
        <v>0.265599177430049</v>
      </c>
      <c r="S2715" s="147" t="n">
        <v>0.0860577243233316</v>
      </c>
      <c r="T2715" s="147" t="n">
        <v>0.0129566178300852</v>
      </c>
    </row>
    <row r="2716" customFormat="false" ht="12.75" hidden="false" customHeight="true" outlineLevel="0" collapsed="false">
      <c r="P2716" s="1" t="n">
        <v>2713</v>
      </c>
      <c r="Q2716" s="147" t="n">
        <v>61056.8546516421</v>
      </c>
      <c r="R2716" s="147" t="n">
        <v>0.2654509616668</v>
      </c>
      <c r="S2716" s="147" t="n">
        <v>0.0843396175009324</v>
      </c>
      <c r="T2716" s="147" t="n">
        <v>0.0111696221413825</v>
      </c>
    </row>
    <row r="2717" customFormat="false" ht="12.75" hidden="false" customHeight="true" outlineLevel="0" collapsed="false">
      <c r="P2717" s="1" t="n">
        <v>2714</v>
      </c>
      <c r="Q2717" s="147" t="n">
        <v>61079.5424689321</v>
      </c>
      <c r="R2717" s="147" t="n">
        <v>0.26556099637619</v>
      </c>
      <c r="S2717" s="147" t="n">
        <v>0.0813983434974829</v>
      </c>
      <c r="T2717" s="147" t="n">
        <v>0.00892098266265572</v>
      </c>
    </row>
    <row r="2718" customFormat="false" ht="12.75" hidden="false" customHeight="true" outlineLevel="0" collapsed="false">
      <c r="P2718" s="1" t="n">
        <v>2715</v>
      </c>
      <c r="Q2718" s="147" t="n">
        <v>61101.9334815661</v>
      </c>
      <c r="R2718" s="147" t="n">
        <v>0.26537240197651</v>
      </c>
      <c r="S2718" s="147" t="n">
        <v>0.0816840042296984</v>
      </c>
      <c r="T2718" s="147" t="n">
        <v>0.00770997639841621</v>
      </c>
    </row>
    <row r="2719" customFormat="false" ht="12.75" hidden="false" customHeight="true" outlineLevel="0" collapsed="false">
      <c r="P2719" s="1" t="n">
        <v>2716</v>
      </c>
      <c r="Q2719" s="147" t="n">
        <v>61124.6291985241</v>
      </c>
      <c r="R2719" s="147" t="n">
        <v>0.265434934804413</v>
      </c>
      <c r="S2719" s="147" t="n">
        <v>0.0830157049014929</v>
      </c>
      <c r="T2719" s="147" t="n">
        <v>0.00777655366800908</v>
      </c>
    </row>
    <row r="2720" customFormat="false" ht="12.75" hidden="false" customHeight="true" outlineLevel="0" collapsed="false">
      <c r="P2720" s="1" t="n">
        <v>2717</v>
      </c>
      <c r="Q2720" s="147" t="n">
        <v>61147.1123419911</v>
      </c>
      <c r="R2720" s="147" t="n">
        <v>0.265613834178814</v>
      </c>
      <c r="S2720" s="147" t="n">
        <v>0.0846331041732084</v>
      </c>
      <c r="T2720" s="147" t="n">
        <v>0.00826152026633427</v>
      </c>
    </row>
    <row r="2721" customFormat="false" ht="12.75" hidden="false" customHeight="true" outlineLevel="0" collapsed="false">
      <c r="P2721" s="1" t="n">
        <v>2718</v>
      </c>
      <c r="Q2721" s="147" t="n">
        <v>61169.5849450081</v>
      </c>
      <c r="R2721" s="147" t="n">
        <v>0.266180011746394</v>
      </c>
      <c r="S2721" s="147" t="n">
        <v>0.0850192574172262</v>
      </c>
      <c r="T2721" s="147" t="n">
        <v>0.00975606422452377</v>
      </c>
    </row>
    <row r="2722" customFormat="false" ht="12.75" hidden="false" customHeight="true" outlineLevel="0" collapsed="false">
      <c r="P2722" s="1" t="n">
        <v>2719</v>
      </c>
      <c r="Q2722" s="147" t="n">
        <v>61192.0400446781</v>
      </c>
      <c r="R2722" s="147" t="n">
        <v>0.267014831434623</v>
      </c>
      <c r="S2722" s="147" t="n">
        <v>0.0833958056835502</v>
      </c>
      <c r="T2722" s="147" t="n">
        <v>0.0110779123967927</v>
      </c>
    </row>
    <row r="2723" customFormat="false" ht="12.75" hidden="false" customHeight="true" outlineLevel="0" collapsed="false">
      <c r="P2723" s="1" t="n">
        <v>2720</v>
      </c>
      <c r="Q2723" s="147" t="n">
        <v>61214.9312477201</v>
      </c>
      <c r="R2723" s="147" t="n">
        <v>0.268100640204498</v>
      </c>
      <c r="S2723" s="147" t="n">
        <v>0.0773697893969732</v>
      </c>
      <c r="T2723" s="147" t="n">
        <v>0.0130783745957325</v>
      </c>
    </row>
    <row r="2724" customFormat="false" ht="12.75" hidden="false" customHeight="true" outlineLevel="0" collapsed="false">
      <c r="P2724" s="1" t="n">
        <v>2721</v>
      </c>
      <c r="Q2724" s="147" t="n">
        <v>61237.5004279091</v>
      </c>
      <c r="R2724" s="147" t="n">
        <v>0.269481599586421</v>
      </c>
      <c r="S2724" s="147" t="n">
        <v>0.0723633858889508</v>
      </c>
      <c r="T2724" s="147" t="n">
        <v>0.0136689313235864</v>
      </c>
    </row>
    <row r="2725" customFormat="false" ht="12.75" hidden="false" customHeight="true" outlineLevel="0" collapsed="false">
      <c r="P2725" s="1" t="n">
        <v>2722</v>
      </c>
      <c r="Q2725" s="147" t="n">
        <v>61260.2755004701</v>
      </c>
      <c r="R2725" s="147" t="n">
        <v>0.270199845305816</v>
      </c>
      <c r="S2725" s="147" t="n">
        <v>0.064967710128494</v>
      </c>
      <c r="T2725" s="147" t="n">
        <v>0.0144920557376397</v>
      </c>
    </row>
    <row r="2726" customFormat="false" ht="12.75" hidden="false" customHeight="true" outlineLevel="0" collapsed="false">
      <c r="P2726" s="1" t="n">
        <v>2723</v>
      </c>
      <c r="Q2726" s="147" t="n">
        <v>61281.9534765121</v>
      </c>
      <c r="R2726" s="147" t="n">
        <v>0.270588844599103</v>
      </c>
      <c r="S2726" s="147" t="n">
        <v>0.0639737822214814</v>
      </c>
      <c r="T2726" s="147" t="n">
        <v>0.0146612211224192</v>
      </c>
    </row>
    <row r="2727" customFormat="false" ht="12.75" hidden="false" customHeight="true" outlineLevel="0" collapsed="false">
      <c r="P2727" s="1" t="n">
        <v>2724</v>
      </c>
      <c r="Q2727" s="147" t="n">
        <v>61304.3664292261</v>
      </c>
      <c r="R2727" s="147" t="n">
        <v>0.270390496114075</v>
      </c>
      <c r="S2727" s="147" t="n">
        <v>0.0593940465179789</v>
      </c>
      <c r="T2727" s="147" t="n">
        <v>0.014354399420188</v>
      </c>
    </row>
    <row r="2728" customFormat="false" ht="12.75" hidden="false" customHeight="true" outlineLevel="0" collapsed="false">
      <c r="P2728" s="1" t="n">
        <v>2725</v>
      </c>
      <c r="Q2728" s="147" t="n">
        <v>61326.2314164491</v>
      </c>
      <c r="R2728" s="147" t="n">
        <v>0.270282610940736</v>
      </c>
      <c r="S2728" s="147" t="n">
        <v>0.0595871373859388</v>
      </c>
      <c r="T2728" s="147" t="n">
        <v>0.0148575051347125</v>
      </c>
    </row>
    <row r="2729" customFormat="false" ht="12.75" hidden="false" customHeight="true" outlineLevel="0" collapsed="false">
      <c r="P2729" s="1" t="n">
        <v>2726</v>
      </c>
      <c r="Q2729" s="147" t="n">
        <v>61349.0524182711</v>
      </c>
      <c r="R2729" s="147" t="n">
        <v>0.270347176592738</v>
      </c>
      <c r="S2729" s="147" t="n">
        <v>0.0650535370436661</v>
      </c>
      <c r="T2729" s="147" t="n">
        <v>0.0127601727338614</v>
      </c>
    </row>
    <row r="2730" customFormat="false" ht="12.75" hidden="false" customHeight="true" outlineLevel="0" collapsed="false">
      <c r="P2730" s="1" t="n">
        <v>2727</v>
      </c>
      <c r="Q2730" s="147" t="n">
        <v>61371.1256025551</v>
      </c>
      <c r="R2730" s="147" t="n">
        <v>0.269676492598202</v>
      </c>
      <c r="S2730" s="147" t="n">
        <v>0.0664364886044471</v>
      </c>
      <c r="T2730" s="147" t="n">
        <v>0.013902100370483</v>
      </c>
    </row>
    <row r="2731" customFormat="false" ht="12.75" hidden="false" customHeight="true" outlineLevel="0" collapsed="false">
      <c r="P2731" s="1" t="n">
        <v>2728</v>
      </c>
      <c r="Q2731" s="147" t="n">
        <v>61393.9531684391</v>
      </c>
      <c r="R2731" s="147" t="n">
        <v>0.269677783173573</v>
      </c>
      <c r="S2731" s="147" t="n">
        <v>0.0758671095509008</v>
      </c>
      <c r="T2731" s="147" t="n">
        <v>0.0118283849170109</v>
      </c>
    </row>
    <row r="2732" customFormat="false" ht="12.75" hidden="false" customHeight="true" outlineLevel="0" collapsed="false">
      <c r="P2732" s="1" t="n">
        <v>2729</v>
      </c>
      <c r="Q2732" s="147" t="n">
        <v>61415.7055185751</v>
      </c>
      <c r="R2732" s="147" t="n">
        <v>0.269073684899978</v>
      </c>
      <c r="S2732" s="147" t="n">
        <v>0.0765381954809357</v>
      </c>
      <c r="T2732" s="147" t="n">
        <v>0.0128533888253707</v>
      </c>
    </row>
    <row r="2733" customFormat="false" ht="12.75" hidden="false" customHeight="true" outlineLevel="0" collapsed="false">
      <c r="P2733" s="1" t="n">
        <v>2730</v>
      </c>
      <c r="Q2733" s="147" t="n">
        <v>61438.0625306491</v>
      </c>
      <c r="R2733" s="147" t="n">
        <v>0.269635741127546</v>
      </c>
      <c r="S2733" s="147" t="n">
        <v>0.0776220545453104</v>
      </c>
      <c r="T2733" s="147" t="n">
        <v>0.0130263495443156</v>
      </c>
    </row>
    <row r="2734" customFormat="false" ht="12.75" hidden="false" customHeight="true" outlineLevel="0" collapsed="false">
      <c r="P2734" s="1" t="n">
        <v>2731</v>
      </c>
      <c r="Q2734" s="147" t="n">
        <v>61460.4268419831</v>
      </c>
      <c r="R2734" s="147" t="n">
        <v>0.27059118895829</v>
      </c>
      <c r="S2734" s="147" t="n">
        <v>0.0789802422265733</v>
      </c>
      <c r="T2734" s="147" t="n">
        <v>0.0119762838273643</v>
      </c>
    </row>
    <row r="2735" customFormat="false" ht="12.75" hidden="false" customHeight="true" outlineLevel="0" collapsed="false">
      <c r="P2735" s="1" t="n">
        <v>2732</v>
      </c>
      <c r="Q2735" s="147" t="n">
        <v>61482.5302353621</v>
      </c>
      <c r="R2735" s="147" t="n">
        <v>0.271333068148889</v>
      </c>
      <c r="S2735" s="147" t="n">
        <v>0.0791712140987979</v>
      </c>
      <c r="T2735" s="147" t="n">
        <v>0.012291074012943</v>
      </c>
    </row>
    <row r="2736" customFormat="false" ht="12.75" hidden="false" customHeight="true" outlineLevel="0" collapsed="false">
      <c r="P2736" s="1" t="n">
        <v>2733</v>
      </c>
      <c r="Q2736" s="147" t="n">
        <v>61505.1829426271</v>
      </c>
      <c r="R2736" s="147" t="n">
        <v>0.272869047031711</v>
      </c>
      <c r="S2736" s="147" t="n">
        <v>0.0808873252360992</v>
      </c>
      <c r="T2736" s="147" t="n">
        <v>0.013705132286214</v>
      </c>
    </row>
    <row r="2737" customFormat="false" ht="12.75" hidden="false" customHeight="true" outlineLevel="0" collapsed="false">
      <c r="P2737" s="1" t="n">
        <v>2734</v>
      </c>
      <c r="Q2737" s="147" t="n">
        <v>61527.4002762271</v>
      </c>
      <c r="R2737" s="147" t="n">
        <v>0.273693704150788</v>
      </c>
      <c r="S2737" s="147" t="n">
        <v>0.0816915020249227</v>
      </c>
      <c r="T2737" s="147" t="n">
        <v>0.0147843631965095</v>
      </c>
    </row>
    <row r="2738" customFormat="false" ht="12.75" hidden="false" customHeight="true" outlineLevel="0" collapsed="false">
      <c r="P2738" s="1" t="n">
        <v>2735</v>
      </c>
      <c r="Q2738" s="147" t="n">
        <v>61549.6736762451</v>
      </c>
      <c r="R2738" s="147" t="n">
        <v>0.274492950134144</v>
      </c>
      <c r="S2738" s="147" t="n">
        <v>0.0818739545928071</v>
      </c>
      <c r="T2738" s="147" t="n">
        <v>0.0170389488830027</v>
      </c>
    </row>
    <row r="2739" customFormat="false" ht="12.75" hidden="false" customHeight="true" outlineLevel="0" collapsed="false">
      <c r="P2739" s="1" t="n">
        <v>2736</v>
      </c>
      <c r="Q2739" s="147" t="n">
        <v>61572.0732325031</v>
      </c>
      <c r="R2739" s="147" t="n">
        <v>0.275000011806657</v>
      </c>
      <c r="S2739" s="147" t="n">
        <v>0.0817812979623289</v>
      </c>
      <c r="T2739" s="147" t="n">
        <v>0.0191020482301732</v>
      </c>
    </row>
    <row r="2740" customFormat="false" ht="12.75" hidden="false" customHeight="true" outlineLevel="0" collapsed="false">
      <c r="P2740" s="1" t="n">
        <v>2737</v>
      </c>
      <c r="Q2740" s="147" t="n">
        <v>61594.2897491661</v>
      </c>
      <c r="R2740" s="147" t="n">
        <v>0.275338858923021</v>
      </c>
      <c r="S2740" s="147" t="n">
        <v>0.0817891162823624</v>
      </c>
      <c r="T2740" s="147" t="n">
        <v>0.0205528597282539</v>
      </c>
    </row>
    <row r="2741" customFormat="false" ht="12.75" hidden="false" customHeight="true" outlineLevel="0" collapsed="false">
      <c r="P2741" s="1" t="n">
        <v>2738</v>
      </c>
      <c r="Q2741" s="147" t="n">
        <v>61616.5191049261</v>
      </c>
      <c r="R2741" s="147" t="n">
        <v>0.275434686941537</v>
      </c>
      <c r="S2741" s="147" t="n">
        <v>0.081942670753124</v>
      </c>
      <c r="T2741" s="147" t="n">
        <v>0.0221129489947924</v>
      </c>
    </row>
    <row r="2742" customFormat="false" ht="12.75" hidden="false" customHeight="true" outlineLevel="0" collapsed="false">
      <c r="P2742" s="1" t="n">
        <v>2739</v>
      </c>
      <c r="Q2742" s="147" t="n">
        <v>61638.3570763291</v>
      </c>
      <c r="R2742" s="147" t="n">
        <v>0.275129438685497</v>
      </c>
      <c r="S2742" s="147" t="n">
        <v>0.0827781338018692</v>
      </c>
      <c r="T2742" s="147" t="n">
        <v>0.0231154599361031</v>
      </c>
    </row>
    <row r="2743" customFormat="false" ht="12.75" hidden="false" customHeight="true" outlineLevel="0" collapsed="false">
      <c r="P2743" s="1" t="n">
        <v>2740</v>
      </c>
      <c r="Q2743" s="147" t="n">
        <v>61660.9550792201</v>
      </c>
      <c r="R2743" s="147" t="n">
        <v>0.274186522460998</v>
      </c>
      <c r="S2743" s="147" t="n">
        <v>0.0858691747036693</v>
      </c>
      <c r="T2743" s="147" t="n">
        <v>0.0229871260667683</v>
      </c>
    </row>
    <row r="2744" customFormat="false" ht="12.75" hidden="false" customHeight="true" outlineLevel="0" collapsed="false">
      <c r="P2744" s="1" t="n">
        <v>2741</v>
      </c>
      <c r="Q2744" s="147" t="n">
        <v>61683.5615806551</v>
      </c>
      <c r="R2744" s="147" t="n">
        <v>0.273095986528142</v>
      </c>
      <c r="S2744" s="147" t="n">
        <v>0.0896081105600784</v>
      </c>
      <c r="T2744" s="147" t="n">
        <v>0.0223333391836712</v>
      </c>
    </row>
    <row r="2745" customFormat="false" ht="12.75" hidden="false" customHeight="true" outlineLevel="0" collapsed="false">
      <c r="P2745" s="1" t="n">
        <v>2742</v>
      </c>
      <c r="Q2745" s="147" t="n">
        <v>61706.1394580491</v>
      </c>
      <c r="R2745" s="147" t="n">
        <v>0.271891914530312</v>
      </c>
      <c r="S2745" s="147" t="n">
        <v>0.0930350022230225</v>
      </c>
      <c r="T2745" s="147" t="n">
        <v>0.0213313351175569</v>
      </c>
    </row>
    <row r="2746" customFormat="false" ht="12.75" hidden="false" customHeight="true" outlineLevel="0" collapsed="false">
      <c r="P2746" s="1" t="n">
        <v>2743</v>
      </c>
      <c r="Q2746" s="147" t="n">
        <v>61728.6033702921</v>
      </c>
      <c r="R2746" s="147" t="n">
        <v>0.270600471881427</v>
      </c>
      <c r="S2746" s="147" t="n">
        <v>0.0943508036312164</v>
      </c>
      <c r="T2746" s="147" t="n">
        <v>0.0206112463924946</v>
      </c>
    </row>
    <row r="2747" customFormat="false" ht="12.75" hidden="false" customHeight="true" outlineLevel="0" collapsed="false">
      <c r="P2747" s="1" t="n">
        <v>2744</v>
      </c>
      <c r="Q2747" s="147" t="n">
        <v>61750.9808384721</v>
      </c>
      <c r="R2747" s="147" t="n">
        <v>0.26966490291979</v>
      </c>
      <c r="S2747" s="147" t="n">
        <v>0.0949247688506995</v>
      </c>
      <c r="T2747" s="147" t="n">
        <v>0.0201785529056983</v>
      </c>
    </row>
    <row r="2748" customFormat="false" ht="12.75" hidden="false" customHeight="true" outlineLevel="0" collapsed="false">
      <c r="P2748" s="1" t="n">
        <v>2745</v>
      </c>
      <c r="Q2748" s="147" t="n">
        <v>61773.1887105911</v>
      </c>
      <c r="R2748" s="147" t="n">
        <v>0.268828557485157</v>
      </c>
      <c r="S2748" s="147" t="n">
        <v>0.0952819822352278</v>
      </c>
      <c r="T2748" s="147" t="n">
        <v>0.0192944256345024</v>
      </c>
    </row>
    <row r="2749" customFormat="false" ht="12.75" hidden="false" customHeight="true" outlineLevel="0" collapsed="false">
      <c r="P2749" s="1" t="n">
        <v>2746</v>
      </c>
      <c r="Q2749" s="147" t="n">
        <v>61795.1772570541</v>
      </c>
      <c r="R2749" s="147" t="n">
        <v>0.268285830001682</v>
      </c>
      <c r="S2749" s="147" t="n">
        <v>0.0957360350854779</v>
      </c>
      <c r="T2749" s="147" t="n">
        <v>0.018578905742611</v>
      </c>
    </row>
    <row r="2750" customFormat="false" ht="12.75" hidden="false" customHeight="true" outlineLevel="0" collapsed="false">
      <c r="P2750" s="1" t="n">
        <v>2747</v>
      </c>
      <c r="Q2750" s="147" t="n">
        <v>61817.5455195311</v>
      </c>
      <c r="R2750" s="147" t="n">
        <v>0.267832195596812</v>
      </c>
      <c r="S2750" s="147" t="n">
        <v>0.0982475775241378</v>
      </c>
      <c r="T2750" s="147" t="n">
        <v>0.0182498336609245</v>
      </c>
    </row>
    <row r="2751" customFormat="false" ht="12.75" hidden="false" customHeight="true" outlineLevel="0" collapsed="false">
      <c r="P2751" s="1" t="n">
        <v>2748</v>
      </c>
      <c r="Q2751" s="147" t="n">
        <v>61839.6407351541</v>
      </c>
      <c r="R2751" s="147" t="n">
        <v>0.267739432836756</v>
      </c>
      <c r="S2751" s="147" t="n">
        <v>0.100733069966471</v>
      </c>
      <c r="T2751" s="147" t="n">
        <v>0.0181318999399494</v>
      </c>
    </row>
    <row r="2752" customFormat="false" ht="12.75" hidden="false" customHeight="true" outlineLevel="0" collapsed="false">
      <c r="P2752" s="1" t="n">
        <v>2749</v>
      </c>
      <c r="Q2752" s="147" t="n">
        <v>61862.1859695221</v>
      </c>
      <c r="R2752" s="147" t="n">
        <v>0.267658579118714</v>
      </c>
      <c r="S2752" s="147" t="n">
        <v>0.105244559713369</v>
      </c>
      <c r="T2752" s="147" t="n">
        <v>0.0187857741145332</v>
      </c>
    </row>
    <row r="2753" customFormat="false" ht="12.75" hidden="false" customHeight="true" outlineLevel="0" collapsed="false">
      <c r="P2753" s="1" t="n">
        <v>2750</v>
      </c>
      <c r="Q2753" s="147" t="n">
        <v>61884.4101601731</v>
      </c>
      <c r="R2753" s="147" t="n">
        <v>0.268011180974129</v>
      </c>
      <c r="S2753" s="147" t="n">
        <v>0.106824204593088</v>
      </c>
      <c r="T2753" s="147" t="n">
        <v>0.0185877028451889</v>
      </c>
    </row>
    <row r="2754" customFormat="false" ht="12.75" hidden="false" customHeight="true" outlineLevel="0" collapsed="false">
      <c r="P2754" s="1" t="n">
        <v>2751</v>
      </c>
      <c r="Q2754" s="147" t="n">
        <v>61907.2538621141</v>
      </c>
      <c r="R2754" s="147" t="n">
        <v>0.268459835497563</v>
      </c>
      <c r="S2754" s="147" t="n">
        <v>0.110803349452246</v>
      </c>
      <c r="T2754" s="147" t="n">
        <v>0.0200092858835955</v>
      </c>
    </row>
    <row r="2755" customFormat="false" ht="12.75" hidden="false" customHeight="true" outlineLevel="0" collapsed="false">
      <c r="P2755" s="1" t="n">
        <v>2752</v>
      </c>
      <c r="Q2755" s="147" t="n">
        <v>61929.0710987341</v>
      </c>
      <c r="R2755" s="147" t="n">
        <v>0.268804854727233</v>
      </c>
      <c r="S2755" s="147" t="n">
        <v>0.112004934573301</v>
      </c>
      <c r="T2755" s="147" t="n">
        <v>0.0197629894630707</v>
      </c>
    </row>
    <row r="2756" customFormat="false" ht="12.75" hidden="false" customHeight="true" outlineLevel="0" collapsed="false">
      <c r="P2756" s="1" t="n">
        <v>2753</v>
      </c>
      <c r="Q2756" s="147" t="n">
        <v>61951.5116812041</v>
      </c>
      <c r="R2756" s="147" t="n">
        <v>0.269524226348686</v>
      </c>
      <c r="S2756" s="147" t="n">
        <v>0.113130710018956</v>
      </c>
      <c r="T2756" s="147" t="n">
        <v>0.0204336616060369</v>
      </c>
    </row>
    <row r="2757" customFormat="false" ht="12.75" hidden="false" customHeight="true" outlineLevel="0" collapsed="false">
      <c r="P2757" s="1" t="n">
        <v>2754</v>
      </c>
      <c r="Q2757" s="147" t="n">
        <v>61973.2728922241</v>
      </c>
      <c r="R2757" s="147" t="n">
        <v>0.269592300318266</v>
      </c>
      <c r="S2757" s="147" t="n">
        <v>0.113615154910831</v>
      </c>
      <c r="T2757" s="147" t="n">
        <v>0.0205334082408883</v>
      </c>
    </row>
    <row r="2758" customFormat="false" ht="12.75" hidden="false" customHeight="true" outlineLevel="0" collapsed="false">
      <c r="P2758" s="1" t="n">
        <v>2755</v>
      </c>
      <c r="Q2758" s="147" t="n">
        <v>61996.0092744601</v>
      </c>
      <c r="R2758" s="147" t="n">
        <v>0.269740144053111</v>
      </c>
      <c r="S2758" s="147" t="n">
        <v>0.110458149090449</v>
      </c>
      <c r="T2758" s="147" t="n">
        <v>0.0209242935723385</v>
      </c>
    </row>
    <row r="2759" customFormat="false" ht="12.75" hidden="false" customHeight="true" outlineLevel="0" collapsed="false">
      <c r="P2759" s="1" t="n">
        <v>2756</v>
      </c>
      <c r="Q2759" s="147" t="n">
        <v>62017.7662819771</v>
      </c>
      <c r="R2759" s="147" t="n">
        <v>0.269265819662615</v>
      </c>
      <c r="S2759" s="147" t="n">
        <v>0.110269145699768</v>
      </c>
      <c r="T2759" s="147" t="n">
        <v>0.0214997816898944</v>
      </c>
    </row>
    <row r="2760" customFormat="false" ht="12.75" hidden="false" customHeight="true" outlineLevel="0" collapsed="false">
      <c r="P2760" s="1" t="n">
        <v>2757</v>
      </c>
      <c r="Q2760" s="147" t="n">
        <v>62040.6156552591</v>
      </c>
      <c r="R2760" s="147" t="n">
        <v>0.268760018318617</v>
      </c>
      <c r="S2760" s="147" t="n">
        <v>0.104028035540981</v>
      </c>
      <c r="T2760" s="147" t="n">
        <v>0.0212937354022268</v>
      </c>
    </row>
    <row r="2761" customFormat="false" ht="12.75" hidden="false" customHeight="true" outlineLevel="0" collapsed="false">
      <c r="P2761" s="1" t="n">
        <v>2758</v>
      </c>
      <c r="Q2761" s="147" t="n">
        <v>62062.5249521711</v>
      </c>
      <c r="R2761" s="147" t="n">
        <v>0.268103415240356</v>
      </c>
      <c r="S2761" s="147" t="n">
        <v>0.102098053750838</v>
      </c>
      <c r="T2761" s="147" t="n">
        <v>0.0232496728742094</v>
      </c>
    </row>
    <row r="2762" customFormat="false" ht="12.75" hidden="false" customHeight="true" outlineLevel="0" collapsed="false">
      <c r="P2762" s="1" t="n">
        <v>2759</v>
      </c>
      <c r="Q2762" s="147" t="n">
        <v>62085.3497762831</v>
      </c>
      <c r="R2762" s="147" t="n">
        <v>0.26730475894167</v>
      </c>
      <c r="S2762" s="147" t="n">
        <v>0.0939618542892552</v>
      </c>
      <c r="T2762" s="147" t="n">
        <v>0.0239357708437598</v>
      </c>
    </row>
    <row r="2763" customFormat="false" ht="12.75" hidden="false" customHeight="true" outlineLevel="0" collapsed="false">
      <c r="P2763" s="1" t="n">
        <v>2760</v>
      </c>
      <c r="Q2763" s="147" t="n">
        <v>62107.5366886651</v>
      </c>
      <c r="R2763" s="147" t="n">
        <v>0.266635064206615</v>
      </c>
      <c r="S2763" s="147" t="n">
        <v>0.0914841832913435</v>
      </c>
      <c r="T2763" s="147" t="n">
        <v>0.0257588893805032</v>
      </c>
    </row>
    <row r="2764" customFormat="false" ht="12.75" hidden="false" customHeight="true" outlineLevel="0" collapsed="false">
      <c r="P2764" s="1" t="n">
        <v>2761</v>
      </c>
      <c r="Q2764" s="147" t="n">
        <v>62129.9436169941</v>
      </c>
      <c r="R2764" s="147" t="n">
        <v>0.265802666149945</v>
      </c>
      <c r="S2764" s="147" t="n">
        <v>0.0888300654256262</v>
      </c>
      <c r="T2764" s="147" t="n">
        <v>0.027020499476806</v>
      </c>
    </row>
    <row r="2765" customFormat="false" ht="12.75" hidden="false" customHeight="true" outlineLevel="0" collapsed="false">
      <c r="P2765" s="1" t="n">
        <v>2762</v>
      </c>
      <c r="Q2765" s="147" t="n">
        <v>62152.4840300841</v>
      </c>
      <c r="R2765" s="147" t="n">
        <v>0.265351165516751</v>
      </c>
      <c r="S2765" s="147" t="n">
        <v>0.087569484771506</v>
      </c>
      <c r="T2765" s="147" t="n">
        <v>0.026820560990046</v>
      </c>
    </row>
    <row r="2766" customFormat="false" ht="12.75" hidden="false" customHeight="true" outlineLevel="0" collapsed="false">
      <c r="P2766" s="1" t="n">
        <v>2763</v>
      </c>
      <c r="Q2766" s="147" t="n">
        <v>62174.3117771161</v>
      </c>
      <c r="R2766" s="147" t="n">
        <v>0.264950832649017</v>
      </c>
      <c r="S2766" s="147" t="n">
        <v>0.0873303255418574</v>
      </c>
      <c r="T2766" s="147" t="n">
        <v>0.0269506871439826</v>
      </c>
    </row>
    <row r="2767" customFormat="false" ht="12.75" hidden="false" customHeight="true" outlineLevel="0" collapsed="false">
      <c r="P2767" s="1" t="n">
        <v>2764</v>
      </c>
      <c r="Q2767" s="147" t="n">
        <v>62196.7293392311</v>
      </c>
      <c r="R2767" s="147" t="n">
        <v>0.264686319397864</v>
      </c>
      <c r="S2767" s="147" t="n">
        <v>0.0894524782995294</v>
      </c>
      <c r="T2767" s="147" t="n">
        <v>0.0264216460784606</v>
      </c>
    </row>
    <row r="2768" customFormat="false" ht="12.75" hidden="false" customHeight="true" outlineLevel="0" collapsed="false">
      <c r="P2768" s="1" t="n">
        <v>2765</v>
      </c>
      <c r="Q2768" s="147" t="n">
        <v>62219.4355588201</v>
      </c>
      <c r="R2768" s="147" t="n">
        <v>0.264335693487784</v>
      </c>
      <c r="S2768" s="147" t="n">
        <v>0.0947085188020198</v>
      </c>
      <c r="T2768" s="147" t="n">
        <v>0.0257120258763501</v>
      </c>
    </row>
    <row r="2769" customFormat="false" ht="12.75" hidden="false" customHeight="true" outlineLevel="0" collapsed="false">
      <c r="P2769" s="1" t="n">
        <v>2766</v>
      </c>
      <c r="Q2769" s="147" t="n">
        <v>62241.3622885711</v>
      </c>
      <c r="R2769" s="147" t="n">
        <v>0.264107590876588</v>
      </c>
      <c r="S2769" s="147" t="n">
        <v>0.0969701896097318</v>
      </c>
      <c r="T2769" s="147" t="n">
        <v>0.0247998605546255</v>
      </c>
    </row>
    <row r="2770" customFormat="false" ht="12.75" hidden="false" customHeight="true" outlineLevel="0" collapsed="false">
      <c r="P2770" s="1" t="n">
        <v>2767</v>
      </c>
      <c r="Q2770" s="147" t="n">
        <v>62264.0530725641</v>
      </c>
      <c r="R2770" s="147" t="n">
        <v>0.264192943589029</v>
      </c>
      <c r="S2770" s="147" t="n">
        <v>0.101087367675148</v>
      </c>
      <c r="T2770" s="147" t="n">
        <v>0.0250881175309443</v>
      </c>
    </row>
    <row r="2771" customFormat="false" ht="12.75" hidden="false" customHeight="true" outlineLevel="0" collapsed="false">
      <c r="P2771" s="1" t="n">
        <v>2768</v>
      </c>
      <c r="Q2771" s="147" t="n">
        <v>62286.3231279341</v>
      </c>
      <c r="R2771" s="147" t="n">
        <v>0.263921948745473</v>
      </c>
      <c r="S2771" s="147" t="n">
        <v>0.103632609868435</v>
      </c>
      <c r="T2771" s="147" t="n">
        <v>0.0243860342316038</v>
      </c>
    </row>
    <row r="2772" customFormat="false" ht="12.75" hidden="false" customHeight="true" outlineLevel="0" collapsed="false">
      <c r="P2772" s="1" t="n">
        <v>2769</v>
      </c>
      <c r="Q2772" s="147" t="n">
        <v>62308.5565627651</v>
      </c>
      <c r="R2772" s="147" t="n">
        <v>0.264456317624298</v>
      </c>
      <c r="S2772" s="147" t="n">
        <v>0.105193667526226</v>
      </c>
      <c r="T2772" s="147" t="n">
        <v>0.0249059394479845</v>
      </c>
    </row>
    <row r="2773" customFormat="false" ht="12.75" hidden="false" customHeight="true" outlineLevel="0" collapsed="false">
      <c r="P2773" s="1" t="n">
        <v>2770</v>
      </c>
      <c r="Q2773" s="147" t="n">
        <v>62330.9119940651</v>
      </c>
      <c r="R2773" s="147" t="n">
        <v>0.265016540248519</v>
      </c>
      <c r="S2773" s="147" t="n">
        <v>0.105681504152521</v>
      </c>
      <c r="T2773" s="147" t="n">
        <v>0.0253667098113786</v>
      </c>
    </row>
    <row r="2774" customFormat="false" ht="12.75" hidden="false" customHeight="true" outlineLevel="0" collapsed="false">
      <c r="P2774" s="1" t="n">
        <v>2771</v>
      </c>
      <c r="Q2774" s="147" t="n">
        <v>62353.4425370171</v>
      </c>
      <c r="R2774" s="147" t="n">
        <v>0.265993135817451</v>
      </c>
      <c r="S2774" s="147" t="n">
        <v>0.104724015744041</v>
      </c>
      <c r="T2774" s="147" t="n">
        <v>0.0260562603928419</v>
      </c>
    </row>
    <row r="2775" customFormat="false" ht="12.75" hidden="false" customHeight="true" outlineLevel="0" collapsed="false">
      <c r="P2775" s="1" t="n">
        <v>2772</v>
      </c>
      <c r="Q2775" s="147" t="n">
        <v>62375.8408203911</v>
      </c>
      <c r="R2775" s="147" t="n">
        <v>0.267099386568634</v>
      </c>
      <c r="S2775" s="147" t="n">
        <v>0.103081021916981</v>
      </c>
      <c r="T2775" s="147" t="n">
        <v>0.0268412842117308</v>
      </c>
    </row>
    <row r="2776" customFormat="false" ht="12.75" hidden="false" customHeight="true" outlineLevel="0" collapsed="false">
      <c r="P2776" s="1" t="n">
        <v>2773</v>
      </c>
      <c r="Q2776" s="147" t="n">
        <v>62398.5523870001</v>
      </c>
      <c r="R2776" s="147" t="n">
        <v>0.268007133044324</v>
      </c>
      <c r="S2776" s="147" t="n">
        <v>0.101587350365021</v>
      </c>
      <c r="T2776" s="147" t="n">
        <v>0.0273949585285663</v>
      </c>
    </row>
    <row r="2777" customFormat="false" ht="12.75" hidden="false" customHeight="true" outlineLevel="0" collapsed="false">
      <c r="P2777" s="1" t="n">
        <v>2774</v>
      </c>
      <c r="Q2777" s="147" t="n">
        <v>62421.2011717451</v>
      </c>
      <c r="R2777" s="147" t="n">
        <v>0.268896400880132</v>
      </c>
      <c r="S2777" s="147" t="n">
        <v>0.100182250469078</v>
      </c>
      <c r="T2777" s="147" t="n">
        <v>0.0279875185527778</v>
      </c>
    </row>
    <row r="2778" customFormat="false" ht="12.75" hidden="false" customHeight="true" outlineLevel="0" collapsed="false">
      <c r="P2778" s="1" t="n">
        <v>2775</v>
      </c>
      <c r="Q2778" s="147" t="n">
        <v>62443.5743873421</v>
      </c>
      <c r="R2778" s="147" t="n">
        <v>0.269422790108335</v>
      </c>
      <c r="S2778" s="147" t="n">
        <v>0.0990750675537394</v>
      </c>
      <c r="T2778" s="147" t="n">
        <v>0.0284864854981391</v>
      </c>
    </row>
    <row r="2779" customFormat="false" ht="12.75" hidden="false" customHeight="true" outlineLevel="0" collapsed="false">
      <c r="P2779" s="1" t="n">
        <v>2776</v>
      </c>
      <c r="Q2779" s="147" t="n">
        <v>62465.5646906621</v>
      </c>
      <c r="R2779" s="147" t="n">
        <v>0.269651974690268</v>
      </c>
      <c r="S2779" s="147" t="n">
        <v>0.097887272184906</v>
      </c>
      <c r="T2779" s="147" t="n">
        <v>0.0289035305347553</v>
      </c>
    </row>
    <row r="2780" customFormat="false" ht="12.75" hidden="false" customHeight="true" outlineLevel="0" collapsed="false">
      <c r="P2780" s="1" t="n">
        <v>2777</v>
      </c>
      <c r="Q2780" s="147" t="n">
        <v>62488.1106577101</v>
      </c>
      <c r="R2780" s="147" t="n">
        <v>0.269404327357053</v>
      </c>
      <c r="S2780" s="147" t="n">
        <v>0.0959443848336715</v>
      </c>
      <c r="T2780" s="147" t="n">
        <v>0.0287095223165258</v>
      </c>
    </row>
    <row r="2781" customFormat="false" ht="12.75" hidden="false" customHeight="true" outlineLevel="0" collapsed="false">
      <c r="P2781" s="1" t="n">
        <v>2778</v>
      </c>
      <c r="Q2781" s="147" t="n">
        <v>62510.5495486081</v>
      </c>
      <c r="R2781" s="147" t="n">
        <v>0.26921943296268</v>
      </c>
      <c r="S2781" s="147" t="n">
        <v>0.0937454344743977</v>
      </c>
      <c r="T2781" s="147" t="n">
        <v>0.028631167182272</v>
      </c>
    </row>
    <row r="2782" customFormat="false" ht="12.75" hidden="false" customHeight="true" outlineLevel="0" collapsed="false">
      <c r="P2782" s="1" t="n">
        <v>2779</v>
      </c>
      <c r="Q2782" s="147" t="n">
        <v>62532.8920091511</v>
      </c>
      <c r="R2782" s="147" t="n">
        <v>0.268783582825488</v>
      </c>
      <c r="S2782" s="147" t="n">
        <v>0.09330642173759</v>
      </c>
      <c r="T2782" s="147" t="n">
        <v>0.0284909021592372</v>
      </c>
    </row>
    <row r="2783" customFormat="false" ht="12.75" hidden="false" customHeight="true" outlineLevel="0" collapsed="false">
      <c r="P2783" s="1" t="n">
        <v>2780</v>
      </c>
      <c r="Q2783" s="147" t="n">
        <v>62555.5149594331</v>
      </c>
      <c r="R2783" s="147" t="n">
        <v>0.268328071067989</v>
      </c>
      <c r="S2783" s="147" t="n">
        <v>0.094216800735883</v>
      </c>
      <c r="T2783" s="147" t="n">
        <v>0.0282675745045461</v>
      </c>
    </row>
    <row r="2784" customFormat="false" ht="12.75" hidden="false" customHeight="true" outlineLevel="0" collapsed="false">
      <c r="P2784" s="1" t="n">
        <v>2781</v>
      </c>
      <c r="Q2784" s="147" t="n">
        <v>62577.9821570041</v>
      </c>
      <c r="R2784" s="147" t="n">
        <v>0.267816706708603</v>
      </c>
      <c r="S2784" s="147" t="n">
        <v>0.0962112342852454</v>
      </c>
      <c r="T2784" s="147" t="n">
        <v>0.0276888571796226</v>
      </c>
    </row>
    <row r="2785" customFormat="false" ht="12.75" hidden="false" customHeight="true" outlineLevel="0" collapsed="false">
      <c r="P2785" s="1" t="n">
        <v>2782</v>
      </c>
      <c r="Q2785" s="147" t="n">
        <v>62600.6595333051</v>
      </c>
      <c r="R2785" s="147" t="n">
        <v>0.26750343005363</v>
      </c>
      <c r="S2785" s="147" t="n">
        <v>0.0990752096928391</v>
      </c>
      <c r="T2785" s="147" t="n">
        <v>0.0270541707871553</v>
      </c>
    </row>
    <row r="2786" customFormat="false" ht="12.75" hidden="false" customHeight="true" outlineLevel="0" collapsed="false">
      <c r="P2786" s="1" t="n">
        <v>2783</v>
      </c>
      <c r="Q2786" s="147" t="n">
        <v>62622.7897141201</v>
      </c>
      <c r="R2786" s="147" t="n">
        <v>0.267385829841133</v>
      </c>
      <c r="S2786" s="147" t="n">
        <v>0.099935409046572</v>
      </c>
      <c r="T2786" s="147" t="n">
        <v>0.0262648192610221</v>
      </c>
    </row>
    <row r="2787" customFormat="false" ht="12.75" hidden="false" customHeight="true" outlineLevel="0" collapsed="false">
      <c r="P2787" s="1" t="n">
        <v>2784</v>
      </c>
      <c r="Q2787" s="147" t="n">
        <v>62645.5247130221</v>
      </c>
      <c r="R2787" s="147" t="n">
        <v>0.267645196417234</v>
      </c>
      <c r="S2787" s="147" t="n">
        <v>0.101301774207569</v>
      </c>
      <c r="T2787" s="147" t="n">
        <v>0.0250670677318992</v>
      </c>
    </row>
    <row r="2788" customFormat="false" ht="12.75" hidden="false" customHeight="true" outlineLevel="0" collapsed="false">
      <c r="P2788" s="1" t="n">
        <v>2785</v>
      </c>
      <c r="Q2788" s="147" t="n">
        <v>62667.5076439111</v>
      </c>
      <c r="R2788" s="147" t="n">
        <v>0.267927147976039</v>
      </c>
      <c r="S2788" s="147" t="n">
        <v>0.100724829426241</v>
      </c>
      <c r="T2788" s="147" t="n">
        <v>0.024002435825557</v>
      </c>
    </row>
    <row r="2789" customFormat="false" ht="12.75" hidden="false" customHeight="true" outlineLevel="0" collapsed="false">
      <c r="P2789" s="1" t="n">
        <v>2786</v>
      </c>
      <c r="Q2789" s="147" t="n">
        <v>62690.0200463561</v>
      </c>
      <c r="R2789" s="147" t="n">
        <v>0.269230439073631</v>
      </c>
      <c r="S2789" s="147" t="n">
        <v>0.10011399838276</v>
      </c>
      <c r="T2789" s="147" t="n">
        <v>0.0228886684188009</v>
      </c>
    </row>
    <row r="2790" customFormat="false" ht="12.75" hidden="false" customHeight="true" outlineLevel="0" collapsed="false">
      <c r="P2790" s="1" t="n">
        <v>2787</v>
      </c>
      <c r="Q2790" s="147" t="n">
        <v>62712.5212384181</v>
      </c>
      <c r="R2790" s="147" t="n">
        <v>0.270775231827481</v>
      </c>
      <c r="S2790" s="147" t="n">
        <v>0.10024752979672</v>
      </c>
      <c r="T2790" s="147" t="n">
        <v>0.0224934811672976</v>
      </c>
    </row>
    <row r="2791" customFormat="false" ht="12.75" hidden="false" customHeight="true" outlineLevel="0" collapsed="false">
      <c r="P2791" s="1" t="n">
        <v>2788</v>
      </c>
      <c r="Q2791" s="147" t="n">
        <v>62734.8088430361</v>
      </c>
      <c r="R2791" s="147" t="n">
        <v>0.272726899204359</v>
      </c>
      <c r="S2791" s="147" t="n">
        <v>0.0987134216575352</v>
      </c>
      <c r="T2791" s="147" t="n">
        <v>0.021520929366579</v>
      </c>
    </row>
    <row r="2792" customFormat="false" ht="12.75" hidden="false" customHeight="true" outlineLevel="0" collapsed="false">
      <c r="P2792" s="1" t="n">
        <v>2789</v>
      </c>
      <c r="Q2792" s="147" t="n">
        <v>62757.2164141421</v>
      </c>
      <c r="R2792" s="147" t="n">
        <v>0.275271037317186</v>
      </c>
      <c r="S2792" s="147" t="n">
        <v>0.0962082373528064</v>
      </c>
      <c r="T2792" s="147" t="n">
        <v>0.0213796927058848</v>
      </c>
    </row>
    <row r="2793" customFormat="false" ht="12.75" hidden="false" customHeight="true" outlineLevel="0" collapsed="false">
      <c r="P2793" s="1" t="n">
        <v>2790</v>
      </c>
      <c r="Q2793" s="147" t="n">
        <v>62779.3601699811</v>
      </c>
      <c r="R2793" s="147" t="n">
        <v>0.277377270468253</v>
      </c>
      <c r="S2793" s="147" t="n">
        <v>0.0925453521352927</v>
      </c>
      <c r="T2793" s="147" t="n">
        <v>0.0213418953797313</v>
      </c>
    </row>
    <row r="2794" customFormat="false" ht="12.75" hidden="false" customHeight="true" outlineLevel="0" collapsed="false">
      <c r="P2794" s="1" t="n">
        <v>2791</v>
      </c>
      <c r="Q2794" s="147" t="n">
        <v>62801.8130425031</v>
      </c>
      <c r="R2794" s="147" t="n">
        <v>0.279366094859591</v>
      </c>
      <c r="S2794" s="147" t="n">
        <v>0.0881958553677417</v>
      </c>
      <c r="T2794" s="147" t="n">
        <v>0.0214209365624991</v>
      </c>
    </row>
    <row r="2795" customFormat="false" ht="12.75" hidden="false" customHeight="true" outlineLevel="0" collapsed="false">
      <c r="P2795" s="1" t="n">
        <v>2792</v>
      </c>
      <c r="Q2795" s="147" t="n">
        <v>62824.0814547411</v>
      </c>
      <c r="R2795" s="147" t="n">
        <v>0.2808424684972</v>
      </c>
      <c r="S2795" s="147" t="n">
        <v>0.085208629003077</v>
      </c>
      <c r="T2795" s="147" t="n">
        <v>0.0215024598870542</v>
      </c>
    </row>
    <row r="2796" customFormat="false" ht="12.75" hidden="false" customHeight="true" outlineLevel="0" collapsed="false">
      <c r="P2796" s="1" t="n">
        <v>2793</v>
      </c>
      <c r="Q2796" s="147" t="n">
        <v>62846.7344891191</v>
      </c>
      <c r="R2796" s="147" t="n">
        <v>0.28158078762016</v>
      </c>
      <c r="S2796" s="147" t="n">
        <v>0.0834470515660513</v>
      </c>
      <c r="T2796" s="147" t="n">
        <v>0.0209203838688599</v>
      </c>
    </row>
    <row r="2797" customFormat="false" ht="12.75" hidden="false" customHeight="true" outlineLevel="0" collapsed="false">
      <c r="P2797" s="1" t="n">
        <v>2794</v>
      </c>
      <c r="Q2797" s="147" t="n">
        <v>62869.1755330181</v>
      </c>
      <c r="R2797" s="147" t="n">
        <v>0.282000034707708</v>
      </c>
      <c r="S2797" s="147" t="n">
        <v>0.0840367822696167</v>
      </c>
      <c r="T2797" s="147" t="n">
        <v>0.0208718776575588</v>
      </c>
    </row>
    <row r="2798" customFormat="false" ht="12.75" hidden="false" customHeight="true" outlineLevel="0" collapsed="false">
      <c r="P2798" s="1" t="n">
        <v>2795</v>
      </c>
      <c r="Q2798" s="147" t="n">
        <v>62891.4628745081</v>
      </c>
      <c r="R2798" s="147" t="n">
        <v>0.281345612480438</v>
      </c>
      <c r="S2798" s="147" t="n">
        <v>0.0875925189801652</v>
      </c>
      <c r="T2798" s="147" t="n">
        <v>0.019967226482214</v>
      </c>
    </row>
    <row r="2799" customFormat="false" ht="12.75" hidden="false" customHeight="true" outlineLevel="0" collapsed="false">
      <c r="P2799" s="1" t="n">
        <v>2796</v>
      </c>
      <c r="Q2799" s="147" t="n">
        <v>62914.1706405321</v>
      </c>
      <c r="R2799" s="147" t="n">
        <v>0.280850427739966</v>
      </c>
      <c r="S2799" s="147" t="n">
        <v>0.0917785962135574</v>
      </c>
      <c r="T2799" s="147" t="n">
        <v>0.019522928731075</v>
      </c>
    </row>
    <row r="2800" customFormat="false" ht="12.75" hidden="false" customHeight="true" outlineLevel="0" collapsed="false">
      <c r="P2800" s="1" t="n">
        <v>2797</v>
      </c>
      <c r="Q2800" s="147" t="n">
        <v>62936.9866291931</v>
      </c>
      <c r="R2800" s="147" t="n">
        <v>0.279745681302274</v>
      </c>
      <c r="S2800" s="147" t="n">
        <v>0.097669139596062</v>
      </c>
      <c r="T2800" s="147" t="n">
        <v>0.0190476741800271</v>
      </c>
    </row>
    <row r="2801" customFormat="false" ht="12.75" hidden="false" customHeight="true" outlineLevel="0" collapsed="false">
      <c r="P2801" s="1" t="n">
        <v>2798</v>
      </c>
      <c r="Q2801" s="147" t="n">
        <v>62959.4795967871</v>
      </c>
      <c r="R2801" s="147" t="n">
        <v>0.278548039786673</v>
      </c>
      <c r="S2801" s="147" t="n">
        <v>0.103003918261414</v>
      </c>
      <c r="T2801" s="147" t="n">
        <v>0.0183954792762457</v>
      </c>
    </row>
    <row r="2802" customFormat="false" ht="12.75" hidden="false" customHeight="true" outlineLevel="0" collapsed="false">
      <c r="P2802" s="1" t="n">
        <v>2799</v>
      </c>
      <c r="Q2802" s="147" t="n">
        <v>62981.9717687741</v>
      </c>
      <c r="R2802" s="147" t="n">
        <v>0.277164468618048</v>
      </c>
      <c r="S2802" s="147" t="n">
        <v>0.107670402104046</v>
      </c>
      <c r="T2802" s="147" t="n">
        <v>0.0179384114201295</v>
      </c>
    </row>
    <row r="2803" customFormat="false" ht="12.75" hidden="false" customHeight="true" outlineLevel="0" collapsed="false">
      <c r="P2803" s="1" t="n">
        <v>2800</v>
      </c>
      <c r="Q2803" s="147" t="n">
        <v>63004.7349473391</v>
      </c>
      <c r="R2803" s="147" t="n">
        <v>0.275634471142864</v>
      </c>
      <c r="S2803" s="147" t="n">
        <v>0.111171574294657</v>
      </c>
      <c r="T2803" s="147" t="n">
        <v>0.0175221831126186</v>
      </c>
    </row>
    <row r="2804" customFormat="false" ht="12.75" hidden="false" customHeight="true" outlineLevel="0" collapsed="false">
      <c r="P2804" s="1" t="n">
        <v>2801</v>
      </c>
      <c r="Q2804" s="147" t="n">
        <v>63027.1397602211</v>
      </c>
      <c r="R2804" s="147" t="n">
        <v>0.273918415757362</v>
      </c>
      <c r="S2804" s="147" t="n">
        <v>0.112915096471731</v>
      </c>
      <c r="T2804" s="147" t="n">
        <v>0.017315581763647</v>
      </c>
    </row>
    <row r="2805" customFormat="false" ht="12.75" hidden="false" customHeight="true" outlineLevel="0" collapsed="false">
      <c r="P2805" s="1" t="n">
        <v>2802</v>
      </c>
      <c r="Q2805" s="147" t="n">
        <v>63049.9826455631</v>
      </c>
      <c r="R2805" s="147" t="n">
        <v>0.271952571724315</v>
      </c>
      <c r="S2805" s="147" t="n">
        <v>0.112897308574659</v>
      </c>
      <c r="T2805" s="147" t="n">
        <v>0.0173337166558644</v>
      </c>
    </row>
    <row r="2806" customFormat="false" ht="12.75" hidden="false" customHeight="true" outlineLevel="0" collapsed="false">
      <c r="P2806" s="1" t="n">
        <v>2803</v>
      </c>
      <c r="Q2806" s="147" t="n">
        <v>63072.2618530951</v>
      </c>
      <c r="R2806" s="147" t="n">
        <v>0.270329275738296</v>
      </c>
      <c r="S2806" s="147" t="n">
        <v>0.110773340198144</v>
      </c>
      <c r="T2806" s="147" t="n">
        <v>0.0175264721935948</v>
      </c>
    </row>
    <row r="2807" customFormat="false" ht="12.75" hidden="false" customHeight="true" outlineLevel="0" collapsed="false">
      <c r="P2807" s="1" t="n">
        <v>2804</v>
      </c>
      <c r="Q2807" s="147" t="n">
        <v>63094.7181241681</v>
      </c>
      <c r="R2807" s="147" t="n">
        <v>0.269138647232107</v>
      </c>
      <c r="S2807" s="147" t="n">
        <v>0.107405336471983</v>
      </c>
      <c r="T2807" s="147" t="n">
        <v>0.0180089666192791</v>
      </c>
    </row>
    <row r="2808" customFormat="false" ht="12.75" hidden="false" customHeight="true" outlineLevel="0" collapsed="false">
      <c r="P2808" s="1" t="n">
        <v>2805</v>
      </c>
      <c r="Q2808" s="147" t="n">
        <v>63116.9728515691</v>
      </c>
      <c r="R2808" s="147" t="n">
        <v>0.268447983111387</v>
      </c>
      <c r="S2808" s="147" t="n">
        <v>0.102424054807048</v>
      </c>
      <c r="T2808" s="147" t="n">
        <v>0.0184444529752153</v>
      </c>
    </row>
    <row r="2809" customFormat="false" ht="12.75" hidden="false" customHeight="true" outlineLevel="0" collapsed="false">
      <c r="P2809" s="1" t="n">
        <v>2806</v>
      </c>
      <c r="Q2809" s="147" t="n">
        <v>63139.5616156041</v>
      </c>
      <c r="R2809" s="147" t="n">
        <v>0.268564224082601</v>
      </c>
      <c r="S2809" s="147" t="n">
        <v>0.0964812055596641</v>
      </c>
      <c r="T2809" s="147" t="n">
        <v>0.0186601664218306</v>
      </c>
    </row>
    <row r="2810" customFormat="false" ht="12.75" hidden="false" customHeight="true" outlineLevel="0" collapsed="false">
      <c r="P2810" s="1" t="n">
        <v>2807</v>
      </c>
      <c r="Q2810" s="147" t="n">
        <v>63161.9805106391</v>
      </c>
      <c r="R2810" s="147" t="n">
        <v>0.269125342038829</v>
      </c>
      <c r="S2810" s="147" t="n">
        <v>0.0903627184490636</v>
      </c>
      <c r="T2810" s="147" t="n">
        <v>0.0185942602025816</v>
      </c>
    </row>
    <row r="2811" customFormat="false" ht="12.75" hidden="false" customHeight="true" outlineLevel="0" collapsed="false">
      <c r="P2811" s="1" t="n">
        <v>2808</v>
      </c>
      <c r="Q2811" s="147" t="n">
        <v>63184.8277347441</v>
      </c>
      <c r="R2811" s="147" t="n">
        <v>0.26982614714275</v>
      </c>
      <c r="S2811" s="147" t="n">
        <v>0.0836050749417455</v>
      </c>
      <c r="T2811" s="147" t="n">
        <v>0.0179632985689276</v>
      </c>
    </row>
    <row r="2812" customFormat="false" ht="12.75" hidden="false" customHeight="true" outlineLevel="0" collapsed="false">
      <c r="P2812" s="1" t="n">
        <v>2809</v>
      </c>
      <c r="Q2812" s="147" t="n">
        <v>63207.2400221031</v>
      </c>
      <c r="R2812" s="147" t="n">
        <v>0.270902192767595</v>
      </c>
      <c r="S2812" s="147" t="n">
        <v>0.0792127027550518</v>
      </c>
      <c r="T2812" s="147" t="n">
        <v>0.0178294048062854</v>
      </c>
    </row>
    <row r="2813" customFormat="false" ht="12.75" hidden="false" customHeight="true" outlineLevel="0" collapsed="false">
      <c r="P2813" s="1" t="n">
        <v>2810</v>
      </c>
      <c r="Q2813" s="147" t="n">
        <v>63229.7488545831</v>
      </c>
      <c r="R2813" s="147" t="n">
        <v>0.271860330843074</v>
      </c>
      <c r="S2813" s="147" t="n">
        <v>0.0765395453780972</v>
      </c>
      <c r="T2813" s="147" t="n">
        <v>0.0171116254801529</v>
      </c>
    </row>
    <row r="2814" customFormat="false" ht="12.75" hidden="false" customHeight="true" outlineLevel="0" collapsed="false">
      <c r="P2814" s="1" t="n">
        <v>2811</v>
      </c>
      <c r="Q2814" s="147" t="n">
        <v>63251.7441045181</v>
      </c>
      <c r="R2814" s="147" t="n">
        <v>0.272233110691882</v>
      </c>
      <c r="S2814" s="147" t="n">
        <v>0.0760108055427075</v>
      </c>
      <c r="T2814" s="147" t="n">
        <v>0.0164335402834386</v>
      </c>
    </row>
    <row r="2815" customFormat="false" ht="12.75" hidden="false" customHeight="true" outlineLevel="0" collapsed="false">
      <c r="P2815" s="1" t="n">
        <v>2812</v>
      </c>
      <c r="Q2815" s="147" t="n">
        <v>63273.7415678541</v>
      </c>
      <c r="R2815" s="147" t="n">
        <v>0.272303799483178</v>
      </c>
      <c r="S2815" s="147" t="n">
        <v>0.0773251630752968</v>
      </c>
      <c r="T2815" s="147" t="n">
        <v>0.0155327452581254</v>
      </c>
    </row>
    <row r="2816" customFormat="false" ht="12.75" hidden="false" customHeight="true" outlineLevel="0" collapsed="false">
      <c r="P2816" s="1" t="n">
        <v>2813</v>
      </c>
      <c r="Q2816" s="147" t="n">
        <v>63295.3357463081</v>
      </c>
      <c r="R2816" s="147" t="n">
        <v>0.272260991532619</v>
      </c>
      <c r="S2816" s="147" t="n">
        <v>0.0796274083378178</v>
      </c>
      <c r="T2816" s="147" t="n">
        <v>0.0147563074870781</v>
      </c>
    </row>
    <row r="2817" customFormat="false" ht="12.75" hidden="false" customHeight="true" outlineLevel="0" collapsed="false">
      <c r="P2817" s="1" t="n">
        <v>2814</v>
      </c>
      <c r="Q2817" s="147" t="n">
        <v>63317.7979532971</v>
      </c>
      <c r="R2817" s="147" t="n">
        <v>0.271788916872392</v>
      </c>
      <c r="S2817" s="147" t="n">
        <v>0.0831457424200081</v>
      </c>
      <c r="T2817" s="147" t="n">
        <v>0.0136904686009685</v>
      </c>
    </row>
    <row r="2818" customFormat="false" ht="12.75" hidden="false" customHeight="true" outlineLevel="0" collapsed="false">
      <c r="P2818" s="1" t="n">
        <v>2815</v>
      </c>
      <c r="Q2818" s="147" t="n">
        <v>63340.3183045291</v>
      </c>
      <c r="R2818" s="147" t="n">
        <v>0.271269972952918</v>
      </c>
      <c r="S2818" s="147" t="n">
        <v>0.08590289762604</v>
      </c>
      <c r="T2818" s="147" t="n">
        <v>0.0130793916550751</v>
      </c>
    </row>
    <row r="2819" customFormat="false" ht="12.75" hidden="false" customHeight="true" outlineLevel="0" collapsed="false">
      <c r="P2819" s="1" t="n">
        <v>2816</v>
      </c>
      <c r="Q2819" s="147" t="n">
        <v>63362.6423619001</v>
      </c>
      <c r="R2819" s="147" t="n">
        <v>0.270969689476602</v>
      </c>
      <c r="S2819" s="147" t="n">
        <v>0.0892374559944337</v>
      </c>
      <c r="T2819" s="147" t="n">
        <v>0.0121150060100177</v>
      </c>
    </row>
    <row r="2820" customFormat="false" ht="12.75" hidden="false" customHeight="true" outlineLevel="0" collapsed="false">
      <c r="P2820" s="1" t="n">
        <v>2817</v>
      </c>
      <c r="Q2820" s="147" t="n">
        <v>63384.8165253281</v>
      </c>
      <c r="R2820" s="147" t="n">
        <v>0.270086191964806</v>
      </c>
      <c r="S2820" s="147" t="n">
        <v>0.091952815091101</v>
      </c>
      <c r="T2820" s="147" t="n">
        <v>0.0111372996655692</v>
      </c>
    </row>
    <row r="2821" customFormat="false" ht="12.75" hidden="false" customHeight="true" outlineLevel="0" collapsed="false">
      <c r="P2821" s="1" t="n">
        <v>2818</v>
      </c>
      <c r="Q2821" s="147" t="n">
        <v>63407.4409829181</v>
      </c>
      <c r="R2821" s="147" t="n">
        <v>0.26964306508583</v>
      </c>
      <c r="S2821" s="147" t="n">
        <v>0.0925194888221476</v>
      </c>
      <c r="T2821" s="147" t="n">
        <v>0.0104880460509019</v>
      </c>
    </row>
    <row r="2822" customFormat="false" ht="12.75" hidden="false" customHeight="true" outlineLevel="0" collapsed="false">
      <c r="P2822" s="1" t="n">
        <v>2819</v>
      </c>
      <c r="Q2822" s="147" t="n">
        <v>63429.4701607251</v>
      </c>
      <c r="R2822" s="147" t="n">
        <v>0.268978303134017</v>
      </c>
      <c r="S2822" s="147" t="n">
        <v>0.0929179165848156</v>
      </c>
      <c r="T2822" s="147" t="n">
        <v>0.00924020990341128</v>
      </c>
    </row>
    <row r="2823" customFormat="false" ht="12.75" hidden="false" customHeight="true" outlineLevel="0" collapsed="false">
      <c r="P2823" s="1" t="n">
        <v>2820</v>
      </c>
      <c r="Q2823" s="147" t="n">
        <v>63451.3366766841</v>
      </c>
      <c r="R2823" s="147" t="n">
        <v>0.268194417141245</v>
      </c>
      <c r="S2823" s="147" t="n">
        <v>0.090811841109372</v>
      </c>
      <c r="T2823" s="147" t="n">
        <v>0.00811301584840144</v>
      </c>
    </row>
    <row r="2824" customFormat="false" ht="12.75" hidden="false" customHeight="true" outlineLevel="0" collapsed="false">
      <c r="P2824" s="1" t="n">
        <v>2821</v>
      </c>
      <c r="Q2824" s="147" t="n">
        <v>63473.6942287581</v>
      </c>
      <c r="R2824" s="147" t="n">
        <v>0.268237719874797</v>
      </c>
      <c r="S2824" s="147" t="n">
        <v>0.0874425455072513</v>
      </c>
      <c r="T2824" s="147" t="n">
        <v>0.00730871107367671</v>
      </c>
    </row>
    <row r="2825" customFormat="false" ht="12.75" hidden="false" customHeight="true" outlineLevel="0" collapsed="false">
      <c r="P2825" s="1" t="n">
        <v>2822</v>
      </c>
      <c r="Q2825" s="147" t="n">
        <v>63495.8666342941</v>
      </c>
      <c r="R2825" s="147" t="n">
        <v>0.26833977185014</v>
      </c>
      <c r="S2825" s="147" t="n">
        <v>0.0829054686893507</v>
      </c>
      <c r="T2825" s="147" t="n">
        <v>0.00664318297989478</v>
      </c>
    </row>
    <row r="2826" customFormat="false" ht="12.75" hidden="false" customHeight="true" outlineLevel="0" collapsed="false">
      <c r="P2826" s="1" t="n">
        <v>2823</v>
      </c>
      <c r="Q2826" s="147" t="n">
        <v>63518.8214566621</v>
      </c>
      <c r="R2826" s="147" t="n">
        <v>0.268781793093941</v>
      </c>
      <c r="S2826" s="147" t="n">
        <v>0.0762965683986536</v>
      </c>
      <c r="T2826" s="147" t="n">
        <v>0.00562327055496322</v>
      </c>
    </row>
    <row r="2827" customFormat="false" ht="12.75" hidden="false" customHeight="true" outlineLevel="0" collapsed="false">
      <c r="P2827" s="1" t="n">
        <v>2824</v>
      </c>
      <c r="Q2827" s="147" t="n">
        <v>63541.0820858601</v>
      </c>
      <c r="R2827" s="147" t="n">
        <v>0.269023274935623</v>
      </c>
      <c r="S2827" s="147" t="n">
        <v>0.0741989443540354</v>
      </c>
      <c r="T2827" s="147" t="n">
        <v>0.00537357520478985</v>
      </c>
    </row>
    <row r="2828" customFormat="false" ht="12.75" hidden="false" customHeight="true" outlineLevel="0" collapsed="false">
      <c r="P2828" s="1" t="n">
        <v>2825</v>
      </c>
      <c r="Q2828" s="147" t="n">
        <v>63564.0240178301</v>
      </c>
      <c r="R2828" s="147" t="n">
        <v>0.269483418387673</v>
      </c>
      <c r="S2828" s="147" t="n">
        <v>0.0724448246475947</v>
      </c>
      <c r="T2828" s="147" t="n">
        <v>0.00465937120416971</v>
      </c>
    </row>
    <row r="2829" customFormat="false" ht="12.75" hidden="false" customHeight="true" outlineLevel="0" collapsed="false">
      <c r="P2829" s="1" t="n">
        <v>2826</v>
      </c>
      <c r="Q2829" s="147" t="n">
        <v>63586.0895968391</v>
      </c>
      <c r="R2829" s="147" t="n">
        <v>0.269901872983782</v>
      </c>
      <c r="S2829" s="147" t="n">
        <v>0.0727971028876531</v>
      </c>
      <c r="T2829" s="147" t="n">
        <v>0.00480208955843921</v>
      </c>
    </row>
    <row r="2830" customFormat="false" ht="12.75" hidden="false" customHeight="true" outlineLevel="0" collapsed="false">
      <c r="P2830" s="1" t="n">
        <v>2827</v>
      </c>
      <c r="Q2830" s="147" t="n">
        <v>63608.9511928761</v>
      </c>
      <c r="R2830" s="147" t="n">
        <v>0.269872241590222</v>
      </c>
      <c r="S2830" s="147" t="n">
        <v>0.0779522509381179</v>
      </c>
      <c r="T2830" s="147" t="n">
        <v>0.00440417559476964</v>
      </c>
    </row>
    <row r="2831" customFormat="false" ht="12.75" hidden="false" customHeight="true" outlineLevel="0" collapsed="false">
      <c r="P2831" s="1" t="n">
        <v>2828</v>
      </c>
      <c r="Q2831" s="147" t="n">
        <v>63630.8966499931</v>
      </c>
      <c r="R2831" s="147" t="n">
        <v>0.270146631170342</v>
      </c>
      <c r="S2831" s="147" t="n">
        <v>0.0805593048002152</v>
      </c>
      <c r="T2831" s="147" t="n">
        <v>0.00480805003238588</v>
      </c>
    </row>
    <row r="2832" customFormat="false" ht="12.75" hidden="false" customHeight="true" outlineLevel="0" collapsed="false">
      <c r="P2832" s="1" t="n">
        <v>2829</v>
      </c>
      <c r="Q2832" s="147" t="n">
        <v>63654.0253032641</v>
      </c>
      <c r="R2832" s="147" t="n">
        <v>0.269697569146415</v>
      </c>
      <c r="S2832" s="147" t="n">
        <v>0.0889048923511814</v>
      </c>
      <c r="T2832" s="147" t="n">
        <v>0.00460675984937831</v>
      </c>
    </row>
    <row r="2833" customFormat="false" ht="12.75" hidden="false" customHeight="true" outlineLevel="0" collapsed="false">
      <c r="P2833" s="1" t="n">
        <v>2830</v>
      </c>
      <c r="Q2833" s="147" t="n">
        <v>63676.3110096501</v>
      </c>
      <c r="R2833" s="147" t="n">
        <v>0.269896401432743</v>
      </c>
      <c r="S2833" s="147" t="n">
        <v>0.0910686652822291</v>
      </c>
      <c r="T2833" s="147" t="n">
        <v>0.00444862908753345</v>
      </c>
    </row>
    <row r="2834" customFormat="false" ht="12.75" hidden="false" customHeight="true" outlineLevel="0" collapsed="false">
      <c r="P2834" s="1" t="n">
        <v>2831</v>
      </c>
      <c r="Q2834" s="147" t="n">
        <v>63698.5363710501</v>
      </c>
      <c r="R2834" s="147" t="n">
        <v>0.269756812150455</v>
      </c>
      <c r="S2834" s="147" t="n">
        <v>0.0940183929674628</v>
      </c>
      <c r="T2834" s="147" t="n">
        <v>0.00412629538460288</v>
      </c>
    </row>
    <row r="2835" customFormat="false" ht="12.75" hidden="false" customHeight="true" outlineLevel="0" collapsed="false">
      <c r="P2835" s="1" t="n">
        <v>2832</v>
      </c>
      <c r="Q2835" s="147" t="n">
        <v>63720.6561972591</v>
      </c>
      <c r="R2835" s="147" t="n">
        <v>0.269016588224552</v>
      </c>
      <c r="S2835" s="147" t="n">
        <v>0.0956875196428651</v>
      </c>
      <c r="T2835" s="147" t="n">
        <v>0.00347637143702544</v>
      </c>
    </row>
    <row r="2836" customFormat="false" ht="12.75" hidden="false" customHeight="true" outlineLevel="0" collapsed="false">
      <c r="P2836" s="1" t="n">
        <v>2833</v>
      </c>
      <c r="Q2836" s="147" t="n">
        <v>63743.1846490691</v>
      </c>
      <c r="R2836" s="147" t="n">
        <v>0.268477254116018</v>
      </c>
      <c r="S2836" s="147" t="n">
        <v>0.0929992910416069</v>
      </c>
      <c r="T2836" s="147" t="n">
        <v>0.00295137242370414</v>
      </c>
    </row>
    <row r="2837" customFormat="false" ht="12.75" hidden="false" customHeight="true" outlineLevel="0" collapsed="false">
      <c r="P2837" s="1" t="n">
        <v>2834</v>
      </c>
      <c r="Q2837" s="147" t="n">
        <v>63765.9177922471</v>
      </c>
      <c r="R2837" s="147" t="n">
        <v>0.268688930872642</v>
      </c>
      <c r="S2837" s="147" t="n">
        <v>0.0853903987553447</v>
      </c>
      <c r="T2837" s="147" t="n">
        <v>0.00274858104349668</v>
      </c>
    </row>
    <row r="2838" customFormat="false" ht="12.75" hidden="false" customHeight="true" outlineLevel="0" collapsed="false">
      <c r="P2838" s="1" t="n">
        <v>2835</v>
      </c>
      <c r="Q2838" s="147" t="n">
        <v>63788.1679062771</v>
      </c>
      <c r="R2838" s="147" t="n">
        <v>0.26824215261175</v>
      </c>
      <c r="S2838" s="147" t="n">
        <v>0.0844658007681105</v>
      </c>
      <c r="T2838" s="147" t="n">
        <v>0.00141593096881991</v>
      </c>
    </row>
    <row r="2839" customFormat="false" ht="12.75" hidden="false" customHeight="true" outlineLevel="0" collapsed="false">
      <c r="P2839" s="1" t="n">
        <v>2836</v>
      </c>
      <c r="Q2839" s="147" t="n">
        <v>63810.8208949811</v>
      </c>
      <c r="R2839" s="147" t="n">
        <v>0.267459455776267</v>
      </c>
      <c r="S2839" s="147" t="n">
        <v>0.0788137360384698</v>
      </c>
      <c r="T2839" s="147" t="n">
        <v>0.00211959915536645</v>
      </c>
    </row>
    <row r="2840" customFormat="false" ht="12.75" hidden="false" customHeight="true" outlineLevel="0" collapsed="false">
      <c r="P2840" s="1" t="n">
        <v>2837</v>
      </c>
      <c r="Q2840" s="147" t="n">
        <v>63833.0521036081</v>
      </c>
      <c r="R2840" s="147" t="n">
        <v>0.266943563019321</v>
      </c>
      <c r="S2840" s="147" t="n">
        <v>0.0783389428825696</v>
      </c>
      <c r="T2840" s="147" t="n">
        <v>0.000730692871929875</v>
      </c>
    </row>
    <row r="2841" customFormat="false" ht="12.75" hidden="false" customHeight="true" outlineLevel="0" collapsed="false">
      <c r="P2841" s="1" t="n">
        <v>2838</v>
      </c>
      <c r="Q2841" s="147" t="n">
        <v>63856.0046704551</v>
      </c>
      <c r="R2841" s="147" t="n">
        <v>0.266103502065264</v>
      </c>
      <c r="S2841" s="147" t="n">
        <v>0.0760236469250271</v>
      </c>
      <c r="T2841" s="147" t="n">
        <v>0.00108687771783338</v>
      </c>
    </row>
    <row r="2842" customFormat="false" ht="12.75" hidden="false" customHeight="true" outlineLevel="0" collapsed="false">
      <c r="P2842" s="1" t="n">
        <v>2839</v>
      </c>
      <c r="Q2842" s="147" t="n">
        <v>63877.9913473841</v>
      </c>
      <c r="R2842" s="147" t="n">
        <v>0.265772784947888</v>
      </c>
      <c r="S2842" s="147" t="n">
        <v>0.0763062690271831</v>
      </c>
      <c r="T2842" s="147" t="n">
        <v>0.000654950244371349</v>
      </c>
    </row>
    <row r="2843" customFormat="false" ht="12.75" hidden="false" customHeight="true" outlineLevel="0" collapsed="false">
      <c r="P2843" s="1" t="n">
        <v>2840</v>
      </c>
      <c r="Q2843" s="147" t="n">
        <v>63901.2024447411</v>
      </c>
      <c r="R2843" s="147" t="n">
        <v>0.264923825199801</v>
      </c>
      <c r="S2843" s="147" t="n">
        <v>0.0797647085731913</v>
      </c>
      <c r="T2843" s="147" t="n">
        <v>0.000961774149841929</v>
      </c>
    </row>
    <row r="2844" customFormat="false" ht="12.75" hidden="false" customHeight="true" outlineLevel="0" collapsed="false">
      <c r="P2844" s="1" t="n">
        <v>2841</v>
      </c>
      <c r="Q2844" s="147" t="n">
        <v>63923.2396549761</v>
      </c>
      <c r="R2844" s="147" t="n">
        <v>0.265025975596535</v>
      </c>
      <c r="S2844" s="147" t="n">
        <v>0.0809783479062042</v>
      </c>
      <c r="T2844" s="147" t="n">
        <v>0.000844972514050049</v>
      </c>
    </row>
    <row r="2845" customFormat="false" ht="12.75" hidden="false" customHeight="true" outlineLevel="0" collapsed="false">
      <c r="P2845" s="1" t="n">
        <v>2842</v>
      </c>
      <c r="Q2845" s="147" t="n">
        <v>63946.5978831761</v>
      </c>
      <c r="R2845" s="147" t="n">
        <v>0.264868992332738</v>
      </c>
      <c r="S2845" s="147" t="n">
        <v>0.0926825814162434</v>
      </c>
      <c r="T2845" s="147" t="n">
        <v>0.000250618157070184</v>
      </c>
    </row>
    <row r="2846" customFormat="false" ht="12.75" hidden="false" customHeight="true" outlineLevel="0" collapsed="false">
      <c r="P2846" s="1" t="n">
        <v>2843</v>
      </c>
      <c r="Q2846" s="147" t="n">
        <v>63968.9853911371</v>
      </c>
      <c r="R2846" s="147" t="n">
        <v>0.265151705405342</v>
      </c>
      <c r="S2846" s="147" t="n">
        <v>0.0927587345161772</v>
      </c>
      <c r="T2846" s="147" t="n">
        <v>0.000598810844768903</v>
      </c>
    </row>
    <row r="2847" customFormat="false" ht="12.75" hidden="false" customHeight="true" outlineLevel="0" collapsed="false">
      <c r="P2847" s="1" t="n">
        <v>2844</v>
      </c>
      <c r="Q2847" s="147" t="n">
        <v>63990.7948089541</v>
      </c>
      <c r="R2847" s="147" t="n">
        <v>0.266426079440437</v>
      </c>
      <c r="S2847" s="147" t="n">
        <v>0.0926174398564564</v>
      </c>
      <c r="T2847" s="147" t="n">
        <v>0.00074089988197645</v>
      </c>
    </row>
    <row r="2848" customFormat="false" ht="12.75" hidden="false" customHeight="true" outlineLevel="0" collapsed="false">
      <c r="P2848" s="1" t="n">
        <v>2845</v>
      </c>
      <c r="Q2848" s="147" t="n">
        <v>64013.3688696841</v>
      </c>
      <c r="R2848" s="147" t="n">
        <v>0.267874713138359</v>
      </c>
      <c r="S2848" s="147" t="n">
        <v>0.0930521023980551</v>
      </c>
      <c r="T2848" s="147" t="n">
        <v>0.000227271250418006</v>
      </c>
    </row>
    <row r="2849" customFormat="false" ht="12.75" hidden="false" customHeight="true" outlineLevel="0" collapsed="false">
      <c r="P2849" s="1" t="n">
        <v>2846</v>
      </c>
      <c r="Q2849" s="147" t="n">
        <v>64036.2660821291</v>
      </c>
      <c r="R2849" s="147" t="n">
        <v>0.269288737789873</v>
      </c>
      <c r="S2849" s="147" t="n">
        <v>0.092544325040034</v>
      </c>
      <c r="T2849" s="147" t="n">
        <v>-0.000251323326924147</v>
      </c>
    </row>
    <row r="2850" customFormat="false" ht="12.75" hidden="false" customHeight="true" outlineLevel="0" collapsed="false">
      <c r="P2850" s="1" t="n">
        <v>2847</v>
      </c>
      <c r="Q2850" s="147" t="n">
        <v>64058.8813055621</v>
      </c>
      <c r="R2850" s="147" t="n">
        <v>0.270903142038669</v>
      </c>
      <c r="S2850" s="147" t="n">
        <v>0.0902429644602025</v>
      </c>
      <c r="T2850" s="147" t="n">
        <v>-0.000513077676247393</v>
      </c>
    </row>
    <row r="2851" customFormat="false" ht="12.75" hidden="false" customHeight="true" outlineLevel="0" collapsed="false">
      <c r="P2851" s="1" t="n">
        <v>2848</v>
      </c>
      <c r="Q2851" s="147" t="n">
        <v>64081.8841430591</v>
      </c>
      <c r="R2851" s="147" t="n">
        <v>0.272995229100261</v>
      </c>
      <c r="S2851" s="147" t="n">
        <v>0.0858544195067373</v>
      </c>
      <c r="T2851" s="147" t="n">
        <v>-0.00122605837373095</v>
      </c>
    </row>
    <row r="2852" customFormat="false" ht="12.75" hidden="false" customHeight="true" outlineLevel="0" collapsed="false">
      <c r="P2852" s="1" t="n">
        <v>2849</v>
      </c>
      <c r="Q2852" s="147" t="n">
        <v>64103.8838022831</v>
      </c>
      <c r="R2852" s="147" t="n">
        <v>0.274599306449359</v>
      </c>
      <c r="S2852" s="147" t="n">
        <v>0.0838993939639589</v>
      </c>
      <c r="T2852" s="147" t="n">
        <v>-0.00186608732669764</v>
      </c>
    </row>
    <row r="2853" customFormat="false" ht="12.75" hidden="false" customHeight="true" outlineLevel="0" collapsed="false">
      <c r="P2853" s="1" t="n">
        <v>2850</v>
      </c>
      <c r="Q2853" s="147" t="n">
        <v>64126.9914461341</v>
      </c>
      <c r="R2853" s="147" t="n">
        <v>0.275575687109004</v>
      </c>
      <c r="S2853" s="147" t="n">
        <v>0.0788898270703195</v>
      </c>
      <c r="T2853" s="147" t="n">
        <v>-0.00182518679140727</v>
      </c>
    </row>
    <row r="2854" customFormat="false" ht="12.75" hidden="false" customHeight="true" outlineLevel="0" collapsed="false">
      <c r="P2854" s="1" t="n">
        <v>2851</v>
      </c>
      <c r="Q2854" s="147" t="n">
        <v>64148.8243067561</v>
      </c>
      <c r="R2854" s="147" t="n">
        <v>0.276606476041092</v>
      </c>
      <c r="S2854" s="147" t="n">
        <v>0.0787660598292596</v>
      </c>
      <c r="T2854" s="147" t="n">
        <v>-0.00325597799943978</v>
      </c>
    </row>
    <row r="2855" customFormat="false" ht="12.75" hidden="false" customHeight="true" outlineLevel="0" collapsed="false">
      <c r="P2855" s="1" t="n">
        <v>2852</v>
      </c>
      <c r="Q2855" s="147" t="n">
        <v>64171.4654832631</v>
      </c>
      <c r="R2855" s="147" t="n">
        <v>0.275939091705631</v>
      </c>
      <c r="S2855" s="147" t="n">
        <v>0.0792102294501935</v>
      </c>
      <c r="T2855" s="147" t="n">
        <v>-0.00330927943430226</v>
      </c>
    </row>
    <row r="2856" customFormat="false" ht="12.75" hidden="false" customHeight="true" outlineLevel="0" collapsed="false">
      <c r="P2856" s="1" t="n">
        <v>2853</v>
      </c>
      <c r="Q2856" s="147" t="n">
        <v>64193.5668746331</v>
      </c>
      <c r="R2856" s="147" t="n">
        <v>0.275711509626087</v>
      </c>
      <c r="S2856" s="147" t="n">
        <v>0.0810569787572797</v>
      </c>
      <c r="T2856" s="147" t="n">
        <v>-0.00406687731248597</v>
      </c>
    </row>
    <row r="2857" customFormat="false" ht="12.75" hidden="false" customHeight="true" outlineLevel="0" collapsed="false">
      <c r="P2857" s="1" t="n">
        <v>2854</v>
      </c>
      <c r="Q2857" s="147" t="n">
        <v>64216.4177708381</v>
      </c>
      <c r="R2857" s="147" t="n">
        <v>0.274358072406485</v>
      </c>
      <c r="S2857" s="147" t="n">
        <v>0.0844580309845361</v>
      </c>
      <c r="T2857" s="147" t="n">
        <v>-0.00395690863802349</v>
      </c>
    </row>
    <row r="2858" customFormat="false" ht="12.75" hidden="false" customHeight="true" outlineLevel="0" collapsed="false">
      <c r="P2858" s="1" t="n">
        <v>2855</v>
      </c>
      <c r="Q2858" s="147" t="n">
        <v>64238.6118393321</v>
      </c>
      <c r="R2858" s="147" t="n">
        <v>0.273662431618806</v>
      </c>
      <c r="S2858" s="147" t="n">
        <v>0.0870831007074643</v>
      </c>
      <c r="T2858" s="147" t="n">
        <v>-0.00426558779872408</v>
      </c>
    </row>
    <row r="2859" customFormat="false" ht="12.75" hidden="false" customHeight="true" outlineLevel="0" collapsed="false">
      <c r="P2859" s="1" t="n">
        <v>2856</v>
      </c>
      <c r="Q2859" s="147" t="n">
        <v>64260.9508638471</v>
      </c>
      <c r="R2859" s="147" t="n">
        <v>0.271622899979707</v>
      </c>
      <c r="S2859" s="147" t="n">
        <v>0.0919140935787704</v>
      </c>
      <c r="T2859" s="147" t="n">
        <v>-0.00382697042574873</v>
      </c>
    </row>
    <row r="2860" customFormat="false" ht="12.75" hidden="false" customHeight="true" outlineLevel="0" collapsed="false">
      <c r="P2860" s="1" t="n">
        <v>2857</v>
      </c>
      <c r="Q2860" s="147" t="n">
        <v>64282.5059288371</v>
      </c>
      <c r="R2860" s="147" t="n">
        <v>0.270734252318695</v>
      </c>
      <c r="S2860" s="147" t="n">
        <v>0.0944842547906825</v>
      </c>
      <c r="T2860" s="147" t="n">
        <v>-0.00315243897373992</v>
      </c>
    </row>
    <row r="2861" customFormat="false" ht="12.75" hidden="false" customHeight="true" outlineLevel="0" collapsed="false">
      <c r="P2861" s="1" t="n">
        <v>2858</v>
      </c>
      <c r="Q2861" s="147" t="n">
        <v>64305.5474551671</v>
      </c>
      <c r="R2861" s="147" t="n">
        <v>0.269196355982654</v>
      </c>
      <c r="S2861" s="147" t="n">
        <v>0.0993780776746698</v>
      </c>
      <c r="T2861" s="147" t="n">
        <v>-0.00334062364321041</v>
      </c>
    </row>
    <row r="2862" customFormat="false" ht="12.75" hidden="false" customHeight="true" outlineLevel="0" collapsed="false">
      <c r="P2862" s="1" t="n">
        <v>2859</v>
      </c>
      <c r="Q2862" s="147" t="n">
        <v>64327.6414573381</v>
      </c>
      <c r="R2862" s="147" t="n">
        <v>0.268413987370367</v>
      </c>
      <c r="S2862" s="147" t="n">
        <v>0.100363337293766</v>
      </c>
      <c r="T2862" s="147" t="n">
        <v>-0.00213357060531234</v>
      </c>
    </row>
    <row r="2863" customFormat="false" ht="12.75" hidden="false" customHeight="true" outlineLevel="0" collapsed="false">
      <c r="P2863" s="1" t="n">
        <v>2860</v>
      </c>
      <c r="Q2863" s="147" t="n">
        <v>64350.0308850881</v>
      </c>
      <c r="R2863" s="147" t="n">
        <v>0.268118877819041</v>
      </c>
      <c r="S2863" s="147" t="n">
        <v>0.100820158802214</v>
      </c>
      <c r="T2863" s="147" t="n">
        <v>-0.00304263478444329</v>
      </c>
    </row>
    <row r="2864" customFormat="false" ht="12.75" hidden="false" customHeight="true" outlineLevel="0" collapsed="false">
      <c r="P2864" s="1" t="n">
        <v>2861</v>
      </c>
      <c r="Q2864" s="147" t="n">
        <v>64372.5709506761</v>
      </c>
      <c r="R2864" s="147" t="n">
        <v>0.268291944992685</v>
      </c>
      <c r="S2864" s="147" t="n">
        <v>0.0985969917707426</v>
      </c>
      <c r="T2864" s="147" t="n">
        <v>-0.00206753817820324</v>
      </c>
    </row>
    <row r="2865" customFormat="false" ht="12.75" hidden="false" customHeight="true" outlineLevel="0" collapsed="false">
      <c r="P2865" s="1" t="n">
        <v>2862</v>
      </c>
      <c r="Q2865" s="147" t="n">
        <v>64395.0814627941</v>
      </c>
      <c r="R2865" s="147" t="n">
        <v>0.26908729742227</v>
      </c>
      <c r="S2865" s="147" t="n">
        <v>0.0943900554886005</v>
      </c>
      <c r="T2865" s="147" t="n">
        <v>-0.00232652463095047</v>
      </c>
    </row>
    <row r="2866" customFormat="false" ht="12.75" hidden="false" customHeight="true" outlineLevel="0" collapsed="false">
      <c r="P2866" s="1" t="n">
        <v>2863</v>
      </c>
      <c r="Q2866" s="147" t="n">
        <v>64417.7300754411</v>
      </c>
      <c r="R2866" s="147" t="n">
        <v>0.269825811098389</v>
      </c>
      <c r="S2866" s="147" t="n">
        <v>0.0890325752638346</v>
      </c>
      <c r="T2866" s="147" t="n">
        <v>-0.00209315802978305</v>
      </c>
    </row>
    <row r="2867" customFormat="false" ht="12.75" hidden="false" customHeight="true" outlineLevel="0" collapsed="false">
      <c r="P2867" s="1" t="n">
        <v>2864</v>
      </c>
      <c r="Q2867" s="147" t="n">
        <v>64440.4357171261</v>
      </c>
      <c r="R2867" s="147" t="n">
        <v>0.270687922784841</v>
      </c>
      <c r="S2867" s="147" t="n">
        <v>0.0847757746965116</v>
      </c>
      <c r="T2867" s="147" t="n">
        <v>-0.00149562738656978</v>
      </c>
    </row>
    <row r="2868" customFormat="false" ht="12.75" hidden="false" customHeight="true" outlineLevel="0" collapsed="false">
      <c r="P2868" s="1" t="n">
        <v>2865</v>
      </c>
      <c r="Q2868" s="147" t="n">
        <v>64462.8726619431</v>
      </c>
      <c r="R2868" s="147" t="n">
        <v>0.271475528444051</v>
      </c>
      <c r="S2868" s="147" t="n">
        <v>0.082043825036113</v>
      </c>
      <c r="T2868" s="147" t="n">
        <v>-0.000532102415520941</v>
      </c>
    </row>
    <row r="2869" customFormat="false" ht="12.75" hidden="false" customHeight="true" outlineLevel="0" collapsed="false">
      <c r="P2869" s="1" t="n">
        <v>2866</v>
      </c>
      <c r="Q2869" s="147" t="n">
        <v>64485.3163161921</v>
      </c>
      <c r="R2869" s="147" t="n">
        <v>0.272004203795623</v>
      </c>
      <c r="S2869" s="147" t="n">
        <v>0.0801972328671288</v>
      </c>
      <c r="T2869" s="147" t="n">
        <v>0.000422470215403325</v>
      </c>
    </row>
    <row r="2870" customFormat="false" ht="12.75" hidden="false" customHeight="true" outlineLevel="0" collapsed="false">
      <c r="P2870" s="1" t="n">
        <v>2867</v>
      </c>
      <c r="Q2870" s="147" t="n">
        <v>64507.9430915281</v>
      </c>
      <c r="R2870" s="147" t="n">
        <v>0.272225213713289</v>
      </c>
      <c r="S2870" s="147" t="n">
        <v>0.0797965361290957</v>
      </c>
      <c r="T2870" s="147" t="n">
        <v>0.0013185879343034</v>
      </c>
    </row>
    <row r="2871" customFormat="false" ht="12.75" hidden="false" customHeight="true" outlineLevel="0" collapsed="false">
      <c r="P2871" s="1" t="n">
        <v>2868</v>
      </c>
      <c r="Q2871" s="147" t="n">
        <v>64530.5489926381</v>
      </c>
      <c r="R2871" s="147" t="n">
        <v>0.272021042701859</v>
      </c>
      <c r="S2871" s="147" t="n">
        <v>0.0817598621745447</v>
      </c>
      <c r="T2871" s="147" t="n">
        <v>0.00256961472016138</v>
      </c>
    </row>
    <row r="2872" customFormat="false" ht="12.75" hidden="false" customHeight="true" outlineLevel="0" collapsed="false">
      <c r="P2872" s="1" t="n">
        <v>2869</v>
      </c>
      <c r="Q2872" s="147" t="n">
        <v>64552.9839379331</v>
      </c>
      <c r="R2872" s="147" t="n">
        <v>0.271600858748774</v>
      </c>
      <c r="S2872" s="147" t="n">
        <v>0.0848530569925462</v>
      </c>
      <c r="T2872" s="147" t="n">
        <v>0.00334203726627221</v>
      </c>
    </row>
    <row r="2873" customFormat="false" ht="12.75" hidden="false" customHeight="true" outlineLevel="0" collapsed="false">
      <c r="P2873" s="1" t="n">
        <v>2870</v>
      </c>
      <c r="Q2873" s="147" t="n">
        <v>64575.2491107481</v>
      </c>
      <c r="R2873" s="147" t="n">
        <v>0.270908919651064</v>
      </c>
      <c r="S2873" s="147" t="n">
        <v>0.0889254807854663</v>
      </c>
      <c r="T2873" s="147" t="n">
        <v>0.00377670164973044</v>
      </c>
    </row>
    <row r="2874" customFormat="false" ht="12.75" hidden="false" customHeight="true" outlineLevel="0" collapsed="false">
      <c r="P2874" s="1" t="n">
        <v>2871</v>
      </c>
      <c r="Q2874" s="147" t="n">
        <v>64597.8976491751</v>
      </c>
      <c r="R2874" s="147" t="n">
        <v>0.270123228426128</v>
      </c>
      <c r="S2874" s="147" t="n">
        <v>0.0929334569770514</v>
      </c>
      <c r="T2874" s="147" t="n">
        <v>0.00349643655665121</v>
      </c>
    </row>
    <row r="2875" customFormat="false" ht="12.75" hidden="false" customHeight="true" outlineLevel="0" collapsed="false">
      <c r="P2875" s="1" t="n">
        <v>2872</v>
      </c>
      <c r="Q2875" s="147" t="n">
        <v>64620.1100426951</v>
      </c>
      <c r="R2875" s="147" t="n">
        <v>0.269352441593745</v>
      </c>
      <c r="S2875" s="147" t="n">
        <v>0.0977696146897231</v>
      </c>
      <c r="T2875" s="147" t="n">
        <v>0.0029436359575659</v>
      </c>
    </row>
    <row r="2876" customFormat="false" ht="12.75" hidden="false" customHeight="true" outlineLevel="0" collapsed="false">
      <c r="P2876" s="1" t="n">
        <v>2873</v>
      </c>
      <c r="Q2876" s="147" t="n">
        <v>64642.4897279241</v>
      </c>
      <c r="R2876" s="147" t="n">
        <v>0.268992179405718</v>
      </c>
      <c r="S2876" s="147" t="n">
        <v>0.101247160961413</v>
      </c>
      <c r="T2876" s="147" t="n">
        <v>0.00207972496305598</v>
      </c>
    </row>
    <row r="2877" customFormat="false" ht="12.75" hidden="false" customHeight="true" outlineLevel="0" collapsed="false">
      <c r="P2877" s="1" t="n">
        <v>2874</v>
      </c>
      <c r="Q2877" s="147" t="n">
        <v>64665.2371565991</v>
      </c>
      <c r="R2877" s="147" t="n">
        <v>0.268706001858394</v>
      </c>
      <c r="S2877" s="147" t="n">
        <v>0.104557440584351</v>
      </c>
      <c r="T2877" s="147" t="n">
        <v>0.000836812320876675</v>
      </c>
    </row>
    <row r="2878" customFormat="false" ht="12.75" hidden="false" customHeight="true" outlineLevel="0" collapsed="false">
      <c r="P2878" s="1" t="n">
        <v>2875</v>
      </c>
      <c r="Q2878" s="147" t="n">
        <v>64687.7987328201</v>
      </c>
      <c r="R2878" s="147" t="n">
        <v>0.268687684968496</v>
      </c>
      <c r="S2878" s="147" t="n">
        <v>0.106081231059764</v>
      </c>
      <c r="T2878" s="147" t="n">
        <v>-7.80966172563356E-005</v>
      </c>
    </row>
    <row r="2879" customFormat="false" ht="12.75" hidden="false" customHeight="true" outlineLevel="0" collapsed="false">
      <c r="P2879" s="1" t="n">
        <v>2876</v>
      </c>
      <c r="Q2879" s="147" t="n">
        <v>64710.4108532621</v>
      </c>
      <c r="R2879" s="147" t="n">
        <v>0.268446901622024</v>
      </c>
      <c r="S2879" s="147" t="n">
        <v>0.106506379125237</v>
      </c>
      <c r="T2879" s="147" t="n">
        <v>-0.00106572278106694</v>
      </c>
    </row>
    <row r="2880" customFormat="false" ht="12.75" hidden="false" customHeight="true" outlineLevel="0" collapsed="false">
      <c r="P2880" s="1" t="n">
        <v>2877</v>
      </c>
      <c r="Q2880" s="147" t="n">
        <v>64732.9691949351</v>
      </c>
      <c r="R2880" s="147" t="n">
        <v>0.268137745643266</v>
      </c>
      <c r="S2880" s="147" t="n">
        <v>0.10470716068604</v>
      </c>
      <c r="T2880" s="147" t="n">
        <v>-0.00202296346083769</v>
      </c>
    </row>
    <row r="2881" customFormat="false" ht="12.75" hidden="false" customHeight="true" outlineLevel="0" collapsed="false">
      <c r="P2881" s="1" t="n">
        <v>2878</v>
      </c>
      <c r="Q2881" s="147" t="n">
        <v>64755.1591297061</v>
      </c>
      <c r="R2881" s="147" t="n">
        <v>0.267804864673127</v>
      </c>
      <c r="S2881" s="147" t="n">
        <v>0.102404584474256</v>
      </c>
      <c r="T2881" s="147" t="n">
        <v>-0.00266287698990482</v>
      </c>
    </row>
    <row r="2882" customFormat="false" ht="12.75" hidden="false" customHeight="true" outlineLevel="0" collapsed="false">
      <c r="P2882" s="1" t="n">
        <v>2879</v>
      </c>
      <c r="Q2882" s="147" t="n">
        <v>64777.7462913221</v>
      </c>
      <c r="R2882" s="147" t="n">
        <v>0.267788607330163</v>
      </c>
      <c r="S2882" s="147" t="n">
        <v>0.0980612244843374</v>
      </c>
      <c r="T2882" s="147" t="n">
        <v>-0.00350096767911026</v>
      </c>
    </row>
    <row r="2883" customFormat="false" ht="12.75" hidden="false" customHeight="true" outlineLevel="0" collapsed="false">
      <c r="P2883" s="1" t="n">
        <v>2880</v>
      </c>
      <c r="Q2883" s="147" t="n">
        <v>64799.5203255931</v>
      </c>
      <c r="R2883" s="147" t="n">
        <v>0.267988122524632</v>
      </c>
      <c r="S2883" s="147" t="n">
        <v>0.0936842021582327</v>
      </c>
      <c r="T2883" s="147" t="n">
        <v>-0.00409749665678917</v>
      </c>
    </row>
    <row r="2884" customFormat="false" ht="12.75" hidden="false" customHeight="true" outlineLevel="0" collapsed="false">
      <c r="P2884" s="1" t="n">
        <v>2881</v>
      </c>
      <c r="Q2884" s="147" t="n">
        <v>64822.0566557261</v>
      </c>
      <c r="R2884" s="147" t="n">
        <v>0.268482996694929</v>
      </c>
      <c r="S2884" s="147" t="n">
        <v>0.0873845706087952</v>
      </c>
      <c r="T2884" s="147" t="n">
        <v>-0.00350144879674769</v>
      </c>
    </row>
    <row r="2885" customFormat="false" ht="12.75" hidden="false" customHeight="true" outlineLevel="0" collapsed="false">
      <c r="P2885" s="1" t="n">
        <v>2882</v>
      </c>
      <c r="Q2885" s="147" t="n">
        <v>64844.3881844711</v>
      </c>
      <c r="R2885" s="147" t="n">
        <v>0.268798143054099</v>
      </c>
      <c r="S2885" s="147" t="n">
        <v>0.0835042390434666</v>
      </c>
      <c r="T2885" s="147" t="n">
        <v>-0.00322144602901175</v>
      </c>
    </row>
    <row r="2886" customFormat="false" ht="12.75" hidden="false" customHeight="true" outlineLevel="0" collapsed="false">
      <c r="P2886" s="1" t="n">
        <v>2883</v>
      </c>
      <c r="Q2886" s="147" t="n">
        <v>64867.1814753001</v>
      </c>
      <c r="R2886" s="147" t="n">
        <v>0.268921604762402</v>
      </c>
      <c r="S2886" s="147" t="n">
        <v>0.0812794175887494</v>
      </c>
      <c r="T2886" s="147" t="n">
        <v>-0.00057889046984992</v>
      </c>
    </row>
    <row r="2887" customFormat="false" ht="12.75" hidden="false" customHeight="true" outlineLevel="0" collapsed="false">
      <c r="P2887" s="1" t="n">
        <v>2884</v>
      </c>
      <c r="Q2887" s="147" t="n">
        <v>64889.2120723991</v>
      </c>
      <c r="R2887" s="147" t="n">
        <v>0.269129767311656</v>
      </c>
      <c r="S2887" s="147" t="n">
        <v>0.0805616564087105</v>
      </c>
      <c r="T2887" s="147" t="n">
        <v>0.000603248330813297</v>
      </c>
    </row>
    <row r="2888" customFormat="false" ht="12.75" hidden="false" customHeight="true" outlineLevel="0" collapsed="false">
      <c r="P2888" s="1" t="n">
        <v>2885</v>
      </c>
      <c r="Q2888" s="147" t="n">
        <v>64911.8173520911</v>
      </c>
      <c r="R2888" s="147" t="n">
        <v>0.269050192634746</v>
      </c>
      <c r="S2888" s="147" t="n">
        <v>0.082238444853983</v>
      </c>
      <c r="T2888" s="147" t="n">
        <v>0.00299940037612448</v>
      </c>
    </row>
    <row r="2889" customFormat="false" ht="12.75" hidden="false" customHeight="true" outlineLevel="0" collapsed="false">
      <c r="P2889" s="1" t="n">
        <v>2886</v>
      </c>
      <c r="Q2889" s="147" t="n">
        <v>64933.8385952071</v>
      </c>
      <c r="R2889" s="147" t="n">
        <v>0.26898937029493</v>
      </c>
      <c r="S2889" s="147" t="n">
        <v>0.083511048490158</v>
      </c>
      <c r="T2889" s="147" t="n">
        <v>0.00448009861263708</v>
      </c>
    </row>
    <row r="2890" customFormat="false" ht="12.75" hidden="false" customHeight="true" outlineLevel="0" collapsed="false">
      <c r="P2890" s="1" t="n">
        <v>2887</v>
      </c>
      <c r="Q2890" s="147" t="n">
        <v>64956.5852097651</v>
      </c>
      <c r="R2890" s="147" t="n">
        <v>0.268623069803132</v>
      </c>
      <c r="S2890" s="147" t="n">
        <v>0.0881397936000911</v>
      </c>
      <c r="T2890" s="147" t="n">
        <v>0.00635198482984349</v>
      </c>
    </row>
    <row r="2891" customFormat="false" ht="12.75" hidden="false" customHeight="true" outlineLevel="0" collapsed="false">
      <c r="P2891" s="1" t="n">
        <v>2888</v>
      </c>
      <c r="Q2891" s="147" t="n">
        <v>64978.4774515051</v>
      </c>
      <c r="R2891" s="147" t="n">
        <v>0.268466815306414</v>
      </c>
      <c r="S2891" s="147" t="n">
        <v>0.0907154389772248</v>
      </c>
      <c r="T2891" s="147" t="n">
        <v>0.00790501524837775</v>
      </c>
    </row>
    <row r="2892" customFormat="false" ht="12.75" hidden="false" customHeight="true" outlineLevel="0" collapsed="false">
      <c r="P2892" s="1" t="n">
        <v>2889</v>
      </c>
      <c r="Q2892" s="147" t="n">
        <v>65001.3016550191</v>
      </c>
      <c r="R2892" s="147" t="n">
        <v>0.268082298861583</v>
      </c>
      <c r="S2892" s="147" t="n">
        <v>0.0968867978603801</v>
      </c>
      <c r="T2892" s="147" t="n">
        <v>0.00772456322751449</v>
      </c>
    </row>
    <row r="2893" customFormat="false" ht="12.75" hidden="false" customHeight="true" outlineLevel="0" collapsed="false">
      <c r="P2893" s="1" t="n">
        <v>2890</v>
      </c>
      <c r="Q2893" s="147" t="n">
        <v>65023.7272184561</v>
      </c>
      <c r="R2893" s="147" t="n">
        <v>0.268013650058069</v>
      </c>
      <c r="S2893" s="147" t="n">
        <v>0.100507017836011</v>
      </c>
      <c r="T2893" s="147" t="n">
        <v>0.00859336032959362</v>
      </c>
    </row>
    <row r="2894" customFormat="false" ht="12.75" hidden="false" customHeight="true" outlineLevel="0" collapsed="false">
      <c r="P2894" s="1" t="n">
        <v>2891</v>
      </c>
      <c r="Q2894" s="147" t="n">
        <v>65046.3384123291</v>
      </c>
      <c r="R2894" s="147" t="n">
        <v>0.268074056170171</v>
      </c>
      <c r="S2894" s="147" t="n">
        <v>0.107241040196454</v>
      </c>
      <c r="T2894" s="147" t="n">
        <v>0.007251764282436</v>
      </c>
    </row>
    <row r="2895" customFormat="false" ht="12.75" hidden="false" customHeight="true" outlineLevel="0" collapsed="false">
      <c r="P2895" s="1" t="n">
        <v>2892</v>
      </c>
      <c r="Q2895" s="147" t="n">
        <v>65068.4504289091</v>
      </c>
      <c r="R2895" s="147" t="n">
        <v>0.268057252971555</v>
      </c>
      <c r="S2895" s="147" t="n">
        <v>0.108804206115209</v>
      </c>
      <c r="T2895" s="147" t="n">
        <v>0.00754313125494123</v>
      </c>
    </row>
    <row r="2896" customFormat="false" ht="12.75" hidden="false" customHeight="true" outlineLevel="0" collapsed="false">
      <c r="P2896" s="1" t="n">
        <v>2893</v>
      </c>
      <c r="Q2896" s="147" t="n">
        <v>65090.7927594301</v>
      </c>
      <c r="R2896" s="147" t="n">
        <v>0.268310393596961</v>
      </c>
      <c r="S2896" s="147" t="n">
        <v>0.111571894439952</v>
      </c>
      <c r="T2896" s="147" t="n">
        <v>0.00663045300873303</v>
      </c>
    </row>
    <row r="2897" customFormat="false" ht="12.75" hidden="false" customHeight="true" outlineLevel="0" collapsed="false">
      <c r="P2897" s="1" t="n">
        <v>2894</v>
      </c>
      <c r="Q2897" s="147" t="n">
        <v>65112.5932382251</v>
      </c>
      <c r="R2897" s="147" t="n">
        <v>0.268328753657269</v>
      </c>
      <c r="S2897" s="147" t="n">
        <v>0.111271427220934</v>
      </c>
      <c r="T2897" s="147" t="n">
        <v>0.00647844163054131</v>
      </c>
    </row>
    <row r="2898" customFormat="false" ht="12.75" hidden="false" customHeight="true" outlineLevel="0" collapsed="false">
      <c r="P2898" s="1" t="n">
        <v>2895</v>
      </c>
      <c r="Q2898" s="147" t="n">
        <v>65135.1814060951</v>
      </c>
      <c r="R2898" s="147" t="n">
        <v>0.268551656451022</v>
      </c>
      <c r="S2898" s="147" t="n">
        <v>0.109726980220694</v>
      </c>
      <c r="T2898" s="147" t="n">
        <v>0.0062904660898139</v>
      </c>
    </row>
    <row r="2899" customFormat="false" ht="12.75" hidden="false" customHeight="true" outlineLevel="0" collapsed="false">
      <c r="P2899" s="1" t="n">
        <v>2896</v>
      </c>
      <c r="Q2899" s="147" t="n">
        <v>65157.4043884781</v>
      </c>
      <c r="R2899" s="147" t="n">
        <v>0.268394582252657</v>
      </c>
      <c r="S2899" s="147" t="n">
        <v>0.108815883679514</v>
      </c>
      <c r="T2899" s="147" t="n">
        <v>0.00597238597926135</v>
      </c>
    </row>
    <row r="2900" customFormat="false" ht="12.75" hidden="false" customHeight="true" outlineLevel="0" collapsed="false">
      <c r="P2900" s="1" t="n">
        <v>2897</v>
      </c>
      <c r="Q2900" s="147" t="n">
        <v>65179.9514648951</v>
      </c>
      <c r="R2900" s="147" t="n">
        <v>0.268436574248902</v>
      </c>
      <c r="S2900" s="147" t="n">
        <v>0.106317513229479</v>
      </c>
      <c r="T2900" s="147" t="n">
        <v>0.00603262975802225</v>
      </c>
    </row>
    <row r="2901" customFormat="false" ht="12.75" hidden="false" customHeight="true" outlineLevel="0" collapsed="false">
      <c r="P2901" s="1" t="n">
        <v>2898</v>
      </c>
      <c r="Q2901" s="147" t="n">
        <v>65202.2220318721</v>
      </c>
      <c r="R2901" s="147" t="n">
        <v>0.268363290043862</v>
      </c>
      <c r="S2901" s="147" t="n">
        <v>0.104672336329565</v>
      </c>
      <c r="T2901" s="147" t="n">
        <v>0.00613464733590934</v>
      </c>
    </row>
    <row r="2902" customFormat="false" ht="12.75" hidden="false" customHeight="true" outlineLevel="0" collapsed="false">
      <c r="P2902" s="1" t="n">
        <v>2899</v>
      </c>
      <c r="Q2902" s="147" t="n">
        <v>65224.5166413101</v>
      </c>
      <c r="R2902" s="147" t="n">
        <v>0.268494604930345</v>
      </c>
      <c r="S2902" s="147" t="n">
        <v>0.104030499465006</v>
      </c>
      <c r="T2902" s="147" t="n">
        <v>0.00599590606996552</v>
      </c>
    </row>
    <row r="2903" customFormat="false" ht="12.75" hidden="false" customHeight="true" outlineLevel="0" collapsed="false">
      <c r="P2903" s="1" t="n">
        <v>2900</v>
      </c>
      <c r="Q2903" s="147" t="n">
        <v>65246.6352479531</v>
      </c>
      <c r="R2903" s="147" t="n">
        <v>0.268531022428106</v>
      </c>
      <c r="S2903" s="147" t="n">
        <v>0.104422108830677</v>
      </c>
      <c r="T2903" s="147" t="n">
        <v>0.00622244269170359</v>
      </c>
    </row>
    <row r="2904" customFormat="false" ht="12.75" hidden="false" customHeight="true" outlineLevel="0" collapsed="false">
      <c r="P2904" s="1" t="n">
        <v>2901</v>
      </c>
      <c r="Q2904" s="147" t="n">
        <v>65269.2309320801</v>
      </c>
      <c r="R2904" s="147" t="n">
        <v>0.268470866991364</v>
      </c>
      <c r="S2904" s="147" t="n">
        <v>0.106031667581769</v>
      </c>
      <c r="T2904" s="147" t="n">
        <v>0.00606488945720973</v>
      </c>
    </row>
    <row r="2905" customFormat="false" ht="12.75" hidden="false" customHeight="true" outlineLevel="0" collapsed="false">
      <c r="P2905" s="1" t="n">
        <v>2902</v>
      </c>
      <c r="Q2905" s="147" t="n">
        <v>65291.6341435891</v>
      </c>
      <c r="R2905" s="147" t="n">
        <v>0.268040784782609</v>
      </c>
      <c r="S2905" s="147" t="n">
        <v>0.107628878258456</v>
      </c>
      <c r="T2905" s="147" t="n">
        <v>0.00647914700300679</v>
      </c>
    </row>
    <row r="2906" customFormat="false" ht="12.75" hidden="false" customHeight="true" outlineLevel="0" collapsed="false">
      <c r="P2906" s="1" t="n">
        <v>2903</v>
      </c>
      <c r="Q2906" s="147" t="n">
        <v>65313.8581397481</v>
      </c>
      <c r="R2906" s="147" t="n">
        <v>0.267441536074881</v>
      </c>
      <c r="S2906" s="147" t="n">
        <v>0.109068394956577</v>
      </c>
      <c r="T2906" s="147" t="n">
        <v>0.00679191094033503</v>
      </c>
    </row>
    <row r="2907" customFormat="false" ht="12.75" hidden="false" customHeight="true" outlineLevel="0" collapsed="false">
      <c r="P2907" s="1" t="n">
        <v>2904</v>
      </c>
      <c r="Q2907" s="147" t="n">
        <v>65336.3876046401</v>
      </c>
      <c r="R2907" s="147" t="n">
        <v>0.266483999474541</v>
      </c>
      <c r="S2907" s="147" t="n">
        <v>0.107446006086382</v>
      </c>
      <c r="T2907" s="147" t="n">
        <v>0.00717900271160293</v>
      </c>
    </row>
    <row r="2908" customFormat="false" ht="12.75" hidden="false" customHeight="true" outlineLevel="0" collapsed="false">
      <c r="P2908" s="1" t="n">
        <v>2905</v>
      </c>
      <c r="Q2908" s="147" t="n">
        <v>65359.0068659291</v>
      </c>
      <c r="R2908" s="147" t="n">
        <v>0.266003492863493</v>
      </c>
      <c r="S2908" s="147" t="n">
        <v>0.105670777352763</v>
      </c>
      <c r="T2908" s="147" t="n">
        <v>0.00696723719962788</v>
      </c>
    </row>
    <row r="2909" customFormat="false" ht="12.75" hidden="false" customHeight="true" outlineLevel="0" collapsed="false">
      <c r="P2909" s="1" t="n">
        <v>2906</v>
      </c>
      <c r="Q2909" s="147" t="n">
        <v>65381.6065599181</v>
      </c>
      <c r="R2909" s="147" t="n">
        <v>0.265236120204429</v>
      </c>
      <c r="S2909" s="147" t="n">
        <v>0.103449935429941</v>
      </c>
      <c r="T2909" s="147" t="n">
        <v>0.00664272074641877</v>
      </c>
    </row>
    <row r="2910" customFormat="false" ht="12.75" hidden="false" customHeight="true" outlineLevel="0" collapsed="false">
      <c r="P2910" s="1" t="n">
        <v>2907</v>
      </c>
      <c r="Q2910" s="147" t="n">
        <v>65403.9265137721</v>
      </c>
      <c r="R2910" s="147" t="n">
        <v>0.264670216954086</v>
      </c>
      <c r="S2910" s="147" t="n">
        <v>0.101548724635826</v>
      </c>
      <c r="T2910" s="147" t="n">
        <v>0.00608461089603064</v>
      </c>
    </row>
    <row r="2911" customFormat="false" ht="12.75" hidden="false" customHeight="true" outlineLevel="0" collapsed="false">
      <c r="P2911" s="1" t="n">
        <v>2908</v>
      </c>
      <c r="Q2911" s="147" t="n">
        <v>65426.4875539311</v>
      </c>
      <c r="R2911" s="147" t="n">
        <v>0.264281412602383</v>
      </c>
      <c r="S2911" s="147" t="n">
        <v>0.0996110796788845</v>
      </c>
      <c r="T2911" s="147" t="n">
        <v>0.00538122237660456</v>
      </c>
    </row>
    <row r="2912" customFormat="false" ht="12.75" hidden="false" customHeight="true" outlineLevel="0" collapsed="false">
      <c r="P2912" s="1" t="n">
        <v>2909</v>
      </c>
      <c r="Q2912" s="147" t="n">
        <v>65449.0249726281</v>
      </c>
      <c r="R2912" s="147" t="n">
        <v>0.26405007308258</v>
      </c>
      <c r="S2912" s="147" t="n">
        <v>0.0978802368813093</v>
      </c>
      <c r="T2912" s="147" t="n">
        <v>0.00435635785077434</v>
      </c>
    </row>
    <row r="2913" customFormat="false" ht="12.75" hidden="false" customHeight="true" outlineLevel="0" collapsed="false">
      <c r="P2913" s="1" t="n">
        <v>2910</v>
      </c>
      <c r="Q2913" s="147" t="n">
        <v>65471.9462789021</v>
      </c>
      <c r="R2913" s="147" t="n">
        <v>0.263995708780219</v>
      </c>
      <c r="S2913" s="147" t="n">
        <v>0.0961237382807194</v>
      </c>
      <c r="T2913" s="147" t="n">
        <v>0.00310246804573533</v>
      </c>
    </row>
    <row r="2914" customFormat="false" ht="12.75" hidden="false" customHeight="true" outlineLevel="0" collapsed="false">
      <c r="P2914" s="1" t="n">
        <v>2911</v>
      </c>
      <c r="Q2914" s="147" t="n">
        <v>65494.6044224801</v>
      </c>
      <c r="R2914" s="147" t="n">
        <v>0.264029565739799</v>
      </c>
      <c r="S2914" s="147" t="n">
        <v>0.094463723373212</v>
      </c>
      <c r="T2914" s="147" t="n">
        <v>0.00176495024749658</v>
      </c>
    </row>
    <row r="2915" customFormat="false" ht="12.75" hidden="false" customHeight="true" outlineLevel="0" collapsed="false">
      <c r="P2915" s="1" t="n">
        <v>2912</v>
      </c>
      <c r="Q2915" s="147" t="n">
        <v>65516.6986967541</v>
      </c>
      <c r="R2915" s="147" t="n">
        <v>0.26419888540207</v>
      </c>
      <c r="S2915" s="147" t="n">
        <v>0.0930692491291785</v>
      </c>
      <c r="T2915" s="147" t="n">
        <v>0.00053418244386078</v>
      </c>
    </row>
    <row r="2916" customFormat="false" ht="12.75" hidden="false" customHeight="true" outlineLevel="0" collapsed="false">
      <c r="P2916" s="1" t="n">
        <v>2913</v>
      </c>
      <c r="Q2916" s="147" t="n">
        <v>65539.1172179641</v>
      </c>
      <c r="R2916" s="147" t="n">
        <v>0.264660039600664</v>
      </c>
      <c r="S2916" s="147" t="n">
        <v>0.0921350874282947</v>
      </c>
      <c r="T2916" s="147" t="n">
        <v>-0.00072848692397086</v>
      </c>
    </row>
    <row r="2917" customFormat="false" ht="12.75" hidden="false" customHeight="true" outlineLevel="0" collapsed="false">
      <c r="P2917" s="1" t="n">
        <v>2914</v>
      </c>
      <c r="Q2917" s="147" t="n">
        <v>65561.3348463201</v>
      </c>
      <c r="R2917" s="147" t="n">
        <v>0.265482754162858</v>
      </c>
      <c r="S2917" s="147" t="n">
        <v>0.0911560734277899</v>
      </c>
      <c r="T2917" s="147" t="n">
        <v>-0.00167338528972995</v>
      </c>
    </row>
    <row r="2918" customFormat="false" ht="12.75" hidden="false" customHeight="true" outlineLevel="0" collapsed="false">
      <c r="P2918" s="1" t="n">
        <v>2915</v>
      </c>
      <c r="Q2918" s="147" t="n">
        <v>65583.4823910851</v>
      </c>
      <c r="R2918" s="147" t="n">
        <v>0.266488279789879</v>
      </c>
      <c r="S2918" s="147" t="n">
        <v>0.0897180697913274</v>
      </c>
      <c r="T2918" s="147" t="n">
        <v>-0.00244722016436518</v>
      </c>
    </row>
    <row r="2919" customFormat="false" ht="12.75" hidden="false" customHeight="true" outlineLevel="0" collapsed="false">
      <c r="P2919" s="1" t="n">
        <v>2916</v>
      </c>
      <c r="Q2919" s="147" t="n">
        <v>65605.9059920501</v>
      </c>
      <c r="R2919" s="147" t="n">
        <v>0.267780281956135</v>
      </c>
      <c r="S2919" s="147" t="n">
        <v>0.0874022454499966</v>
      </c>
      <c r="T2919" s="147" t="n">
        <v>-0.00256321002990451</v>
      </c>
    </row>
    <row r="2920" customFormat="false" ht="12.75" hidden="false" customHeight="true" outlineLevel="0" collapsed="false">
      <c r="P2920" s="1" t="n">
        <v>2917</v>
      </c>
      <c r="Q2920" s="147" t="n">
        <v>65628.2849455301</v>
      </c>
      <c r="R2920" s="147" t="n">
        <v>0.269128318677059</v>
      </c>
      <c r="S2920" s="147" t="n">
        <v>0.0845537012103255</v>
      </c>
      <c r="T2920" s="147" t="n">
        <v>-0.00260127430951798</v>
      </c>
    </row>
    <row r="2921" customFormat="false" ht="12.75" hidden="false" customHeight="true" outlineLevel="0" collapsed="false">
      <c r="P2921" s="1" t="n">
        <v>2918</v>
      </c>
      <c r="Q2921" s="147" t="n">
        <v>65650.4644194331</v>
      </c>
      <c r="R2921" s="147" t="n">
        <v>0.270342603911912</v>
      </c>
      <c r="S2921" s="147" t="n">
        <v>0.0812351978727194</v>
      </c>
      <c r="T2921" s="147" t="n">
        <v>-0.00256802163948837</v>
      </c>
    </row>
    <row r="2922" customFormat="false" ht="12.75" hidden="false" customHeight="true" outlineLevel="0" collapsed="false">
      <c r="P2922" s="1" t="n">
        <v>2919</v>
      </c>
      <c r="Q2922" s="147" t="n">
        <v>65672.7829486521</v>
      </c>
      <c r="R2922" s="147" t="n">
        <v>0.271258761468852</v>
      </c>
      <c r="S2922" s="147" t="n">
        <v>0.0786285843773885</v>
      </c>
      <c r="T2922" s="147" t="n">
        <v>-0.0027702064261001</v>
      </c>
    </row>
    <row r="2923" customFormat="false" ht="12.75" hidden="false" customHeight="true" outlineLevel="0" collapsed="false">
      <c r="P2923" s="1" t="n">
        <v>2920</v>
      </c>
      <c r="Q2923" s="147" t="n">
        <v>65694.6253078541</v>
      </c>
      <c r="R2923" s="147" t="n">
        <v>0.272014815483968</v>
      </c>
      <c r="S2923" s="147" t="n">
        <v>0.0761837201626446</v>
      </c>
      <c r="T2923" s="147" t="n">
        <v>-0.00283099793173658</v>
      </c>
    </row>
    <row r="2924" customFormat="false" ht="12.75" hidden="false" customHeight="true" outlineLevel="0" collapsed="false">
      <c r="P2924" s="1" t="n">
        <v>2921</v>
      </c>
      <c r="Q2924" s="147" t="n">
        <v>65716.6392590891</v>
      </c>
      <c r="R2924" s="147" t="n">
        <v>0.272577058810799</v>
      </c>
      <c r="S2924" s="147" t="n">
        <v>0.0744607974874365</v>
      </c>
      <c r="T2924" s="147" t="n">
        <v>-0.00267456238157505</v>
      </c>
    </row>
    <row r="2925" customFormat="false" ht="12.75" hidden="false" customHeight="true" outlineLevel="0" collapsed="false">
      <c r="P2925" s="1" t="n">
        <v>2922</v>
      </c>
      <c r="Q2925" s="147" t="n">
        <v>65739.1302034691</v>
      </c>
      <c r="R2925" s="147" t="n">
        <v>0.273368403123651</v>
      </c>
      <c r="S2925" s="147" t="n">
        <v>0.0713511688331386</v>
      </c>
      <c r="T2925" s="147" t="n">
        <v>-0.00305354582093634</v>
      </c>
    </row>
    <row r="2926" customFormat="false" ht="12.75" hidden="false" customHeight="true" outlineLevel="0" collapsed="false">
      <c r="P2926" s="1" t="n">
        <v>2923</v>
      </c>
      <c r="Q2926" s="147" t="n">
        <v>65761.7127849611</v>
      </c>
      <c r="R2926" s="147" t="n">
        <v>0.273559243218445</v>
      </c>
      <c r="S2926" s="147" t="n">
        <v>0.0700360116599206</v>
      </c>
      <c r="T2926" s="147" t="n">
        <v>-0.00328518367904583</v>
      </c>
    </row>
    <row r="2927" customFormat="false" ht="12.75" hidden="false" customHeight="true" outlineLevel="0" collapsed="false">
      <c r="P2927" s="1" t="n">
        <v>2924</v>
      </c>
      <c r="Q2927" s="147" t="n">
        <v>65784.0262844011</v>
      </c>
      <c r="R2927" s="147" t="n">
        <v>0.273880236853656</v>
      </c>
      <c r="S2927" s="147" t="n">
        <v>0.0699608198227215</v>
      </c>
      <c r="T2927" s="147" t="n">
        <v>-0.00419212875149144</v>
      </c>
    </row>
    <row r="2928" customFormat="false" ht="12.75" hidden="false" customHeight="true" outlineLevel="0" collapsed="false">
      <c r="P2928" s="1" t="n">
        <v>2925</v>
      </c>
      <c r="Q2928" s="147" t="n">
        <v>65806.5577940621</v>
      </c>
      <c r="R2928" s="147" t="n">
        <v>0.27369248961779</v>
      </c>
      <c r="S2928" s="147" t="n">
        <v>0.071670559937683</v>
      </c>
      <c r="T2928" s="147" t="n">
        <v>-0.00446110129289099</v>
      </c>
    </row>
    <row r="2929" customFormat="false" ht="12.75" hidden="false" customHeight="true" outlineLevel="0" collapsed="false">
      <c r="P2929" s="1" t="n">
        <v>2926</v>
      </c>
      <c r="Q2929" s="147" t="n">
        <v>65829.0295857691</v>
      </c>
      <c r="R2929" s="147" t="n">
        <v>0.273397084476984</v>
      </c>
      <c r="S2929" s="147" t="n">
        <v>0.0745022975636226</v>
      </c>
      <c r="T2929" s="147" t="n">
        <v>-0.00467148887239373</v>
      </c>
    </row>
    <row r="2930" customFormat="false" ht="12.75" hidden="false" customHeight="true" outlineLevel="0" collapsed="false">
      <c r="P2930" s="1" t="n">
        <v>2927</v>
      </c>
      <c r="Q2930" s="147" t="n">
        <v>65851.3252651621</v>
      </c>
      <c r="R2930" s="147" t="n">
        <v>0.272818102867914</v>
      </c>
      <c r="S2930" s="147" t="n">
        <v>0.0765302841426373</v>
      </c>
      <c r="T2930" s="147" t="n">
        <v>-0.00395559247818358</v>
      </c>
    </row>
    <row r="2931" customFormat="false" ht="12.75" hidden="false" customHeight="true" outlineLevel="0" collapsed="false">
      <c r="P2931" s="1" t="n">
        <v>2928</v>
      </c>
      <c r="Q2931" s="147" t="n">
        <v>65874.2716622321</v>
      </c>
      <c r="R2931" s="147" t="n">
        <v>0.271775739071999</v>
      </c>
      <c r="S2931" s="147" t="n">
        <v>0.0831556785890932</v>
      </c>
      <c r="T2931" s="147" t="n">
        <v>-0.00406195226397291</v>
      </c>
    </row>
    <row r="2932" customFormat="false" ht="12.75" hidden="false" customHeight="true" outlineLevel="0" collapsed="false">
      <c r="P2932" s="1" t="n">
        <v>2929</v>
      </c>
      <c r="Q2932" s="147" t="n">
        <v>65896.4736410821</v>
      </c>
      <c r="R2932" s="147" t="n">
        <v>0.271297727436596</v>
      </c>
      <c r="S2932" s="147" t="n">
        <v>0.0850233232067122</v>
      </c>
      <c r="T2932" s="147" t="n">
        <v>-0.0031675495818349</v>
      </c>
    </row>
    <row r="2933" customFormat="false" ht="12.75" hidden="false" customHeight="true" outlineLevel="0" collapsed="false">
      <c r="P2933" s="1" t="n">
        <v>2930</v>
      </c>
      <c r="Q2933" s="147" t="n">
        <v>65919.0822916651</v>
      </c>
      <c r="R2933" s="147" t="n">
        <v>0.269939198503322</v>
      </c>
      <c r="S2933" s="147" t="n">
        <v>0.0927532565219615</v>
      </c>
      <c r="T2933" s="147" t="n">
        <v>-0.000607938301744483</v>
      </c>
    </row>
    <row r="2934" customFormat="false" ht="12.75" hidden="false" customHeight="true" outlineLevel="0" collapsed="false">
      <c r="P2934" s="1" t="n">
        <v>2931</v>
      </c>
      <c r="Q2934" s="147" t="n">
        <v>65940.9885415041</v>
      </c>
      <c r="R2934" s="147" t="n">
        <v>0.270069288935214</v>
      </c>
      <c r="S2934" s="147" t="n">
        <v>0.0949234094905741</v>
      </c>
      <c r="T2934" s="147" t="n">
        <v>-0.000988947248468521</v>
      </c>
    </row>
    <row r="2935" customFormat="false" ht="12.75" hidden="false" customHeight="true" outlineLevel="0" collapsed="false">
      <c r="P2935" s="1" t="n">
        <v>2932</v>
      </c>
      <c r="Q2935" s="147" t="n">
        <v>65963.7788261591</v>
      </c>
      <c r="R2935" s="147" t="n">
        <v>0.268929520526236</v>
      </c>
      <c r="S2935" s="147" t="n">
        <v>0.100089656817625</v>
      </c>
      <c r="T2935" s="147" t="n">
        <v>0.000941793518469339</v>
      </c>
    </row>
    <row r="2936" customFormat="false" ht="12.75" hidden="false" customHeight="true" outlineLevel="0" collapsed="false">
      <c r="P2936" s="1" t="n">
        <v>2933</v>
      </c>
      <c r="Q2936" s="147" t="n">
        <v>65985.7334521891</v>
      </c>
      <c r="R2936" s="147" t="n">
        <v>0.26902151548675</v>
      </c>
      <c r="S2936" s="147" t="n">
        <v>0.101662501443769</v>
      </c>
      <c r="T2936" s="147" t="n">
        <v>0.000340981132371429</v>
      </c>
    </row>
    <row r="2937" customFormat="false" ht="12.75" hidden="false" customHeight="true" outlineLevel="0" collapsed="false">
      <c r="P2937" s="1" t="n">
        <v>2934</v>
      </c>
      <c r="Q2937" s="147" t="n">
        <v>66008.1806069281</v>
      </c>
      <c r="R2937" s="147" t="n">
        <v>0.267571251334031</v>
      </c>
      <c r="S2937" s="147" t="n">
        <v>0.104138874665691</v>
      </c>
      <c r="T2937" s="147" t="n">
        <v>0.00112496179067711</v>
      </c>
    </row>
    <row r="2938" customFormat="false" ht="12.75" hidden="false" customHeight="true" outlineLevel="0" collapsed="false">
      <c r="P2938" s="1" t="n">
        <v>2935</v>
      </c>
      <c r="Q2938" s="147" t="n">
        <v>66029.9017899591</v>
      </c>
      <c r="R2938" s="147" t="n">
        <v>0.266782471216747</v>
      </c>
      <c r="S2938" s="147" t="n">
        <v>0.104520432075893</v>
      </c>
      <c r="T2938" s="147" t="n">
        <v>0.000346903951717887</v>
      </c>
    </row>
    <row r="2939" customFormat="false" ht="12.75" hidden="false" customHeight="true" outlineLevel="0" collapsed="false">
      <c r="P2939" s="1" t="n">
        <v>2936</v>
      </c>
      <c r="Q2939" s="147" t="n">
        <v>66052.0945778121</v>
      </c>
      <c r="R2939" s="147" t="n">
        <v>0.264286120769706</v>
      </c>
      <c r="S2939" s="147" t="n">
        <v>0.105935426627216</v>
      </c>
      <c r="T2939" s="147" t="n">
        <v>-0.000360485095361493</v>
      </c>
    </row>
    <row r="2940" customFormat="false" ht="12.75" hidden="false" customHeight="true" outlineLevel="0" collapsed="false">
      <c r="P2940" s="1" t="n">
        <v>2937</v>
      </c>
      <c r="Q2940" s="147" t="n">
        <v>66073.9796687431</v>
      </c>
      <c r="R2940" s="147" t="n">
        <v>0.262828119408222</v>
      </c>
      <c r="S2940" s="147" t="n">
        <v>0.105448308402364</v>
      </c>
      <c r="T2940" s="147" t="n">
        <v>-0.00108346137134425</v>
      </c>
    </row>
    <row r="2941" customFormat="false" ht="12.75" hidden="false" customHeight="true" outlineLevel="0" collapsed="false">
      <c r="P2941" s="1" t="n">
        <v>2938</v>
      </c>
      <c r="Q2941" s="147" t="n">
        <v>66096.3712043671</v>
      </c>
      <c r="R2941" s="147" t="n">
        <v>0.260879850518914</v>
      </c>
      <c r="S2941" s="147" t="n">
        <v>0.105319098535626</v>
      </c>
      <c r="T2941" s="147" t="n">
        <v>-0.00191039158701862</v>
      </c>
    </row>
    <row r="2942" customFormat="false" ht="12.75" hidden="false" customHeight="true" outlineLevel="0" collapsed="false">
      <c r="P2942" s="1" t="n">
        <v>2939</v>
      </c>
      <c r="Q2942" s="147" t="n">
        <v>66118.8106114151</v>
      </c>
      <c r="R2942" s="147" t="n">
        <v>0.259867352838862</v>
      </c>
      <c r="S2942" s="147" t="n">
        <v>0.103535779474333</v>
      </c>
      <c r="T2942" s="147" t="n">
        <v>-0.00279341640154204</v>
      </c>
    </row>
    <row r="2943" customFormat="false" ht="12.75" hidden="false" customHeight="true" outlineLevel="0" collapsed="false">
      <c r="P2943" s="1" t="n">
        <v>2940</v>
      </c>
      <c r="Q2943" s="147" t="n">
        <v>66141.3811266821</v>
      </c>
      <c r="R2943" s="147" t="n">
        <v>0.259959801875983</v>
      </c>
      <c r="S2943" s="147" t="n">
        <v>0.101059086525363</v>
      </c>
      <c r="T2943" s="147" t="n">
        <v>-0.00322956195378644</v>
      </c>
    </row>
    <row r="2944" customFormat="false" ht="12.75" hidden="false" customHeight="true" outlineLevel="0" collapsed="false">
      <c r="P2944" s="1" t="n">
        <v>2941</v>
      </c>
      <c r="Q2944" s="147" t="n">
        <v>66164.0833429881</v>
      </c>
      <c r="R2944" s="147" t="n">
        <v>0.260211102850833</v>
      </c>
      <c r="S2944" s="147" t="n">
        <v>0.0977318618979835</v>
      </c>
      <c r="T2944" s="147" t="n">
        <v>-0.00301743290959328</v>
      </c>
    </row>
    <row r="2945" customFormat="false" ht="12.75" hidden="false" customHeight="true" outlineLevel="0" collapsed="false">
      <c r="P2945" s="1" t="n">
        <v>2942</v>
      </c>
      <c r="Q2945" s="147" t="n">
        <v>66186.3126870101</v>
      </c>
      <c r="R2945" s="147" t="n">
        <v>0.261082754113984</v>
      </c>
      <c r="S2945" s="147" t="n">
        <v>0.094455386221353</v>
      </c>
      <c r="T2945" s="147" t="n">
        <v>-0.00240877585550109</v>
      </c>
    </row>
    <row r="2946" customFormat="false" ht="12.75" hidden="false" customHeight="true" outlineLevel="0" collapsed="false">
      <c r="P2946" s="1" t="n">
        <v>2943</v>
      </c>
      <c r="Q2946" s="147" t="n">
        <v>66208.6374227701</v>
      </c>
      <c r="R2946" s="147" t="n">
        <v>0.262297267008496</v>
      </c>
      <c r="S2946" s="147" t="n">
        <v>0.091410054608071</v>
      </c>
      <c r="T2946" s="147" t="n">
        <v>-0.00151285843822954</v>
      </c>
    </row>
    <row r="2947" customFormat="false" ht="12.75" hidden="false" customHeight="true" outlineLevel="0" collapsed="false">
      <c r="P2947" s="1" t="n">
        <v>2944</v>
      </c>
      <c r="Q2947" s="147" t="n">
        <v>66231.0151825911</v>
      </c>
      <c r="R2947" s="147" t="n">
        <v>0.263959429012892</v>
      </c>
      <c r="S2947" s="147" t="n">
        <v>0.088966331243059</v>
      </c>
      <c r="T2947" s="147" t="n">
        <v>-0.00047477370180338</v>
      </c>
    </row>
    <row r="2948" customFormat="false" ht="12.75" hidden="false" customHeight="true" outlineLevel="0" collapsed="false">
      <c r="P2948" s="1" t="n">
        <v>2945</v>
      </c>
      <c r="Q2948" s="147" t="n">
        <v>66253.4827184131</v>
      </c>
      <c r="R2948" s="147" t="n">
        <v>0.265631737062224</v>
      </c>
      <c r="S2948" s="147" t="n">
        <v>0.0869387155111125</v>
      </c>
      <c r="T2948" s="147" t="n">
        <v>0.000828793452459828</v>
      </c>
    </row>
    <row r="2949" customFormat="false" ht="12.75" hidden="false" customHeight="true" outlineLevel="0" collapsed="false">
      <c r="P2949" s="1" t="n">
        <v>2946</v>
      </c>
      <c r="Q2949" s="147" t="n">
        <v>66275.6081705241</v>
      </c>
      <c r="R2949" s="147" t="n">
        <v>0.267318527399821</v>
      </c>
      <c r="S2949" s="147" t="n">
        <v>0.0855456759771102</v>
      </c>
      <c r="T2949" s="147" t="n">
        <v>0.00283397328681184</v>
      </c>
    </row>
    <row r="2950" customFormat="false" ht="12.75" hidden="false" customHeight="true" outlineLevel="0" collapsed="false">
      <c r="P2950" s="1" t="n">
        <v>2947</v>
      </c>
      <c r="Q2950" s="147" t="n">
        <v>66298.0218446081</v>
      </c>
      <c r="R2950" s="147" t="n">
        <v>0.268606041037508</v>
      </c>
      <c r="S2950" s="147" t="n">
        <v>0.0847026186698876</v>
      </c>
      <c r="T2950" s="147" t="n">
        <v>0.00516375862964921</v>
      </c>
    </row>
    <row r="2951" customFormat="false" ht="12.75" hidden="false" customHeight="true" outlineLevel="0" collapsed="false">
      <c r="P2951" s="1" t="n">
        <v>2948</v>
      </c>
      <c r="Q2951" s="147" t="n">
        <v>66320.2441826091</v>
      </c>
      <c r="R2951" s="147" t="n">
        <v>0.269294652855193</v>
      </c>
      <c r="S2951" s="147" t="n">
        <v>0.0849131652338332</v>
      </c>
      <c r="T2951" s="147" t="n">
        <v>0.00764031039138876</v>
      </c>
    </row>
    <row r="2952" customFormat="false" ht="12.75" hidden="false" customHeight="true" outlineLevel="0" collapsed="false">
      <c r="P2952" s="1" t="n">
        <v>2949</v>
      </c>
      <c r="Q2952" s="147" t="n">
        <v>66342.6613565281</v>
      </c>
      <c r="R2952" s="147" t="n">
        <v>0.269400525821765</v>
      </c>
      <c r="S2952" s="147" t="n">
        <v>0.0860104023721902</v>
      </c>
      <c r="T2952" s="147" t="n">
        <v>0.00976760600246963</v>
      </c>
    </row>
    <row r="2953" customFormat="false" ht="12.75" hidden="false" customHeight="true" outlineLevel="0" collapsed="false">
      <c r="P2953" s="1" t="n">
        <v>2950</v>
      </c>
      <c r="Q2953" s="147" t="n">
        <v>66364.9652867441</v>
      </c>
      <c r="R2953" s="147" t="n">
        <v>0.268991461290827</v>
      </c>
      <c r="S2953" s="147" t="n">
        <v>0.0881614327547002</v>
      </c>
      <c r="T2953" s="147" t="n">
        <v>0.0113281970331802</v>
      </c>
    </row>
    <row r="2954" customFormat="false" ht="12.75" hidden="false" customHeight="true" outlineLevel="0" collapsed="false">
      <c r="P2954" s="1" t="n">
        <v>2951</v>
      </c>
      <c r="Q2954" s="147" t="n">
        <v>66387.1663429641</v>
      </c>
      <c r="R2954" s="147" t="n">
        <v>0.268148923632106</v>
      </c>
      <c r="S2954" s="147" t="n">
        <v>0.0903797781073078</v>
      </c>
      <c r="T2954" s="147" t="n">
        <v>0.011919287062095</v>
      </c>
    </row>
    <row r="2955" customFormat="false" ht="12.75" hidden="false" customHeight="true" outlineLevel="0" collapsed="false">
      <c r="P2955" s="1" t="n">
        <v>2952</v>
      </c>
      <c r="Q2955" s="147" t="n">
        <v>66409.4739627641</v>
      </c>
      <c r="R2955" s="147" t="n">
        <v>0.267559274210426</v>
      </c>
      <c r="S2955" s="147" t="n">
        <v>0.0930974895981891</v>
      </c>
      <c r="T2955" s="147" t="n">
        <v>0.0119655024790698</v>
      </c>
    </row>
    <row r="2956" customFormat="false" ht="12.75" hidden="false" customHeight="true" outlineLevel="0" collapsed="false">
      <c r="P2956" s="1" t="n">
        <v>2953</v>
      </c>
      <c r="Q2956" s="147" t="n">
        <v>66431.7282629141</v>
      </c>
      <c r="R2956" s="147" t="n">
        <v>0.266677838561685</v>
      </c>
      <c r="S2956" s="147" t="n">
        <v>0.096031711609598</v>
      </c>
      <c r="T2956" s="147" t="n">
        <v>0.0109963902716762</v>
      </c>
    </row>
    <row r="2957" customFormat="false" ht="12.75" hidden="false" customHeight="true" outlineLevel="0" collapsed="false">
      <c r="P2957" s="1" t="n">
        <v>2954</v>
      </c>
      <c r="Q2957" s="147" t="n">
        <v>66453.9355497971</v>
      </c>
      <c r="R2957" s="147" t="n">
        <v>0.266082722860313</v>
      </c>
      <c r="S2957" s="147" t="n">
        <v>0.0996528680059896</v>
      </c>
      <c r="T2957" s="147" t="n">
        <v>0.009479526873194</v>
      </c>
    </row>
    <row r="2958" customFormat="false" ht="12.75" hidden="false" customHeight="true" outlineLevel="0" collapsed="false">
      <c r="P2958" s="1" t="n">
        <v>2955</v>
      </c>
      <c r="Q2958" s="147" t="n">
        <v>66476.3115272461</v>
      </c>
      <c r="R2958" s="147" t="n">
        <v>0.265759669900206</v>
      </c>
      <c r="S2958" s="147" t="n">
        <v>0.104539863657583</v>
      </c>
      <c r="T2958" s="147" t="n">
        <v>0.00753550603887868</v>
      </c>
    </row>
    <row r="2959" customFormat="false" ht="12.75" hidden="false" customHeight="true" outlineLevel="0" collapsed="false">
      <c r="P2959" s="1" t="n">
        <v>2956</v>
      </c>
      <c r="Q2959" s="147" t="n">
        <v>66498.7449159882</v>
      </c>
      <c r="R2959" s="147" t="n">
        <v>0.265755860240771</v>
      </c>
      <c r="S2959" s="147" t="n">
        <v>0.109537742341594</v>
      </c>
      <c r="T2959" s="147" t="n">
        <v>0.00611272736951027</v>
      </c>
    </row>
    <row r="2960" customFormat="false" ht="12.75" hidden="false" customHeight="true" outlineLevel="0" collapsed="false">
      <c r="P2960" s="1" t="n">
        <v>2957</v>
      </c>
      <c r="Q2960" s="147" t="n">
        <v>66521.4217275982</v>
      </c>
      <c r="R2960" s="147" t="n">
        <v>0.266142920259049</v>
      </c>
      <c r="S2960" s="147" t="n">
        <v>0.112807608064629</v>
      </c>
      <c r="T2960" s="147" t="n">
        <v>0.00531436097342971</v>
      </c>
    </row>
    <row r="2961" customFormat="false" ht="12.75" hidden="false" customHeight="true" outlineLevel="0" collapsed="false">
      <c r="P2961" s="1" t="n">
        <v>2958</v>
      </c>
      <c r="Q2961" s="147" t="n">
        <v>66544.2799123612</v>
      </c>
      <c r="R2961" s="147" t="n">
        <v>0.266822818989232</v>
      </c>
      <c r="S2961" s="147" t="n">
        <v>0.114475105298134</v>
      </c>
      <c r="T2961" s="147" t="n">
        <v>0.00480478734459507</v>
      </c>
    </row>
    <row r="2962" customFormat="false" ht="12.75" hidden="false" customHeight="true" outlineLevel="0" collapsed="false">
      <c r="P2962" s="1" t="n">
        <v>2959</v>
      </c>
      <c r="Q2962" s="147" t="n">
        <v>66567.0712771702</v>
      </c>
      <c r="R2962" s="147" t="n">
        <v>0.267947179980156</v>
      </c>
      <c r="S2962" s="147" t="n">
        <v>0.114034270453773</v>
      </c>
      <c r="T2962" s="147" t="n">
        <v>0.00481522437597337</v>
      </c>
    </row>
    <row r="2963" customFormat="false" ht="12.75" hidden="false" customHeight="true" outlineLevel="0" collapsed="false">
      <c r="P2963" s="1" t="n">
        <v>2960</v>
      </c>
      <c r="Q2963" s="147" t="n">
        <v>66589.3090937382</v>
      </c>
      <c r="R2963" s="147" t="n">
        <v>0.269415539025456</v>
      </c>
      <c r="S2963" s="147" t="n">
        <v>0.111883543421717</v>
      </c>
      <c r="T2963" s="147" t="n">
        <v>0.00534693426429798</v>
      </c>
    </row>
    <row r="2964" customFormat="false" ht="12.75" hidden="false" customHeight="true" outlineLevel="0" collapsed="false">
      <c r="P2964" s="1" t="n">
        <v>2961</v>
      </c>
      <c r="Q2964" s="147" t="n">
        <v>66611.9249350991</v>
      </c>
      <c r="R2964" s="147" t="n">
        <v>0.270995180511665</v>
      </c>
      <c r="S2964" s="147" t="n">
        <v>0.108256141733406</v>
      </c>
      <c r="T2964" s="147" t="n">
        <v>0.00648167039768027</v>
      </c>
    </row>
    <row r="2965" customFormat="false" ht="12.75" hidden="false" customHeight="true" outlineLevel="0" collapsed="false">
      <c r="P2965" s="1" t="n">
        <v>2962</v>
      </c>
      <c r="Q2965" s="147" t="n">
        <v>66634.3007333891</v>
      </c>
      <c r="R2965" s="147" t="n">
        <v>0.272487361202146</v>
      </c>
      <c r="S2965" s="147" t="n">
        <v>0.104460467941394</v>
      </c>
      <c r="T2965" s="147" t="n">
        <v>0.00783288236953363</v>
      </c>
    </row>
    <row r="2966" customFormat="false" ht="12.75" hidden="false" customHeight="true" outlineLevel="0" collapsed="false">
      <c r="P2966" s="1" t="n">
        <v>2963</v>
      </c>
      <c r="Q2966" s="147" t="n">
        <v>66656.7081778182</v>
      </c>
      <c r="R2966" s="147" t="n">
        <v>0.273720226473047</v>
      </c>
      <c r="S2966" s="147" t="n">
        <v>0.10046778347823</v>
      </c>
      <c r="T2966" s="147" t="n">
        <v>0.00946323270512101</v>
      </c>
    </row>
    <row r="2967" customFormat="false" ht="12.75" hidden="false" customHeight="true" outlineLevel="0" collapsed="false">
      <c r="P2967" s="1" t="n">
        <v>2964</v>
      </c>
      <c r="Q2967" s="147" t="n">
        <v>66679.3820411901</v>
      </c>
      <c r="R2967" s="147" t="n">
        <v>0.274656115845379</v>
      </c>
      <c r="S2967" s="147" t="n">
        <v>0.0970439693044458</v>
      </c>
      <c r="T2967" s="147" t="n">
        <v>0.0109440873749477</v>
      </c>
    </row>
    <row r="2968" customFormat="false" ht="12.75" hidden="false" customHeight="true" outlineLevel="0" collapsed="false">
      <c r="P2968" s="1" t="n">
        <v>2965</v>
      </c>
      <c r="Q2968" s="147" t="n">
        <v>66701.7420910141</v>
      </c>
      <c r="R2968" s="147" t="n">
        <v>0.275326946681915</v>
      </c>
      <c r="S2968" s="147" t="n">
        <v>0.0932557155091161</v>
      </c>
      <c r="T2968" s="147" t="n">
        <v>0.0127675023278562</v>
      </c>
    </row>
    <row r="2969" customFormat="false" ht="12.75" hidden="false" customHeight="true" outlineLevel="0" collapsed="false">
      <c r="P2969" s="1" t="n">
        <v>2966</v>
      </c>
      <c r="Q2969" s="147" t="n">
        <v>66724.2062429601</v>
      </c>
      <c r="R2969" s="147" t="n">
        <v>0.275939183155502</v>
      </c>
      <c r="S2969" s="147" t="n">
        <v>0.0899300970229155</v>
      </c>
      <c r="T2969" s="147" t="n">
        <v>0.0144544537449827</v>
      </c>
    </row>
    <row r="2970" customFormat="false" ht="12.75" hidden="false" customHeight="true" outlineLevel="0" collapsed="false">
      <c r="P2970" s="1" t="n">
        <v>2967</v>
      </c>
      <c r="Q2970" s="147" t="n">
        <v>66746.9278872051</v>
      </c>
      <c r="R2970" s="147" t="n">
        <v>0.276027275107055</v>
      </c>
      <c r="S2970" s="147" t="n">
        <v>0.0882696328235947</v>
      </c>
      <c r="T2970" s="147" t="n">
        <v>0.0157852640842318</v>
      </c>
    </row>
    <row r="2971" customFormat="false" ht="12.75" hidden="false" customHeight="true" outlineLevel="0" collapsed="false">
      <c r="P2971" s="1" t="n">
        <v>2968</v>
      </c>
      <c r="Q2971" s="147" t="n">
        <v>66769.6471147411</v>
      </c>
      <c r="R2971" s="147" t="n">
        <v>0.27587004479082</v>
      </c>
      <c r="S2971" s="147" t="n">
        <v>0.0874002627547847</v>
      </c>
      <c r="T2971" s="147" t="n">
        <v>0.0168091725634716</v>
      </c>
    </row>
    <row r="2972" customFormat="false" ht="12.75" hidden="false" customHeight="true" outlineLevel="0" collapsed="false">
      <c r="P2972" s="1" t="n">
        <v>2969</v>
      </c>
      <c r="Q2972" s="147" t="n">
        <v>66792.2517675481</v>
      </c>
      <c r="R2972" s="147" t="n">
        <v>0.275376874212472</v>
      </c>
      <c r="S2972" s="147" t="n">
        <v>0.0872320914236352</v>
      </c>
      <c r="T2972" s="147" t="n">
        <v>0.0174753775248251</v>
      </c>
    </row>
    <row r="2973" customFormat="false" ht="12.75" hidden="false" customHeight="true" outlineLevel="0" collapsed="false">
      <c r="P2973" s="1" t="n">
        <v>2970</v>
      </c>
      <c r="Q2973" s="147" t="n">
        <v>66814.6190924631</v>
      </c>
      <c r="R2973" s="147" t="n">
        <v>0.274680646527245</v>
      </c>
      <c r="S2973" s="147" t="n">
        <v>0.086703785134553</v>
      </c>
      <c r="T2973" s="147" t="n">
        <v>0.0178570446153818</v>
      </c>
    </row>
    <row r="2974" customFormat="false" ht="12.75" hidden="false" customHeight="true" outlineLevel="0" collapsed="false">
      <c r="P2974" s="1" t="n">
        <v>2971</v>
      </c>
      <c r="Q2974" s="147" t="n">
        <v>66837.1632348591</v>
      </c>
      <c r="R2974" s="147" t="n">
        <v>0.273854114971141</v>
      </c>
      <c r="S2974" s="147" t="n">
        <v>0.0859739270210714</v>
      </c>
      <c r="T2974" s="147" t="n">
        <v>0.0179347489772909</v>
      </c>
    </row>
    <row r="2975" customFormat="false" ht="12.75" hidden="false" customHeight="true" outlineLevel="0" collapsed="false">
      <c r="P2975" s="1" t="n">
        <v>2972</v>
      </c>
      <c r="Q2975" s="147" t="n">
        <v>66859.7451930391</v>
      </c>
      <c r="R2975" s="147" t="n">
        <v>0.273019943789218</v>
      </c>
      <c r="S2975" s="147" t="n">
        <v>0.0852428778844661</v>
      </c>
      <c r="T2975" s="147" t="n">
        <v>0.0177685044126818</v>
      </c>
    </row>
    <row r="2976" customFormat="false" ht="12.75" hidden="false" customHeight="true" outlineLevel="0" collapsed="false">
      <c r="P2976" s="1" t="n">
        <v>2973</v>
      </c>
      <c r="Q2976" s="147" t="n">
        <v>66882.0829163962</v>
      </c>
      <c r="R2976" s="147" t="n">
        <v>0.272152295777323</v>
      </c>
      <c r="S2976" s="147" t="n">
        <v>0.0851028978939781</v>
      </c>
      <c r="T2976" s="147" t="n">
        <v>0.0173054278533244</v>
      </c>
    </row>
    <row r="2977" customFormat="false" ht="12.75" hidden="false" customHeight="true" outlineLevel="0" collapsed="false">
      <c r="P2977" s="1" t="n">
        <v>2974</v>
      </c>
      <c r="Q2977" s="147" t="n">
        <v>66904.4901335061</v>
      </c>
      <c r="R2977" s="147" t="n">
        <v>0.271585945884593</v>
      </c>
      <c r="S2977" s="147" t="n">
        <v>0.0854577109277316</v>
      </c>
      <c r="T2977" s="147" t="n">
        <v>0.0167426795534959</v>
      </c>
    </row>
    <row r="2978" customFormat="false" ht="12.75" hidden="false" customHeight="true" outlineLevel="0" collapsed="false">
      <c r="P2978" s="1" t="n">
        <v>2975</v>
      </c>
      <c r="Q2978" s="147" t="n">
        <v>66927.1024492211</v>
      </c>
      <c r="R2978" s="147" t="n">
        <v>0.271237762321561</v>
      </c>
      <c r="S2978" s="147" t="n">
        <v>0.0861952452510663</v>
      </c>
      <c r="T2978" s="147" t="n">
        <v>0.0161129037755553</v>
      </c>
    </row>
    <row r="2979" customFormat="false" ht="12.75" hidden="false" customHeight="true" outlineLevel="0" collapsed="false">
      <c r="P2979" s="1" t="n">
        <v>2976</v>
      </c>
      <c r="Q2979" s="147" t="n">
        <v>66949.7976610651</v>
      </c>
      <c r="R2979" s="147" t="n">
        <v>0.271491109175003</v>
      </c>
      <c r="S2979" s="147" t="n">
        <v>0.0885558430561232</v>
      </c>
      <c r="T2979" s="147" t="n">
        <v>0.0153455121353903</v>
      </c>
    </row>
    <row r="2980" customFormat="false" ht="12.75" hidden="false" customHeight="true" outlineLevel="0" collapsed="false">
      <c r="P2980" s="1" t="n">
        <v>2977</v>
      </c>
      <c r="Q2980" s="147" t="n">
        <v>66972.4963492751</v>
      </c>
      <c r="R2980" s="147" t="n">
        <v>0.27187610648962</v>
      </c>
      <c r="S2980" s="147" t="n">
        <v>0.0920664522374251</v>
      </c>
      <c r="T2980" s="147" t="n">
        <v>0.0148486796582545</v>
      </c>
    </row>
    <row r="2981" customFormat="false" ht="12.75" hidden="false" customHeight="true" outlineLevel="0" collapsed="false">
      <c r="P2981" s="1" t="n">
        <v>2978</v>
      </c>
      <c r="Q2981" s="147" t="n">
        <v>66995.0557878181</v>
      </c>
      <c r="R2981" s="147" t="n">
        <v>0.272919038511228</v>
      </c>
      <c r="S2981" s="147" t="n">
        <v>0.0932545806763198</v>
      </c>
      <c r="T2981" s="147" t="n">
        <v>0.0146395849879326</v>
      </c>
    </row>
    <row r="2982" customFormat="false" ht="12.75" hidden="false" customHeight="true" outlineLevel="0" collapsed="false">
      <c r="P2982" s="1" t="n">
        <v>2979</v>
      </c>
      <c r="Q2982" s="147" t="n">
        <v>67017.7928647621</v>
      </c>
      <c r="R2982" s="147" t="n">
        <v>0.274362997458027</v>
      </c>
      <c r="S2982" s="147" t="n">
        <v>0.0930641011553243</v>
      </c>
      <c r="T2982" s="147" t="n">
        <v>0.0149511976533634</v>
      </c>
    </row>
    <row r="2983" customFormat="false" ht="12.75" hidden="false" customHeight="true" outlineLevel="0" collapsed="false">
      <c r="P2983" s="1" t="n">
        <v>2980</v>
      </c>
      <c r="Q2983" s="147" t="n">
        <v>67040.5854225352</v>
      </c>
      <c r="R2983" s="147" t="n">
        <v>0.275902751923194</v>
      </c>
      <c r="S2983" s="147" t="n">
        <v>0.0906706855081011</v>
      </c>
      <c r="T2983" s="147" t="n">
        <v>0.0156857525884811</v>
      </c>
    </row>
    <row r="2984" customFormat="false" ht="12.75" hidden="false" customHeight="true" outlineLevel="0" collapsed="false">
      <c r="P2984" s="1" t="n">
        <v>2981</v>
      </c>
      <c r="Q2984" s="147" t="n">
        <v>67062.9662125542</v>
      </c>
      <c r="R2984" s="147" t="n">
        <v>0.277399070233191</v>
      </c>
      <c r="S2984" s="147" t="n">
        <v>0.0876577576321011</v>
      </c>
      <c r="T2984" s="147" t="n">
        <v>0.0166604854768746</v>
      </c>
    </row>
    <row r="2985" customFormat="false" ht="12.75" hidden="false" customHeight="true" outlineLevel="0" collapsed="false">
      <c r="P2985" s="1" t="n">
        <v>2982</v>
      </c>
      <c r="Q2985" s="147" t="n">
        <v>67085.4292026032</v>
      </c>
      <c r="R2985" s="147" t="n">
        <v>0.278357743745152</v>
      </c>
      <c r="S2985" s="147" t="n">
        <v>0.0848444090332956</v>
      </c>
      <c r="T2985" s="147" t="n">
        <v>0.0177110847780789</v>
      </c>
    </row>
    <row r="2986" customFormat="false" ht="12.75" hidden="false" customHeight="true" outlineLevel="0" collapsed="false">
      <c r="P2986" s="1" t="n">
        <v>2983</v>
      </c>
      <c r="Q2986" s="147" t="n">
        <v>67107.3866952532</v>
      </c>
      <c r="R2986" s="147" t="n">
        <v>0.278585869397303</v>
      </c>
      <c r="S2986" s="147" t="n">
        <v>0.0834449840807006</v>
      </c>
      <c r="T2986" s="147" t="n">
        <v>0.0183153528536626</v>
      </c>
    </row>
    <row r="2987" customFormat="false" ht="12.75" hidden="false" customHeight="true" outlineLevel="0" collapsed="false">
      <c r="P2987" s="1" t="n">
        <v>2984</v>
      </c>
      <c r="Q2987" s="147" t="n">
        <v>67129.5815418742</v>
      </c>
      <c r="R2987" s="147" t="n">
        <v>0.278406776696097</v>
      </c>
      <c r="S2987" s="147" t="n">
        <v>0.0830334506150903</v>
      </c>
      <c r="T2987" s="147" t="n">
        <v>0.0191807242883901</v>
      </c>
    </row>
    <row r="2988" customFormat="false" ht="12.75" hidden="false" customHeight="true" outlineLevel="0" collapsed="false">
      <c r="P2988" s="1" t="n">
        <v>2985</v>
      </c>
      <c r="Q2988" s="147" t="n">
        <v>67152.1729116342</v>
      </c>
      <c r="R2988" s="147" t="n">
        <v>0.277197999394173</v>
      </c>
      <c r="S2988" s="147" t="n">
        <v>0.0804578180644714</v>
      </c>
      <c r="T2988" s="147" t="n">
        <v>0.020790062304416</v>
      </c>
    </row>
    <row r="2989" customFormat="false" ht="12.75" hidden="false" customHeight="true" outlineLevel="0" collapsed="false">
      <c r="P2989" s="1" t="n">
        <v>2986</v>
      </c>
      <c r="Q2989" s="147" t="n">
        <v>67174.6321424452</v>
      </c>
      <c r="R2989" s="147" t="n">
        <v>0.276372730630308</v>
      </c>
      <c r="S2989" s="147" t="n">
        <v>0.0786364897744908</v>
      </c>
      <c r="T2989" s="147" t="n">
        <v>0.0207094486032208</v>
      </c>
    </row>
    <row r="2990" customFormat="false" ht="12.75" hidden="false" customHeight="true" outlineLevel="0" collapsed="false">
      <c r="P2990" s="1" t="n">
        <v>2987</v>
      </c>
      <c r="Q2990" s="147" t="n">
        <v>67197.2232730972</v>
      </c>
      <c r="R2990" s="147" t="n">
        <v>0.274765515243713</v>
      </c>
      <c r="S2990" s="147" t="n">
        <v>0.0790899843584624</v>
      </c>
      <c r="T2990" s="147" t="n">
        <v>0.0206339456865426</v>
      </c>
    </row>
    <row r="2991" customFormat="false" ht="12.75" hidden="false" customHeight="true" outlineLevel="0" collapsed="false">
      <c r="P2991" s="1" t="n">
        <v>2988</v>
      </c>
      <c r="Q2991" s="147" t="n">
        <v>67219.6757099252</v>
      </c>
      <c r="R2991" s="147" t="n">
        <v>0.273117018560504</v>
      </c>
      <c r="S2991" s="147" t="n">
        <v>0.0804254205185566</v>
      </c>
      <c r="T2991" s="147" t="n">
        <v>0.0207316289048625</v>
      </c>
    </row>
    <row r="2992" customFormat="false" ht="12.75" hidden="false" customHeight="true" outlineLevel="0" collapsed="false">
      <c r="P2992" s="1" t="n">
        <v>2989</v>
      </c>
      <c r="Q2992" s="147" t="n">
        <v>67242.2265574022</v>
      </c>
      <c r="R2992" s="147" t="n">
        <v>0.271420503403511</v>
      </c>
      <c r="S2992" s="147" t="n">
        <v>0.0819752577125179</v>
      </c>
      <c r="T2992" s="147" t="n">
        <v>0.0207202682327047</v>
      </c>
    </row>
    <row r="2993" customFormat="false" ht="12.75" hidden="false" customHeight="true" outlineLevel="0" collapsed="false">
      <c r="P2993" s="1" t="n">
        <v>2990</v>
      </c>
      <c r="Q2993" s="147" t="n">
        <v>67264.4535344412</v>
      </c>
      <c r="R2993" s="147" t="n">
        <v>0.269758817443737</v>
      </c>
      <c r="S2993" s="147" t="n">
        <v>0.0830110314216433</v>
      </c>
      <c r="T2993" s="147" t="n">
        <v>0.0206194126176231</v>
      </c>
    </row>
    <row r="2994" customFormat="false" ht="12.75" hidden="false" customHeight="true" outlineLevel="0" collapsed="false">
      <c r="P2994" s="1" t="n">
        <v>2991</v>
      </c>
      <c r="Q2994" s="147" t="n">
        <v>67286.1273523802</v>
      </c>
      <c r="R2994" s="147" t="n">
        <v>0.268296898535677</v>
      </c>
      <c r="S2994" s="147" t="n">
        <v>0.0831114143557436</v>
      </c>
      <c r="T2994" s="147" t="n">
        <v>0.0203740514950678</v>
      </c>
    </row>
    <row r="2995" customFormat="false" ht="12.75" hidden="false" customHeight="true" outlineLevel="0" collapsed="false">
      <c r="P2995" s="1" t="n">
        <v>2992</v>
      </c>
      <c r="Q2995" s="147" t="n">
        <v>67307.9740783222</v>
      </c>
      <c r="R2995" s="147" t="n">
        <v>0.267404269378353</v>
      </c>
      <c r="S2995" s="147" t="n">
        <v>0.0821002334618775</v>
      </c>
      <c r="T2995" s="147" t="n">
        <v>0.0203042328134401</v>
      </c>
    </row>
    <row r="2996" customFormat="false" ht="12.75" hidden="false" customHeight="true" outlineLevel="0" collapsed="false">
      <c r="P2996" s="1" t="n">
        <v>2993</v>
      </c>
      <c r="Q2996" s="147" t="n">
        <v>67330.3845461522</v>
      </c>
      <c r="R2996" s="147" t="n">
        <v>0.267253497066105</v>
      </c>
      <c r="S2996" s="147" t="n">
        <v>0.0832692413158591</v>
      </c>
      <c r="T2996" s="147" t="n">
        <v>0.0199540014733368</v>
      </c>
    </row>
    <row r="2997" customFormat="false" ht="12.75" hidden="false" customHeight="true" outlineLevel="0" collapsed="false">
      <c r="P2997" s="1" t="n">
        <v>2994</v>
      </c>
      <c r="Q2997" s="147" t="n">
        <v>67352.6652825612</v>
      </c>
      <c r="R2997" s="147" t="n">
        <v>0.267147390193965</v>
      </c>
      <c r="S2997" s="147" t="n">
        <v>0.0849074762838589</v>
      </c>
      <c r="T2997" s="147" t="n">
        <v>0.0193321701657001</v>
      </c>
    </row>
    <row r="2998" customFormat="false" ht="12.75" hidden="false" customHeight="true" outlineLevel="0" collapsed="false">
      <c r="P2998" s="1" t="n">
        <v>2995</v>
      </c>
      <c r="Q2998" s="147" t="n">
        <v>67375.1731943632</v>
      </c>
      <c r="R2998" s="147" t="n">
        <v>0.267875003069438</v>
      </c>
      <c r="S2998" s="147" t="n">
        <v>0.0840983747871603</v>
      </c>
      <c r="T2998" s="147" t="n">
        <v>0.0190022052752075</v>
      </c>
    </row>
    <row r="2999" customFormat="false" ht="12.75" hidden="false" customHeight="true" outlineLevel="0" collapsed="false">
      <c r="P2999" s="1" t="n">
        <v>2996</v>
      </c>
      <c r="Q2999" s="147" t="n">
        <v>67397.4210313772</v>
      </c>
      <c r="R2999" s="147" t="n">
        <v>0.269135157364347</v>
      </c>
      <c r="S2999" s="147" t="n">
        <v>0.0812432674097606</v>
      </c>
      <c r="T2999" s="147" t="n">
        <v>0.0184572417634479</v>
      </c>
    </row>
    <row r="3000" customFormat="false" ht="12.75" hidden="false" customHeight="true" outlineLevel="0" collapsed="false">
      <c r="P3000" s="1" t="n">
        <v>2997</v>
      </c>
      <c r="Q3000" s="147" t="n">
        <v>67419.5634470922</v>
      </c>
      <c r="R3000" s="147" t="n">
        <v>0.270401085353402</v>
      </c>
      <c r="S3000" s="147" t="n">
        <v>0.0772775030402342</v>
      </c>
      <c r="T3000" s="147" t="n">
        <v>0.0181319710635977</v>
      </c>
    </row>
    <row r="3001" customFormat="false" ht="12.75" hidden="false" customHeight="true" outlineLevel="0" collapsed="false">
      <c r="P3001" s="1" t="n">
        <v>2998</v>
      </c>
      <c r="Q3001" s="147" t="n">
        <v>67441.8718217482</v>
      </c>
      <c r="R3001" s="147" t="n">
        <v>0.271567794630595</v>
      </c>
      <c r="S3001" s="147" t="n">
        <v>0.0725549926324542</v>
      </c>
      <c r="T3001" s="147" t="n">
        <v>0.0174976658961296</v>
      </c>
    </row>
    <row r="3002" customFormat="false" ht="12.75" hidden="false" customHeight="true" outlineLevel="0" collapsed="false">
      <c r="P3002" s="1" t="n">
        <v>2999</v>
      </c>
      <c r="Q3002" s="147" t="n">
        <v>67463.9020123112</v>
      </c>
      <c r="R3002" s="147" t="n">
        <v>0.272342154181826</v>
      </c>
      <c r="S3002" s="147" t="n">
        <v>0.0698578806147618</v>
      </c>
      <c r="T3002" s="147" t="n">
        <v>0.0170205352436831</v>
      </c>
    </row>
    <row r="3003" customFormat="false" ht="12.75" hidden="false" customHeight="true" outlineLevel="0" collapsed="false">
      <c r="P3003" s="1" t="n">
        <v>3000</v>
      </c>
      <c r="Q3003" s="147" t="n">
        <v>67485.9859513852</v>
      </c>
      <c r="R3003" s="147" t="n">
        <v>0.272800093704672</v>
      </c>
      <c r="S3003" s="147" t="n">
        <v>0.066485069729915</v>
      </c>
      <c r="T3003" s="147" t="n">
        <v>0.0155602230094684</v>
      </c>
    </row>
    <row r="3004" customFormat="false" ht="12.75" hidden="false" customHeight="true" outlineLevel="0" collapsed="false">
      <c r="P3004" s="1" t="n">
        <v>3001</v>
      </c>
      <c r="Q3004" s="147" t="n">
        <v>67507.8918531552</v>
      </c>
      <c r="R3004" s="147" t="n">
        <v>0.272730449388579</v>
      </c>
      <c r="S3004" s="147" t="n">
        <v>0.0664946724067359</v>
      </c>
      <c r="T3004" s="147" t="n">
        <v>0.0145120773358813</v>
      </c>
    </row>
    <row r="3005" customFormat="false" ht="12.75" hidden="false" customHeight="true" outlineLevel="0" collapsed="false">
      <c r="P3005" s="1" t="n">
        <v>3002</v>
      </c>
      <c r="Q3005" s="147" t="n">
        <v>67530.4404078112</v>
      </c>
      <c r="R3005" s="147" t="n">
        <v>0.271840268872751</v>
      </c>
      <c r="S3005" s="147" t="n">
        <v>0.0672516163344569</v>
      </c>
      <c r="T3005" s="147" t="n">
        <v>0.0124191709574843</v>
      </c>
    </row>
    <row r="3006" customFormat="false" ht="12.75" hidden="false" customHeight="true" outlineLevel="0" collapsed="false">
      <c r="P3006" s="1" t="n">
        <v>3003</v>
      </c>
      <c r="Q3006" s="147" t="n">
        <v>67552.8605852312</v>
      </c>
      <c r="R3006" s="147" t="n">
        <v>0.271016161875524</v>
      </c>
      <c r="S3006" s="147" t="n">
        <v>0.0690947707059335</v>
      </c>
      <c r="T3006" s="147" t="n">
        <v>0.0107898173748355</v>
      </c>
    </row>
    <row r="3007" customFormat="false" ht="12.75" hidden="false" customHeight="true" outlineLevel="0" collapsed="false">
      <c r="P3007" s="1" t="n">
        <v>3004</v>
      </c>
      <c r="Q3007" s="147" t="n">
        <v>67575.6920232512</v>
      </c>
      <c r="R3007" s="147" t="n">
        <v>0.269426328747514</v>
      </c>
      <c r="S3007" s="147" t="n">
        <v>0.0728706142547677</v>
      </c>
      <c r="T3007" s="147" t="n">
        <v>0.00962022360175157</v>
      </c>
    </row>
    <row r="3008" customFormat="false" ht="12.75" hidden="false" customHeight="true" outlineLevel="0" collapsed="false">
      <c r="P3008" s="1" t="n">
        <v>3005</v>
      </c>
      <c r="Q3008" s="147" t="n">
        <v>67598.6540647482</v>
      </c>
      <c r="R3008" s="147" t="n">
        <v>0.267818190621997</v>
      </c>
      <c r="S3008" s="147" t="n">
        <v>0.0780749132621376</v>
      </c>
      <c r="T3008" s="147" t="n">
        <v>0.00873540664846989</v>
      </c>
    </row>
    <row r="3009" customFormat="false" ht="12.75" hidden="false" customHeight="true" outlineLevel="0" collapsed="false">
      <c r="P3009" s="1" t="n">
        <v>3006</v>
      </c>
      <c r="Q3009" s="147" t="n">
        <v>67621.4867495122</v>
      </c>
      <c r="R3009" s="147" t="n">
        <v>0.265830720353378</v>
      </c>
      <c r="S3009" s="147" t="n">
        <v>0.0820609569799773</v>
      </c>
      <c r="T3009" s="147" t="n">
        <v>0.00832291715419826</v>
      </c>
    </row>
    <row r="3010" customFormat="false" ht="12.75" hidden="false" customHeight="true" outlineLevel="0" collapsed="false">
      <c r="P3010" s="1" t="n">
        <v>3007</v>
      </c>
      <c r="Q3010" s="147" t="n">
        <v>67644.0110074082</v>
      </c>
      <c r="R3010" s="147" t="n">
        <v>0.263957476798563</v>
      </c>
      <c r="S3010" s="147" t="n">
        <v>0.083958355539581</v>
      </c>
      <c r="T3010" s="147" t="n">
        <v>0.00830759682411552</v>
      </c>
    </row>
    <row r="3011" customFormat="false" ht="12.75" hidden="false" customHeight="true" outlineLevel="0" collapsed="false">
      <c r="P3011" s="1" t="n">
        <v>3008</v>
      </c>
      <c r="Q3011" s="147" t="n">
        <v>67666.3336327672</v>
      </c>
      <c r="R3011" s="147" t="n">
        <v>0.262341380468812</v>
      </c>
      <c r="S3011" s="147" t="n">
        <v>0.0838372167058929</v>
      </c>
      <c r="T3011" s="147" t="n">
        <v>0.00854395863517997</v>
      </c>
    </row>
    <row r="3012" customFormat="false" ht="12.75" hidden="false" customHeight="true" outlineLevel="0" collapsed="false">
      <c r="P3012" s="1" t="n">
        <v>3009</v>
      </c>
      <c r="Q3012" s="147" t="n">
        <v>67688.6448966722</v>
      </c>
      <c r="R3012" s="147" t="n">
        <v>0.261155244488228</v>
      </c>
      <c r="S3012" s="147" t="n">
        <v>0.0821272184688692</v>
      </c>
      <c r="T3012" s="147" t="n">
        <v>0.00893156747969751</v>
      </c>
    </row>
    <row r="3013" customFormat="false" ht="12.75" hidden="false" customHeight="true" outlineLevel="0" collapsed="false">
      <c r="P3013" s="1" t="n">
        <v>3010</v>
      </c>
      <c r="Q3013" s="147" t="n">
        <v>67710.8651207492</v>
      </c>
      <c r="R3013" s="147" t="n">
        <v>0.260335678698569</v>
      </c>
      <c r="S3013" s="147" t="n">
        <v>0.0794797425785544</v>
      </c>
      <c r="T3013" s="147" t="n">
        <v>0.00941722388605103</v>
      </c>
    </row>
    <row r="3014" customFormat="false" ht="12.75" hidden="false" customHeight="true" outlineLevel="0" collapsed="false">
      <c r="P3014" s="1" t="n">
        <v>3011</v>
      </c>
      <c r="Q3014" s="147" t="n">
        <v>67733.6312813262</v>
      </c>
      <c r="R3014" s="147" t="n">
        <v>0.260651067901245</v>
      </c>
      <c r="S3014" s="147" t="n">
        <v>0.0768296096929247</v>
      </c>
      <c r="T3014" s="147" t="n">
        <v>0.00999343778904974</v>
      </c>
    </row>
    <row r="3015" customFormat="false" ht="12.75" hidden="false" customHeight="true" outlineLevel="0" collapsed="false">
      <c r="P3015" s="1" t="n">
        <v>3012</v>
      </c>
      <c r="Q3015" s="147" t="n">
        <v>67756.3221858002</v>
      </c>
      <c r="R3015" s="147" t="n">
        <v>0.260914941664991</v>
      </c>
      <c r="S3015" s="147" t="n">
        <v>0.0751678911676436</v>
      </c>
      <c r="T3015" s="147" t="n">
        <v>0.00986859952495532</v>
      </c>
    </row>
    <row r="3016" customFormat="false" ht="12.75" hidden="false" customHeight="true" outlineLevel="0" collapsed="false">
      <c r="P3016" s="1" t="n">
        <v>3013</v>
      </c>
      <c r="Q3016" s="147" t="n">
        <v>67778.9834116461</v>
      </c>
      <c r="R3016" s="147" t="n">
        <v>0.261831543690255</v>
      </c>
      <c r="S3016" s="147" t="n">
        <v>0.0728465023509816</v>
      </c>
      <c r="T3016" s="147" t="n">
        <v>0.00943904454404197</v>
      </c>
    </row>
    <row r="3017" customFormat="false" ht="12.75" hidden="false" customHeight="true" outlineLevel="0" collapsed="false">
      <c r="P3017" s="1" t="n">
        <v>3014</v>
      </c>
      <c r="Q3017" s="147" t="n">
        <v>67801.5454029471</v>
      </c>
      <c r="R3017" s="147" t="n">
        <v>0.262372107884827</v>
      </c>
      <c r="S3017" s="147" t="n">
        <v>0.0724102011053202</v>
      </c>
      <c r="T3017" s="147" t="n">
        <v>0.00892184138512483</v>
      </c>
    </row>
    <row r="3018" customFormat="false" ht="12.75" hidden="false" customHeight="true" outlineLevel="0" collapsed="false">
      <c r="P3018" s="1" t="n">
        <v>3015</v>
      </c>
      <c r="Q3018" s="147" t="n">
        <v>67824.0288417082</v>
      </c>
      <c r="R3018" s="147" t="n">
        <v>0.263366373156936</v>
      </c>
      <c r="S3018" s="147" t="n">
        <v>0.072656986661334</v>
      </c>
      <c r="T3018" s="147" t="n">
        <v>0.00845419346359383</v>
      </c>
    </row>
    <row r="3019" customFormat="false" ht="12.75" hidden="false" customHeight="true" outlineLevel="0" collapsed="false">
      <c r="P3019" s="1" t="n">
        <v>3016</v>
      </c>
      <c r="Q3019" s="147" t="n">
        <v>67846.4548960751</v>
      </c>
      <c r="R3019" s="147" t="n">
        <v>0.264112662429139</v>
      </c>
      <c r="S3019" s="147" t="n">
        <v>0.0747707595084388</v>
      </c>
      <c r="T3019" s="147" t="n">
        <v>0.00756903472311474</v>
      </c>
    </row>
    <row r="3020" customFormat="false" ht="12.75" hidden="false" customHeight="true" outlineLevel="0" collapsed="false">
      <c r="P3020" s="1" t="n">
        <v>3017</v>
      </c>
      <c r="Q3020" s="147" t="n">
        <v>67869.2447514151</v>
      </c>
      <c r="R3020" s="147" t="n">
        <v>0.264618350373313</v>
      </c>
      <c r="S3020" s="147" t="n">
        <v>0.0783140974253914</v>
      </c>
      <c r="T3020" s="147" t="n">
        <v>0.00678445104379519</v>
      </c>
    </row>
    <row r="3021" customFormat="false" ht="12.75" hidden="false" customHeight="true" outlineLevel="0" collapsed="false">
      <c r="P3021" s="1" t="n">
        <v>3018</v>
      </c>
      <c r="Q3021" s="147" t="n">
        <v>67891.3849492892</v>
      </c>
      <c r="R3021" s="147" t="n">
        <v>0.265135291696165</v>
      </c>
      <c r="S3021" s="147" t="n">
        <v>0.0818123558396038</v>
      </c>
      <c r="T3021" s="147" t="n">
        <v>0.00630723829435504</v>
      </c>
    </row>
    <row r="3022" customFormat="false" ht="12.75" hidden="false" customHeight="true" outlineLevel="0" collapsed="false">
      <c r="P3022" s="1" t="n">
        <v>3019</v>
      </c>
      <c r="Q3022" s="147" t="n">
        <v>67914.1448326211</v>
      </c>
      <c r="R3022" s="147" t="n">
        <v>0.264684384561974</v>
      </c>
      <c r="S3022" s="147" t="n">
        <v>0.0914278902181883</v>
      </c>
      <c r="T3022" s="147" t="n">
        <v>0.00511058057781752</v>
      </c>
    </row>
    <row r="3023" customFormat="false" ht="12.75" hidden="false" customHeight="true" outlineLevel="0" collapsed="false">
      <c r="P3023" s="1" t="n">
        <v>3020</v>
      </c>
      <c r="Q3023" s="147" t="n">
        <v>67936.1541549801</v>
      </c>
      <c r="R3023" s="147" t="n">
        <v>0.265108608413873</v>
      </c>
      <c r="S3023" s="147" t="n">
        <v>0.0954890084978995</v>
      </c>
      <c r="T3023" s="147" t="n">
        <v>0.00441839276384666</v>
      </c>
    </row>
    <row r="3024" customFormat="false" ht="12.75" hidden="false" customHeight="true" outlineLevel="0" collapsed="false">
      <c r="P3024" s="1" t="n">
        <v>3021</v>
      </c>
      <c r="Q3024" s="147" t="n">
        <v>67958.8624511831</v>
      </c>
      <c r="R3024" s="147" t="n">
        <v>0.264379254426852</v>
      </c>
      <c r="S3024" s="147" t="n">
        <v>0.103565359433339</v>
      </c>
      <c r="T3024" s="147" t="n">
        <v>0.00456168762663565</v>
      </c>
    </row>
    <row r="3025" customFormat="false" ht="12.75" hidden="false" customHeight="true" outlineLevel="0" collapsed="false">
      <c r="P3025" s="1" t="n">
        <v>3022</v>
      </c>
      <c r="Q3025" s="147" t="n">
        <v>67981.2466439801</v>
      </c>
      <c r="R3025" s="147" t="n">
        <v>0.264145732849429</v>
      </c>
      <c r="S3025" s="147" t="n">
        <v>0.107564178611319</v>
      </c>
      <c r="T3025" s="147" t="n">
        <v>0.00354329614186244</v>
      </c>
    </row>
    <row r="3026" customFormat="false" ht="12.75" hidden="false" customHeight="true" outlineLevel="0" collapsed="false">
      <c r="P3026" s="1" t="n">
        <v>3023</v>
      </c>
      <c r="Q3026" s="147" t="n">
        <v>68003.7855399451</v>
      </c>
      <c r="R3026" s="147" t="n">
        <v>0.263473111938523</v>
      </c>
      <c r="S3026" s="147" t="n">
        <v>0.110079430374471</v>
      </c>
      <c r="T3026" s="147" t="n">
        <v>0.00275285226502991</v>
      </c>
    </row>
    <row r="3027" customFormat="false" ht="12.75" hidden="false" customHeight="true" outlineLevel="0" collapsed="false">
      <c r="P3027" s="1" t="n">
        <v>3024</v>
      </c>
      <c r="Q3027" s="147" t="n">
        <v>68026.2687155881</v>
      </c>
      <c r="R3027" s="147" t="n">
        <v>0.263131548098394</v>
      </c>
      <c r="S3027" s="147" t="n">
        <v>0.110035134203739</v>
      </c>
      <c r="T3027" s="147" t="n">
        <v>0.00201906963849693</v>
      </c>
    </row>
    <row r="3028" customFormat="false" ht="12.75" hidden="false" customHeight="true" outlineLevel="0" collapsed="false">
      <c r="P3028" s="1" t="n">
        <v>3025</v>
      </c>
      <c r="Q3028" s="147" t="n">
        <v>68048.7838331211</v>
      </c>
      <c r="R3028" s="147" t="n">
        <v>0.262406003681046</v>
      </c>
      <c r="S3028" s="147" t="n">
        <v>0.108670415188403</v>
      </c>
      <c r="T3028" s="147" t="n">
        <v>0.00085690597361487</v>
      </c>
    </row>
    <row r="3029" customFormat="false" ht="12.75" hidden="false" customHeight="true" outlineLevel="0" collapsed="false">
      <c r="P3029" s="1" t="n">
        <v>3026</v>
      </c>
      <c r="Q3029" s="147" t="n">
        <v>68071.3309575121</v>
      </c>
      <c r="R3029" s="147" t="n">
        <v>0.262010276298165</v>
      </c>
      <c r="S3029" s="147" t="n">
        <v>0.105596549535308</v>
      </c>
      <c r="T3029" s="147" t="n">
        <v>0.000663579196355961</v>
      </c>
    </row>
    <row r="3030" customFormat="false" ht="12.75" hidden="false" customHeight="true" outlineLevel="0" collapsed="false">
      <c r="P3030" s="1" t="n">
        <v>3027</v>
      </c>
      <c r="Q3030" s="147" t="n">
        <v>68093.4741487531</v>
      </c>
      <c r="R3030" s="147" t="n">
        <v>0.261547660959402</v>
      </c>
      <c r="S3030" s="147" t="n">
        <v>0.10370985255935</v>
      </c>
      <c r="T3030" s="147" t="n">
        <v>-4.83744584341263E-005</v>
      </c>
    </row>
    <row r="3031" customFormat="false" ht="12.75" hidden="false" customHeight="true" outlineLevel="0" collapsed="false">
      <c r="P3031" s="1" t="n">
        <v>3028</v>
      </c>
      <c r="Q3031" s="147" t="n">
        <v>68116.2196056022</v>
      </c>
      <c r="R3031" s="147" t="n">
        <v>0.261042012819607</v>
      </c>
      <c r="S3031" s="147" t="n">
        <v>0.0973707324114388</v>
      </c>
      <c r="T3031" s="147" t="n">
        <v>0.00113092861602798</v>
      </c>
    </row>
    <row r="3032" customFormat="false" ht="12.75" hidden="false" customHeight="true" outlineLevel="0" collapsed="false">
      <c r="P3032" s="1" t="n">
        <v>3029</v>
      </c>
      <c r="Q3032" s="147" t="n">
        <v>68137.9270533062</v>
      </c>
      <c r="R3032" s="147" t="n">
        <v>0.261104308702731</v>
      </c>
      <c r="S3032" s="147" t="n">
        <v>0.0955057185740262</v>
      </c>
      <c r="T3032" s="147" t="n">
        <v>0.00149501557099281</v>
      </c>
    </row>
    <row r="3033" customFormat="false" ht="12.75" hidden="false" customHeight="true" outlineLevel="0" collapsed="false">
      <c r="P3033" s="1" t="n">
        <v>3030</v>
      </c>
      <c r="Q3033" s="147" t="n">
        <v>68160.1406780462</v>
      </c>
      <c r="R3033" s="147" t="n">
        <v>0.260909416114747</v>
      </c>
      <c r="S3033" s="147" t="n">
        <v>0.0910612649969504</v>
      </c>
      <c r="T3033" s="147" t="n">
        <v>0.00187215412317181</v>
      </c>
    </row>
    <row r="3034" customFormat="false" ht="12.75" hidden="false" customHeight="true" outlineLevel="0" collapsed="false">
      <c r="P3034" s="1" t="n">
        <v>3031</v>
      </c>
      <c r="Q3034" s="147" t="n">
        <v>68182.2822883992</v>
      </c>
      <c r="R3034" s="147" t="n">
        <v>0.261391347489981</v>
      </c>
      <c r="S3034" s="147" t="n">
        <v>0.088245437965587</v>
      </c>
      <c r="T3034" s="147" t="n">
        <v>0.00238919174809369</v>
      </c>
    </row>
    <row r="3035" customFormat="false" ht="12.75" hidden="false" customHeight="true" outlineLevel="0" collapsed="false">
      <c r="P3035" s="1" t="n">
        <v>3032</v>
      </c>
      <c r="Q3035" s="147" t="n">
        <v>68204.2786673042</v>
      </c>
      <c r="R3035" s="147" t="n">
        <v>0.261817962774722</v>
      </c>
      <c r="S3035" s="147" t="n">
        <v>0.0879419972236648</v>
      </c>
      <c r="T3035" s="147" t="n">
        <v>0.00342222485553934</v>
      </c>
    </row>
    <row r="3036" customFormat="false" ht="12.75" hidden="false" customHeight="true" outlineLevel="0" collapsed="false">
      <c r="P3036" s="1" t="n">
        <v>3033</v>
      </c>
      <c r="Q3036" s="147" t="n">
        <v>68226.8664243182</v>
      </c>
      <c r="R3036" s="147" t="n">
        <v>0.262184809631958</v>
      </c>
      <c r="S3036" s="147" t="n">
        <v>0.0884994437519835</v>
      </c>
      <c r="T3036" s="147" t="n">
        <v>0.00360305198216463</v>
      </c>
    </row>
    <row r="3037" customFormat="false" ht="12.75" hidden="false" customHeight="true" outlineLevel="0" collapsed="false">
      <c r="P3037" s="1" t="n">
        <v>3034</v>
      </c>
      <c r="Q3037" s="147" t="n">
        <v>68248.8228732472</v>
      </c>
      <c r="R3037" s="147" t="n">
        <v>0.262863910621988</v>
      </c>
      <c r="S3037" s="147" t="n">
        <v>0.0898117447444732</v>
      </c>
      <c r="T3037" s="147" t="n">
        <v>0.00480787946319968</v>
      </c>
    </row>
    <row r="3038" customFormat="false" ht="12.75" hidden="false" customHeight="true" outlineLevel="0" collapsed="false">
      <c r="P3038" s="1" t="n">
        <v>3035</v>
      </c>
      <c r="Q3038" s="147" t="n">
        <v>68271.1833397472</v>
      </c>
      <c r="R3038" s="147" t="n">
        <v>0.263191044168525</v>
      </c>
      <c r="S3038" s="147" t="n">
        <v>0.0927522042935924</v>
      </c>
      <c r="T3038" s="147" t="n">
        <v>0.00523343301289526</v>
      </c>
    </row>
    <row r="3039" customFormat="false" ht="12.75" hidden="false" customHeight="true" outlineLevel="0" collapsed="false">
      <c r="P3039" s="1" t="n">
        <v>3036</v>
      </c>
      <c r="Q3039" s="147" t="n">
        <v>68293.0329411212</v>
      </c>
      <c r="R3039" s="147" t="n">
        <v>0.264141107389654</v>
      </c>
      <c r="S3039" s="147" t="n">
        <v>0.0944018246682746</v>
      </c>
      <c r="T3039" s="147" t="n">
        <v>0.00665200635886447</v>
      </c>
    </row>
    <row r="3040" customFormat="false" ht="12.75" hidden="false" customHeight="true" outlineLevel="0" collapsed="false">
      <c r="P3040" s="1" t="n">
        <v>3037</v>
      </c>
      <c r="Q3040" s="147" t="n">
        <v>68315.1744313152</v>
      </c>
      <c r="R3040" s="147" t="n">
        <v>0.264291053787025</v>
      </c>
      <c r="S3040" s="147" t="n">
        <v>0.0968047903467141</v>
      </c>
      <c r="T3040" s="147" t="n">
        <v>0.00748549220428024</v>
      </c>
    </row>
    <row r="3041" customFormat="false" ht="12.75" hidden="false" customHeight="true" outlineLevel="0" collapsed="false">
      <c r="P3041" s="1" t="n">
        <v>3038</v>
      </c>
      <c r="Q3041" s="147" t="n">
        <v>68337.3583923852</v>
      </c>
      <c r="R3041" s="147" t="n">
        <v>0.264826139666589</v>
      </c>
      <c r="S3041" s="147" t="n">
        <v>0.0975084008606121</v>
      </c>
      <c r="T3041" s="147" t="n">
        <v>0.00871124402910409</v>
      </c>
    </row>
    <row r="3042" customFormat="false" ht="12.75" hidden="false" customHeight="true" outlineLevel="0" collapsed="false">
      <c r="P3042" s="1" t="n">
        <v>3039</v>
      </c>
      <c r="Q3042" s="147" t="n">
        <v>68359.6729726832</v>
      </c>
      <c r="R3042" s="147" t="n">
        <v>0.265221885960101</v>
      </c>
      <c r="S3042" s="147" t="n">
        <v>0.0974171502660221</v>
      </c>
      <c r="T3042" s="147" t="n">
        <v>0.00982336642192319</v>
      </c>
    </row>
    <row r="3043" customFormat="false" ht="12.75" hidden="false" customHeight="true" outlineLevel="0" collapsed="false">
      <c r="P3043" s="1" t="n">
        <v>3040</v>
      </c>
      <c r="Q3043" s="147" t="n">
        <v>68382.4594111662</v>
      </c>
      <c r="R3043" s="147" t="n">
        <v>0.265189768185165</v>
      </c>
      <c r="S3043" s="147" t="n">
        <v>0.0949430335721138</v>
      </c>
      <c r="T3043" s="147" t="n">
        <v>0.0112643172766948</v>
      </c>
    </row>
    <row r="3044" customFormat="false" ht="12.75" hidden="false" customHeight="true" outlineLevel="0" collapsed="false">
      <c r="P3044" s="1" t="n">
        <v>3041</v>
      </c>
      <c r="Q3044" s="147" t="n">
        <v>68404.8571803142</v>
      </c>
      <c r="R3044" s="147" t="n">
        <v>0.265705319047225</v>
      </c>
      <c r="S3044" s="147" t="n">
        <v>0.092761955203975</v>
      </c>
      <c r="T3044" s="147" t="n">
        <v>0.0117708716985384</v>
      </c>
    </row>
    <row r="3045" customFormat="false" ht="12.75" hidden="false" customHeight="true" outlineLevel="0" collapsed="false">
      <c r="P3045" s="1" t="n">
        <v>3042</v>
      </c>
      <c r="Q3045" s="147" t="n">
        <v>68427.8764080072</v>
      </c>
      <c r="R3045" s="147" t="n">
        <v>0.265390478125145</v>
      </c>
      <c r="S3045" s="147" t="n">
        <v>0.0858406617192373</v>
      </c>
      <c r="T3045" s="147" t="n">
        <v>0.0129548730852224</v>
      </c>
    </row>
    <row r="3046" customFormat="false" ht="12.75" hidden="false" customHeight="true" outlineLevel="0" collapsed="false">
      <c r="P3046" s="1" t="n">
        <v>3043</v>
      </c>
      <c r="Q3046" s="147" t="n">
        <v>68449.7907095662</v>
      </c>
      <c r="R3046" s="147" t="n">
        <v>0.265532271611403</v>
      </c>
      <c r="S3046" s="147" t="n">
        <v>0.0838255659369963</v>
      </c>
      <c r="T3046" s="147" t="n">
        <v>0.0128857615199495</v>
      </c>
    </row>
    <row r="3047" customFormat="false" ht="12.75" hidden="false" customHeight="true" outlineLevel="0" collapsed="false">
      <c r="P3047" s="1" t="n">
        <v>3044</v>
      </c>
      <c r="Q3047" s="147" t="n">
        <v>68471.9884821702</v>
      </c>
      <c r="R3047" s="147" t="n">
        <v>0.265553873252294</v>
      </c>
      <c r="S3047" s="147" t="n">
        <v>0.0800817060256248</v>
      </c>
      <c r="T3047" s="147" t="n">
        <v>0.013011668210074</v>
      </c>
    </row>
    <row r="3048" customFormat="false" ht="12.75" hidden="false" customHeight="true" outlineLevel="0" collapsed="false">
      <c r="P3048" s="1" t="n">
        <v>3045</v>
      </c>
      <c r="Q3048" s="147" t="n">
        <v>68494.3555903432</v>
      </c>
      <c r="R3048" s="147" t="n">
        <v>0.266092597579525</v>
      </c>
      <c r="S3048" s="147" t="n">
        <v>0.0775798789840124</v>
      </c>
      <c r="T3048" s="147" t="n">
        <v>0.0128831814553308</v>
      </c>
    </row>
    <row r="3049" customFormat="false" ht="12.75" hidden="false" customHeight="true" outlineLevel="0" collapsed="false">
      <c r="P3049" s="1" t="n">
        <v>3046</v>
      </c>
      <c r="Q3049" s="147" t="n">
        <v>68516.8163701942</v>
      </c>
      <c r="R3049" s="147" t="n">
        <v>0.266970595074852</v>
      </c>
      <c r="S3049" s="147" t="n">
        <v>0.0778688840641474</v>
      </c>
      <c r="T3049" s="147" t="n">
        <v>0.0118124416927098</v>
      </c>
    </row>
    <row r="3050" customFormat="false" ht="12.75" hidden="false" customHeight="true" outlineLevel="0" collapsed="false">
      <c r="P3050" s="1" t="n">
        <v>3047</v>
      </c>
      <c r="Q3050" s="147" t="n">
        <v>68539.6771039642</v>
      </c>
      <c r="R3050" s="147" t="n">
        <v>0.267609378738887</v>
      </c>
      <c r="S3050" s="147" t="n">
        <v>0.0807370507732798</v>
      </c>
      <c r="T3050" s="147" t="n">
        <v>0.0104778936232879</v>
      </c>
    </row>
    <row r="3051" customFormat="false" ht="12.75" hidden="false" customHeight="true" outlineLevel="0" collapsed="false">
      <c r="P3051" s="1" t="n">
        <v>3048</v>
      </c>
      <c r="Q3051" s="147" t="n">
        <v>68562.1651925731</v>
      </c>
      <c r="R3051" s="147" t="n">
        <v>0.268471007375856</v>
      </c>
      <c r="S3051" s="147" t="n">
        <v>0.0824325062294487</v>
      </c>
      <c r="T3051" s="147" t="n">
        <v>0.0104284380886243</v>
      </c>
    </row>
    <row r="3052" customFormat="false" ht="12.75" hidden="false" customHeight="true" outlineLevel="0" collapsed="false">
      <c r="P3052" s="1" t="n">
        <v>3049</v>
      </c>
      <c r="Q3052" s="147" t="n">
        <v>68584.7922766461</v>
      </c>
      <c r="R3052" s="147" t="n">
        <v>0.269323782816613</v>
      </c>
      <c r="S3052" s="147" t="n">
        <v>0.0846286152902021</v>
      </c>
      <c r="T3052" s="147" t="n">
        <v>0.00990384121609707</v>
      </c>
    </row>
    <row r="3053" customFormat="false" ht="12.75" hidden="false" customHeight="true" outlineLevel="0" collapsed="false">
      <c r="P3053" s="1" t="n">
        <v>3050</v>
      </c>
      <c r="Q3053" s="147" t="n">
        <v>68606.8106459321</v>
      </c>
      <c r="R3053" s="147" t="n">
        <v>0.269623238504126</v>
      </c>
      <c r="S3053" s="147" t="n">
        <v>0.0848559441723817</v>
      </c>
      <c r="T3053" s="147" t="n">
        <v>0.010400813534309</v>
      </c>
    </row>
    <row r="3054" customFormat="false" ht="12.75" hidden="false" customHeight="true" outlineLevel="0" collapsed="false">
      <c r="P3054" s="1" t="n">
        <v>3051</v>
      </c>
      <c r="Q3054" s="147" t="n">
        <v>68629.3991927221</v>
      </c>
      <c r="R3054" s="147" t="n">
        <v>0.270576104259491</v>
      </c>
      <c r="S3054" s="147" t="n">
        <v>0.0869073426304711</v>
      </c>
      <c r="T3054" s="147" t="n">
        <v>0.0102937435012398</v>
      </c>
    </row>
    <row r="3055" customFormat="false" ht="12.75" hidden="false" customHeight="true" outlineLevel="0" collapsed="false">
      <c r="P3055" s="1" t="n">
        <v>3052</v>
      </c>
      <c r="Q3055" s="147" t="n">
        <v>68651.2198728741</v>
      </c>
      <c r="R3055" s="147" t="n">
        <v>0.270399846056558</v>
      </c>
      <c r="S3055" s="147" t="n">
        <v>0.0875341079854802</v>
      </c>
      <c r="T3055" s="147" t="n">
        <v>0.0110623759486794</v>
      </c>
    </row>
    <row r="3056" customFormat="false" ht="12.75" hidden="false" customHeight="true" outlineLevel="0" collapsed="false">
      <c r="P3056" s="1" t="n">
        <v>3053</v>
      </c>
      <c r="Q3056" s="147" t="n">
        <v>68673.5493023511</v>
      </c>
      <c r="R3056" s="147" t="n">
        <v>0.270819022267262</v>
      </c>
      <c r="S3056" s="147" t="n">
        <v>0.0886050048501835</v>
      </c>
      <c r="T3056" s="147" t="n">
        <v>0.0119490846302321</v>
      </c>
    </row>
    <row r="3057" customFormat="false" ht="12.75" hidden="false" customHeight="true" outlineLevel="0" collapsed="false">
      <c r="P3057" s="1" t="n">
        <v>3054</v>
      </c>
      <c r="Q3057" s="147" t="n">
        <v>68695.8496839691</v>
      </c>
      <c r="R3057" s="147" t="n">
        <v>0.270563247456977</v>
      </c>
      <c r="S3057" s="147" t="n">
        <v>0.0891709192146164</v>
      </c>
      <c r="T3057" s="147" t="n">
        <v>0.0139014446721957</v>
      </c>
    </row>
    <row r="3058" customFormat="false" ht="12.75" hidden="false" customHeight="true" outlineLevel="0" collapsed="false">
      <c r="P3058" s="1" t="n">
        <v>3055</v>
      </c>
      <c r="Q3058" s="147" t="n">
        <v>68718.0932252561</v>
      </c>
      <c r="R3058" s="147" t="n">
        <v>0.270428329594158</v>
      </c>
      <c r="S3058" s="147" t="n">
        <v>0.0893119365333852</v>
      </c>
      <c r="T3058" s="147" t="n">
        <v>0.0150372621522721</v>
      </c>
    </row>
    <row r="3059" customFormat="false" ht="12.75" hidden="false" customHeight="true" outlineLevel="0" collapsed="false">
      <c r="P3059" s="1" t="n">
        <v>3056</v>
      </c>
      <c r="Q3059" s="147" t="n">
        <v>68740.8254740701</v>
      </c>
      <c r="R3059" s="147" t="n">
        <v>0.270055938209607</v>
      </c>
      <c r="S3059" s="147" t="n">
        <v>0.0884378010166321</v>
      </c>
      <c r="T3059" s="147" t="n">
        <v>0.0166444143390827</v>
      </c>
    </row>
    <row r="3060" customFormat="false" ht="12.75" hidden="false" customHeight="true" outlineLevel="0" collapsed="false">
      <c r="P3060" s="1" t="n">
        <v>3057</v>
      </c>
      <c r="Q3060" s="147" t="n">
        <v>68762.9604862201</v>
      </c>
      <c r="R3060" s="147" t="n">
        <v>0.269680286369129</v>
      </c>
      <c r="S3060" s="147" t="n">
        <v>0.0871809176742184</v>
      </c>
      <c r="T3060" s="147" t="n">
        <v>0.0176273028983345</v>
      </c>
    </row>
    <row r="3061" customFormat="false" ht="12.75" hidden="false" customHeight="true" outlineLevel="0" collapsed="false">
      <c r="P3061" s="1" t="n">
        <v>3058</v>
      </c>
      <c r="Q3061" s="147" t="n">
        <v>68785.5419112191</v>
      </c>
      <c r="R3061" s="147" t="n">
        <v>0.269163744650429</v>
      </c>
      <c r="S3061" s="147" t="n">
        <v>0.0833881524754443</v>
      </c>
      <c r="T3061" s="147" t="n">
        <v>0.0190978201405368</v>
      </c>
    </row>
    <row r="3062" customFormat="false" ht="12.75" hidden="false" customHeight="true" outlineLevel="0" collapsed="false">
      <c r="P3062" s="1" t="n">
        <v>3059</v>
      </c>
      <c r="Q3062" s="147" t="n">
        <v>68807.3267291982</v>
      </c>
      <c r="R3062" s="147" t="n">
        <v>0.26880061962816</v>
      </c>
      <c r="S3062" s="147" t="n">
        <v>0.0816338249586137</v>
      </c>
      <c r="T3062" s="147" t="n">
        <v>0.0196048170527365</v>
      </c>
    </row>
    <row r="3063" customFormat="false" ht="12.75" hidden="false" customHeight="true" outlineLevel="0" collapsed="false">
      <c r="P3063" s="1" t="n">
        <v>3060</v>
      </c>
      <c r="Q3063" s="147" t="n">
        <v>68829.8294022581</v>
      </c>
      <c r="R3063" s="147" t="n">
        <v>0.26825345249054</v>
      </c>
      <c r="S3063" s="147" t="n">
        <v>0.0745343169585169</v>
      </c>
      <c r="T3063" s="147" t="n">
        <v>0.0210576618613368</v>
      </c>
    </row>
    <row r="3064" customFormat="false" ht="12.75" hidden="false" customHeight="true" outlineLevel="0" collapsed="false">
      <c r="P3064" s="1" t="n">
        <v>3061</v>
      </c>
      <c r="Q3064" s="147" t="n">
        <v>68851.8005910661</v>
      </c>
      <c r="R3064" s="147" t="n">
        <v>0.268111280793795</v>
      </c>
      <c r="S3064" s="147" t="n">
        <v>0.0727398060117461</v>
      </c>
      <c r="T3064" s="147" t="n">
        <v>0.0203941742750793</v>
      </c>
    </row>
    <row r="3065" customFormat="false" ht="12.75" hidden="false" customHeight="true" outlineLevel="0" collapsed="false">
      <c r="P3065" s="1" t="n">
        <v>3062</v>
      </c>
      <c r="Q3065" s="147" t="n">
        <v>68873.6970677791</v>
      </c>
      <c r="R3065" s="147" t="n">
        <v>0.267948341369873</v>
      </c>
      <c r="S3065" s="147" t="n">
        <v>0.0705214789848417</v>
      </c>
      <c r="T3065" s="147" t="n">
        <v>0.0201070990265454</v>
      </c>
    </row>
    <row r="3066" customFormat="false" ht="12.75" hidden="false" customHeight="true" outlineLevel="0" collapsed="false">
      <c r="P3066" s="1" t="n">
        <v>3063</v>
      </c>
      <c r="Q3066" s="147" t="n">
        <v>68895.5819139101</v>
      </c>
      <c r="R3066" s="147" t="n">
        <v>0.268023115060364</v>
      </c>
      <c r="S3066" s="147" t="n">
        <v>0.0695852280360384</v>
      </c>
      <c r="T3066" s="147" t="n">
        <v>0.0195969310026739</v>
      </c>
    </row>
    <row r="3067" customFormat="false" ht="12.75" hidden="false" customHeight="true" outlineLevel="0" collapsed="false">
      <c r="P3067" s="1" t="n">
        <v>3064</v>
      </c>
      <c r="Q3067" s="147" t="n">
        <v>68917.4107548201</v>
      </c>
      <c r="R3067" s="147" t="n">
        <v>0.268156350061533</v>
      </c>
      <c r="S3067" s="147" t="n">
        <v>0.0698753405935549</v>
      </c>
      <c r="T3067" s="147" t="n">
        <v>0.0184392934930235</v>
      </c>
    </row>
    <row r="3068" customFormat="false" ht="12.75" hidden="false" customHeight="true" outlineLevel="0" collapsed="false">
      <c r="P3068" s="1" t="n">
        <v>3065</v>
      </c>
      <c r="Q3068" s="147" t="n">
        <v>68940.1055040961</v>
      </c>
      <c r="R3068" s="147" t="n">
        <v>0.268496738653085</v>
      </c>
      <c r="S3068" s="147" t="n">
        <v>0.071868020418637</v>
      </c>
      <c r="T3068" s="147" t="n">
        <v>0.0165392815094684</v>
      </c>
    </row>
    <row r="3069" customFormat="false" ht="12.75" hidden="false" customHeight="true" outlineLevel="0" collapsed="false">
      <c r="P3069" s="1" t="n">
        <v>3066</v>
      </c>
      <c r="Q3069" s="147" t="n">
        <v>68962.3881213741</v>
      </c>
      <c r="R3069" s="147" t="n">
        <v>0.268965249325392</v>
      </c>
      <c r="S3069" s="147" t="n">
        <v>0.0740748841822077</v>
      </c>
      <c r="T3069" s="147" t="n">
        <v>0.0152791025332962</v>
      </c>
    </row>
    <row r="3070" customFormat="false" ht="12.75" hidden="false" customHeight="true" outlineLevel="0" collapsed="false">
      <c r="P3070" s="1" t="n">
        <v>3067</v>
      </c>
      <c r="Q3070" s="147" t="n">
        <v>68984.6874603441</v>
      </c>
      <c r="R3070" s="147" t="n">
        <v>0.269338046538811</v>
      </c>
      <c r="S3070" s="147" t="n">
        <v>0.0770133838478427</v>
      </c>
      <c r="T3070" s="147" t="n">
        <v>0.0146910474832705</v>
      </c>
    </row>
    <row r="3071" customFormat="false" ht="12.75" hidden="false" customHeight="true" outlineLevel="0" collapsed="false">
      <c r="P3071" s="1" t="n">
        <v>3068</v>
      </c>
      <c r="Q3071" s="147" t="n">
        <v>69007.0000904691</v>
      </c>
      <c r="R3071" s="147" t="n">
        <v>0.269410762337673</v>
      </c>
      <c r="S3071" s="147" t="n">
        <v>0.0794066501563689</v>
      </c>
      <c r="T3071" s="147" t="n">
        <v>0.0140058565635174</v>
      </c>
    </row>
    <row r="3072" customFormat="false" ht="12.75" hidden="false" customHeight="true" outlineLevel="0" collapsed="false">
      <c r="P3072" s="1" t="n">
        <v>3069</v>
      </c>
      <c r="Q3072" s="147" t="n">
        <v>69028.5578088242</v>
      </c>
      <c r="R3072" s="147" t="n">
        <v>0.269431821863471</v>
      </c>
      <c r="S3072" s="147" t="n">
        <v>0.0797994182367216</v>
      </c>
      <c r="T3072" s="147" t="n">
        <v>0.0143426795245325</v>
      </c>
    </row>
    <row r="3073" customFormat="false" ht="12.75" hidden="false" customHeight="true" outlineLevel="0" collapsed="false">
      <c r="P3073" s="1" t="n">
        <v>3070</v>
      </c>
      <c r="Q3073" s="147" t="n">
        <v>69050.6387535052</v>
      </c>
      <c r="R3073" s="147" t="n">
        <v>0.269099297443433</v>
      </c>
      <c r="S3073" s="147" t="n">
        <v>0.0791798561077254</v>
      </c>
      <c r="T3073" s="147" t="n">
        <v>0.0147616530653442</v>
      </c>
    </row>
    <row r="3074" customFormat="false" ht="12.75" hidden="false" customHeight="true" outlineLevel="0" collapsed="false">
      <c r="P3074" s="1" t="n">
        <v>3071</v>
      </c>
      <c r="Q3074" s="147" t="n">
        <v>69072.6759710742</v>
      </c>
      <c r="R3074" s="147" t="n">
        <v>0.268665488194482</v>
      </c>
      <c r="S3074" s="147" t="n">
        <v>0.0787110017214834</v>
      </c>
      <c r="T3074" s="147" t="n">
        <v>0.0154713393223959</v>
      </c>
    </row>
    <row r="3075" customFormat="false" ht="12.75" hidden="false" customHeight="true" outlineLevel="0" collapsed="false">
      <c r="P3075" s="1" t="n">
        <v>3072</v>
      </c>
      <c r="Q3075" s="147" t="n">
        <v>69094.9044936432</v>
      </c>
      <c r="R3075" s="147" t="n">
        <v>0.26795304518792</v>
      </c>
      <c r="S3075" s="147" t="n">
        <v>0.075249074848451</v>
      </c>
      <c r="T3075" s="147" t="n">
        <v>0.016827773227896</v>
      </c>
    </row>
    <row r="3076" customFormat="false" ht="12.75" hidden="false" customHeight="true" outlineLevel="0" collapsed="false">
      <c r="P3076" s="1" t="n">
        <v>3073</v>
      </c>
      <c r="Q3076" s="147" t="n">
        <v>69117.3388967551</v>
      </c>
      <c r="R3076" s="147" t="n">
        <v>0.267172542562837</v>
      </c>
      <c r="S3076" s="147" t="n">
        <v>0.0730275463282728</v>
      </c>
      <c r="T3076" s="147" t="n">
        <v>0.0187017941067525</v>
      </c>
    </row>
    <row r="3077" customFormat="false" ht="12.75" hidden="false" customHeight="true" outlineLevel="0" collapsed="false">
      <c r="P3077" s="1" t="n">
        <v>3074</v>
      </c>
      <c r="Q3077" s="147" t="n">
        <v>69139.5685498442</v>
      </c>
      <c r="R3077" s="147" t="n">
        <v>0.266047921219434</v>
      </c>
      <c r="S3077" s="147" t="n">
        <v>0.0708796604617008</v>
      </c>
      <c r="T3077" s="147" t="n">
        <v>0.0197468599371299</v>
      </c>
    </row>
    <row r="3078" customFormat="false" ht="12.75" hidden="false" customHeight="true" outlineLevel="0" collapsed="false">
      <c r="P3078" s="1" t="n">
        <v>3075</v>
      </c>
      <c r="Q3078" s="147" t="n">
        <v>69161.9208779771</v>
      </c>
      <c r="R3078" s="147" t="n">
        <v>0.264799586404918</v>
      </c>
      <c r="S3078" s="147" t="n">
        <v>0.0689890957446931</v>
      </c>
      <c r="T3078" s="147" t="n">
        <v>0.0204268849009667</v>
      </c>
    </row>
    <row r="3079" customFormat="false" ht="12.75" hidden="false" customHeight="true" outlineLevel="0" collapsed="false">
      <c r="P3079" s="1" t="n">
        <v>3076</v>
      </c>
      <c r="Q3079" s="147" t="n">
        <v>69184.7395863341</v>
      </c>
      <c r="R3079" s="147" t="n">
        <v>0.263549334654425</v>
      </c>
      <c r="S3079" s="147" t="n">
        <v>0.0668990924802842</v>
      </c>
      <c r="T3079" s="147" t="n">
        <v>0.0204144560309709</v>
      </c>
    </row>
    <row r="3080" customFormat="false" ht="12.75" hidden="false" customHeight="true" outlineLevel="0" collapsed="false">
      <c r="P3080" s="1" t="n">
        <v>3077</v>
      </c>
      <c r="Q3080" s="147" t="n">
        <v>69207.5966573451</v>
      </c>
      <c r="R3080" s="147" t="n">
        <v>0.262651832553925</v>
      </c>
      <c r="S3080" s="147" t="n">
        <v>0.063830327514039</v>
      </c>
      <c r="T3080" s="147" t="n">
        <v>0.0198205760637444</v>
      </c>
    </row>
    <row r="3081" customFormat="false" ht="12.75" hidden="false" customHeight="true" outlineLevel="0" collapsed="false">
      <c r="P3081" s="1" t="n">
        <v>3078</v>
      </c>
      <c r="Q3081" s="147" t="n">
        <v>69229.9209849212</v>
      </c>
      <c r="R3081" s="147" t="n">
        <v>0.261997376949915</v>
      </c>
      <c r="S3081" s="147" t="n">
        <v>0.0600100810323819</v>
      </c>
      <c r="T3081" s="147" t="n">
        <v>0.0186061103664027</v>
      </c>
    </row>
    <row r="3082" customFormat="false" ht="12.75" hidden="false" customHeight="true" outlineLevel="0" collapsed="false">
      <c r="P3082" s="1" t="n">
        <v>3079</v>
      </c>
      <c r="Q3082" s="147" t="n">
        <v>69251.9729421041</v>
      </c>
      <c r="R3082" s="147" t="n">
        <v>0.261740030208233</v>
      </c>
      <c r="S3082" s="147" t="n">
        <v>0.0571010882364627</v>
      </c>
      <c r="T3082" s="147" t="n">
        <v>0.0168422675220491</v>
      </c>
    </row>
    <row r="3083" customFormat="false" ht="12.75" hidden="false" customHeight="true" outlineLevel="0" collapsed="false">
      <c r="P3083" s="1" t="n">
        <v>3080</v>
      </c>
      <c r="Q3083" s="147" t="n">
        <v>69274.4380292381</v>
      </c>
      <c r="R3083" s="147" t="n">
        <v>0.2622069502537</v>
      </c>
      <c r="S3083" s="147" t="n">
        <v>0.0527325317823357</v>
      </c>
      <c r="T3083" s="147" t="n">
        <v>0.0153521131326115</v>
      </c>
    </row>
    <row r="3084" customFormat="false" ht="12.75" hidden="false" customHeight="true" outlineLevel="0" collapsed="false">
      <c r="P3084" s="1" t="n">
        <v>3081</v>
      </c>
      <c r="Q3084" s="147" t="n">
        <v>69296.3803745961</v>
      </c>
      <c r="R3084" s="147" t="n">
        <v>0.262419670501336</v>
      </c>
      <c r="S3084" s="147" t="n">
        <v>0.0516835178118278</v>
      </c>
      <c r="T3084" s="147" t="n">
        <v>0.0138915517267985</v>
      </c>
    </row>
    <row r="3085" customFormat="false" ht="12.75" hidden="false" customHeight="true" outlineLevel="0" collapsed="false">
      <c r="P3085" s="1" t="n">
        <v>3082</v>
      </c>
      <c r="Q3085" s="147" t="n">
        <v>69318.7077099001</v>
      </c>
      <c r="R3085" s="147" t="n">
        <v>0.263355273349328</v>
      </c>
      <c r="S3085" s="147" t="n">
        <v>0.0519892665569</v>
      </c>
      <c r="T3085" s="147" t="n">
        <v>0.0129070958602475</v>
      </c>
    </row>
    <row r="3086" customFormat="false" ht="12.75" hidden="false" customHeight="true" outlineLevel="0" collapsed="false">
      <c r="P3086" s="1" t="n">
        <v>3083</v>
      </c>
      <c r="Q3086" s="147" t="n">
        <v>69341.0983232461</v>
      </c>
      <c r="R3086" s="147" t="n">
        <v>0.263939513106406</v>
      </c>
      <c r="S3086" s="147" t="n">
        <v>0.0563652993894819</v>
      </c>
      <c r="T3086" s="147" t="n">
        <v>0.0105219825599301</v>
      </c>
    </row>
    <row r="3087" customFormat="false" ht="12.75" hidden="false" customHeight="true" outlineLevel="0" collapsed="false">
      <c r="P3087" s="1" t="n">
        <v>3084</v>
      </c>
      <c r="Q3087" s="147" t="n">
        <v>69363.6094225341</v>
      </c>
      <c r="R3087" s="147" t="n">
        <v>0.264434527188603</v>
      </c>
      <c r="S3087" s="147" t="n">
        <v>0.0609582952486493</v>
      </c>
      <c r="T3087" s="147" t="n">
        <v>0.0103813551233013</v>
      </c>
    </row>
    <row r="3088" customFormat="false" ht="12.75" hidden="false" customHeight="true" outlineLevel="0" collapsed="false">
      <c r="P3088" s="1" t="n">
        <v>3085</v>
      </c>
      <c r="Q3088" s="147" t="n">
        <v>69385.6792601541</v>
      </c>
      <c r="R3088" s="147" t="n">
        <v>0.26460365064911</v>
      </c>
      <c r="S3088" s="147" t="n">
        <v>0.0659816596163409</v>
      </c>
      <c r="T3088" s="147" t="n">
        <v>0.0102298711883415</v>
      </c>
    </row>
    <row r="3089" customFormat="false" ht="12.75" hidden="false" customHeight="true" outlineLevel="0" collapsed="false">
      <c r="P3089" s="1" t="n">
        <v>3086</v>
      </c>
      <c r="Q3089" s="147" t="n">
        <v>69407.9634637531</v>
      </c>
      <c r="R3089" s="147" t="n">
        <v>0.264679311300558</v>
      </c>
      <c r="S3089" s="147" t="n">
        <v>0.0703937608910791</v>
      </c>
      <c r="T3089" s="147" t="n">
        <v>0.0101214668129481</v>
      </c>
    </row>
    <row r="3090" customFormat="false" ht="12.75" hidden="false" customHeight="true" outlineLevel="0" collapsed="false">
      <c r="P3090" s="1" t="n">
        <v>3087</v>
      </c>
      <c r="Q3090" s="147" t="n">
        <v>69430.3418505201</v>
      </c>
      <c r="R3090" s="147" t="n">
        <v>0.264765247574103</v>
      </c>
      <c r="S3090" s="147" t="n">
        <v>0.0738571922732155</v>
      </c>
      <c r="T3090" s="147" t="n">
        <v>0.0100026172677614</v>
      </c>
    </row>
    <row r="3091" customFormat="false" ht="12.75" hidden="false" customHeight="true" outlineLevel="0" collapsed="false">
      <c r="P3091" s="1" t="n">
        <v>3088</v>
      </c>
      <c r="Q3091" s="147" t="n">
        <v>69452.8004289501</v>
      </c>
      <c r="R3091" s="147" t="n">
        <v>0.264883653371463</v>
      </c>
      <c r="S3091" s="147" t="n">
        <v>0.0766624485418878</v>
      </c>
      <c r="T3091" s="147" t="n">
        <v>0.0102410089308446</v>
      </c>
    </row>
    <row r="3092" customFormat="false" ht="12.75" hidden="false" customHeight="true" outlineLevel="0" collapsed="false">
      <c r="P3092" s="1" t="n">
        <v>3089</v>
      </c>
      <c r="Q3092" s="147" t="n">
        <v>69475.1314905992</v>
      </c>
      <c r="R3092" s="147" t="n">
        <v>0.26523103949299</v>
      </c>
      <c r="S3092" s="147" t="n">
        <v>0.0791720491135889</v>
      </c>
      <c r="T3092" s="147" t="n">
        <v>0.00992833503841023</v>
      </c>
    </row>
    <row r="3093" customFormat="false" ht="12.75" hidden="false" customHeight="true" outlineLevel="0" collapsed="false">
      <c r="P3093" s="1" t="n">
        <v>3090</v>
      </c>
      <c r="Q3093" s="147" t="n">
        <v>69497.4556279262</v>
      </c>
      <c r="R3093" s="147" t="n">
        <v>0.265465248569745</v>
      </c>
      <c r="S3093" s="147" t="n">
        <v>0.0814237601842814</v>
      </c>
      <c r="T3093" s="147" t="n">
        <v>0.0097083542918902</v>
      </c>
    </row>
    <row r="3094" customFormat="false" ht="12.75" hidden="false" customHeight="true" outlineLevel="0" collapsed="false">
      <c r="P3094" s="1" t="n">
        <v>3091</v>
      </c>
      <c r="Q3094" s="147" t="n">
        <v>69519.4557006802</v>
      </c>
      <c r="R3094" s="147" t="n">
        <v>0.265519075468384</v>
      </c>
      <c r="S3094" s="147" t="n">
        <v>0.0835987326332255</v>
      </c>
      <c r="T3094" s="147" t="n">
        <v>0.00990229736650944</v>
      </c>
    </row>
    <row r="3095" customFormat="false" ht="12.75" hidden="false" customHeight="true" outlineLevel="0" collapsed="false">
      <c r="P3095" s="1" t="n">
        <v>3092</v>
      </c>
      <c r="Q3095" s="147" t="n">
        <v>69541.9635300392</v>
      </c>
      <c r="R3095" s="147" t="n">
        <v>0.265438012151319</v>
      </c>
      <c r="S3095" s="147" t="n">
        <v>0.0849299401345032</v>
      </c>
      <c r="T3095" s="147" t="n">
        <v>0.0100095347008786</v>
      </c>
    </row>
    <row r="3096" customFormat="false" ht="12.75" hidden="false" customHeight="true" outlineLevel="0" collapsed="false">
      <c r="P3096" s="1" t="n">
        <v>3093</v>
      </c>
      <c r="Q3096" s="147" t="n">
        <v>69564.4284129142</v>
      </c>
      <c r="R3096" s="147" t="n">
        <v>0.26514665887906</v>
      </c>
      <c r="S3096" s="147" t="n">
        <v>0.0848274069835061</v>
      </c>
      <c r="T3096" s="147" t="n">
        <v>0.0102994416227261</v>
      </c>
    </row>
    <row r="3097" customFormat="false" ht="12.75" hidden="false" customHeight="true" outlineLevel="0" collapsed="false">
      <c r="P3097" s="1" t="n">
        <v>3094</v>
      </c>
      <c r="Q3097" s="147" t="n">
        <v>69586.6087217562</v>
      </c>
      <c r="R3097" s="147" t="n">
        <v>0.264791402261954</v>
      </c>
      <c r="S3097" s="147" t="n">
        <v>0.0841266507595173</v>
      </c>
      <c r="T3097" s="147" t="n">
        <v>0.0102487001755799</v>
      </c>
    </row>
    <row r="3098" customFormat="false" ht="12.75" hidden="false" customHeight="true" outlineLevel="0" collapsed="false">
      <c r="P3098" s="1" t="n">
        <v>3095</v>
      </c>
      <c r="Q3098" s="147" t="n">
        <v>69609.0225381782</v>
      </c>
      <c r="R3098" s="147" t="n">
        <v>0.264414863448679</v>
      </c>
      <c r="S3098" s="147" t="n">
        <v>0.0819282476331706</v>
      </c>
      <c r="T3098" s="147" t="n">
        <v>0.0109670316708342</v>
      </c>
    </row>
    <row r="3099" customFormat="false" ht="12.75" hidden="false" customHeight="true" outlineLevel="0" collapsed="false">
      <c r="P3099" s="1" t="n">
        <v>3096</v>
      </c>
      <c r="Q3099" s="147" t="n">
        <v>69631.3665436452</v>
      </c>
      <c r="R3099" s="147" t="n">
        <v>0.263834929422216</v>
      </c>
      <c r="S3099" s="147" t="n">
        <v>0.0800990204437898</v>
      </c>
      <c r="T3099" s="147" t="n">
        <v>0.0113353218575293</v>
      </c>
    </row>
    <row r="3100" customFormat="false" ht="12.75" hidden="false" customHeight="true" outlineLevel="0" collapsed="false">
      <c r="P3100" s="1" t="n">
        <v>3097</v>
      </c>
      <c r="Q3100" s="147" t="n">
        <v>69653.5108243332</v>
      </c>
      <c r="R3100" s="147" t="n">
        <v>0.26326784662659</v>
      </c>
      <c r="S3100" s="147" t="n">
        <v>0.0781122331599444</v>
      </c>
      <c r="T3100" s="147" t="n">
        <v>0.0121510487768037</v>
      </c>
    </row>
    <row r="3101" customFormat="false" ht="12.75" hidden="false" customHeight="true" outlineLevel="0" collapsed="false">
      <c r="P3101" s="1" t="n">
        <v>3098</v>
      </c>
      <c r="Q3101" s="147" t="n">
        <v>69675.5066083552</v>
      </c>
      <c r="R3101" s="147" t="n">
        <v>0.262310756491668</v>
      </c>
      <c r="S3101" s="147" t="n">
        <v>0.0768238215944233</v>
      </c>
      <c r="T3101" s="147" t="n">
        <v>0.0127299554726558</v>
      </c>
    </row>
    <row r="3102" customFormat="false" ht="12.75" hidden="false" customHeight="true" outlineLevel="0" collapsed="false">
      <c r="P3102" s="1" t="n">
        <v>3099</v>
      </c>
      <c r="Q3102" s="147" t="n">
        <v>69697.5376427632</v>
      </c>
      <c r="R3102" s="147" t="n">
        <v>0.261728230620835</v>
      </c>
      <c r="S3102" s="147" t="n">
        <v>0.0769253751733032</v>
      </c>
      <c r="T3102" s="147" t="n">
        <v>0.0131343980543463</v>
      </c>
    </row>
    <row r="3103" customFormat="false" ht="12.75" hidden="false" customHeight="true" outlineLevel="0" collapsed="false">
      <c r="P3103" s="1" t="n">
        <v>3100</v>
      </c>
      <c r="Q3103" s="147" t="n">
        <v>69719.7232956732</v>
      </c>
      <c r="R3103" s="147" t="n">
        <v>0.261349043524376</v>
      </c>
      <c r="S3103" s="147" t="n">
        <v>0.0785414609087521</v>
      </c>
      <c r="T3103" s="147" t="n">
        <v>0.0128922720576596</v>
      </c>
    </row>
    <row r="3104" customFormat="false" ht="12.75" hidden="false" customHeight="true" outlineLevel="0" collapsed="false">
      <c r="P3104" s="1" t="n">
        <v>3101</v>
      </c>
      <c r="Q3104" s="147" t="n">
        <v>69742.3678394982</v>
      </c>
      <c r="R3104" s="147" t="n">
        <v>0.261321054043597</v>
      </c>
      <c r="S3104" s="147" t="n">
        <v>0.0829801144643744</v>
      </c>
      <c r="T3104" s="147" t="n">
        <v>0.0121080351549789</v>
      </c>
    </row>
    <row r="3105" customFormat="false" ht="12.75" hidden="false" customHeight="true" outlineLevel="0" collapsed="false">
      <c r="P3105" s="1" t="n">
        <v>3102</v>
      </c>
      <c r="Q3105" s="147" t="n">
        <v>69765.0762294332</v>
      </c>
      <c r="R3105" s="147" t="n">
        <v>0.261567667302812</v>
      </c>
      <c r="S3105" s="147" t="n">
        <v>0.0898550655304434</v>
      </c>
      <c r="T3105" s="147" t="n">
        <v>0.0116573331718285</v>
      </c>
    </row>
    <row r="3106" customFormat="false" ht="12.75" hidden="false" customHeight="true" outlineLevel="0" collapsed="false">
      <c r="P3106" s="1" t="n">
        <v>3103</v>
      </c>
      <c r="Q3106" s="147" t="n">
        <v>69787.7694052702</v>
      </c>
      <c r="R3106" s="147" t="n">
        <v>0.261578853649356</v>
      </c>
      <c r="S3106" s="147" t="n">
        <v>0.0976127756913983</v>
      </c>
      <c r="T3106" s="147" t="n">
        <v>0.0111982997491141</v>
      </c>
    </row>
    <row r="3107" customFormat="false" ht="12.75" hidden="false" customHeight="true" outlineLevel="0" collapsed="false">
      <c r="P3107" s="1" t="n">
        <v>3104</v>
      </c>
      <c r="Q3107" s="147" t="n">
        <v>69810.5009036912</v>
      </c>
      <c r="R3107" s="147" t="n">
        <v>0.261334248677168</v>
      </c>
      <c r="S3107" s="147" t="n">
        <v>0.10391667643815</v>
      </c>
      <c r="T3107" s="147" t="n">
        <v>0.0104970958659811</v>
      </c>
    </row>
    <row r="3108" customFormat="false" ht="12.75" hidden="false" customHeight="true" outlineLevel="0" collapsed="false">
      <c r="P3108" s="1" t="n">
        <v>3105</v>
      </c>
      <c r="Q3108" s="147" t="n">
        <v>69833.5031455832</v>
      </c>
      <c r="R3108" s="147" t="n">
        <v>0.260958127070701</v>
      </c>
      <c r="S3108" s="147" t="n">
        <v>0.107499906632129</v>
      </c>
      <c r="T3108" s="147" t="n">
        <v>0.0100528634081569</v>
      </c>
    </row>
    <row r="3109" customFormat="false" ht="12.75" hidden="false" customHeight="true" outlineLevel="0" collapsed="false">
      <c r="P3109" s="1" t="n">
        <v>3106</v>
      </c>
      <c r="Q3109" s="147" t="n">
        <v>69856.0188930412</v>
      </c>
      <c r="R3109" s="147" t="n">
        <v>0.26035988756147</v>
      </c>
      <c r="S3109" s="147" t="n">
        <v>0.108105801560842</v>
      </c>
      <c r="T3109" s="147" t="n">
        <v>0.00998603359489512</v>
      </c>
    </row>
    <row r="3110" customFormat="false" ht="12.75" hidden="false" customHeight="true" outlineLevel="0" collapsed="false">
      <c r="P3110" s="1" t="n">
        <v>3107</v>
      </c>
      <c r="Q3110" s="147" t="n">
        <v>69878.2404204652</v>
      </c>
      <c r="R3110" s="147" t="n">
        <v>0.259884688523728</v>
      </c>
      <c r="S3110" s="147" t="n">
        <v>0.106953480158625</v>
      </c>
      <c r="T3110" s="147" t="n">
        <v>0.00980863914315768</v>
      </c>
    </row>
    <row r="3111" customFormat="false" ht="12.75" hidden="false" customHeight="true" outlineLevel="0" collapsed="false">
      <c r="P3111" s="1" t="n">
        <v>3108</v>
      </c>
      <c r="Q3111" s="147" t="n">
        <v>69900.7127376702</v>
      </c>
      <c r="R3111" s="147" t="n">
        <v>0.259632634431747</v>
      </c>
      <c r="S3111" s="147" t="n">
        <v>0.103231148900169</v>
      </c>
      <c r="T3111" s="147" t="n">
        <v>0.00961863625146935</v>
      </c>
    </row>
    <row r="3112" customFormat="false" ht="12.75" hidden="false" customHeight="true" outlineLevel="0" collapsed="false">
      <c r="P3112" s="1" t="n">
        <v>3109</v>
      </c>
      <c r="Q3112" s="147" t="n">
        <v>69923.6507529822</v>
      </c>
      <c r="R3112" s="147" t="n">
        <v>0.260327460504867</v>
      </c>
      <c r="S3112" s="147" t="n">
        <v>0.0945584972621566</v>
      </c>
      <c r="T3112" s="147" t="n">
        <v>0.0107966824319705</v>
      </c>
    </row>
    <row r="3113" customFormat="false" ht="12.75" hidden="false" customHeight="true" outlineLevel="0" collapsed="false">
      <c r="P3113" s="1" t="n">
        <v>3110</v>
      </c>
      <c r="Q3113" s="147" t="n">
        <v>69946.4741334182</v>
      </c>
      <c r="R3113" s="147" t="n">
        <v>0.260495215878594</v>
      </c>
      <c r="S3113" s="147" t="n">
        <v>0.0912664089149603</v>
      </c>
      <c r="T3113" s="147" t="n">
        <v>0.0109070106516772</v>
      </c>
    </row>
    <row r="3114" customFormat="false" ht="12.75" hidden="false" customHeight="true" outlineLevel="0" collapsed="false">
      <c r="P3114" s="1" t="n">
        <v>3111</v>
      </c>
      <c r="Q3114" s="147" t="n">
        <v>69968.8409311702</v>
      </c>
      <c r="R3114" s="147" t="n">
        <v>0.261186051281462</v>
      </c>
      <c r="S3114" s="147" t="n">
        <v>0.0892795156895794</v>
      </c>
      <c r="T3114" s="147" t="n">
        <v>0.011776045377869</v>
      </c>
    </row>
    <row r="3115" customFormat="false" ht="12.75" hidden="false" customHeight="true" outlineLevel="0" collapsed="false">
      <c r="P3115" s="1" t="n">
        <v>3112</v>
      </c>
      <c r="Q3115" s="147" t="n">
        <v>69991.1922997762</v>
      </c>
      <c r="R3115" s="147" t="n">
        <v>0.262129256674328</v>
      </c>
      <c r="S3115" s="147" t="n">
        <v>0.0883595228901086</v>
      </c>
      <c r="T3115" s="147" t="n">
        <v>0.0125988808390112</v>
      </c>
    </row>
    <row r="3116" customFormat="false" ht="12.75" hidden="false" customHeight="true" outlineLevel="0" collapsed="false">
      <c r="P3116" s="1" t="n">
        <v>3113</v>
      </c>
      <c r="Q3116" s="147" t="n">
        <v>70013.9392440752</v>
      </c>
      <c r="R3116" s="147" t="n">
        <v>0.263196846754639</v>
      </c>
      <c r="S3116" s="147" t="n">
        <v>0.0876348867082662</v>
      </c>
      <c r="T3116" s="147" t="n">
        <v>0.0134813394871568</v>
      </c>
    </row>
    <row r="3117" customFormat="false" ht="12.75" hidden="false" customHeight="true" outlineLevel="0" collapsed="false">
      <c r="P3117" s="1" t="n">
        <v>3114</v>
      </c>
      <c r="Q3117" s="147" t="n">
        <v>70036.5991987972</v>
      </c>
      <c r="R3117" s="147" t="n">
        <v>0.264268770347527</v>
      </c>
      <c r="S3117" s="147" t="n">
        <v>0.0867722537701029</v>
      </c>
      <c r="T3117" s="147" t="n">
        <v>0.0147195335953997</v>
      </c>
    </row>
    <row r="3118" customFormat="false" ht="12.75" hidden="false" customHeight="true" outlineLevel="0" collapsed="false">
      <c r="P3118" s="1" t="n">
        <v>3115</v>
      </c>
      <c r="Q3118" s="147" t="n">
        <v>70059.2338973322</v>
      </c>
      <c r="R3118" s="147" t="n">
        <v>0.265360565339264</v>
      </c>
      <c r="S3118" s="147" t="n">
        <v>0.0857026706057109</v>
      </c>
      <c r="T3118" s="147" t="n">
        <v>0.0162272810480893</v>
      </c>
    </row>
    <row r="3119" customFormat="false" ht="12.75" hidden="false" customHeight="true" outlineLevel="0" collapsed="false">
      <c r="P3119" s="1" t="n">
        <v>3116</v>
      </c>
      <c r="Q3119" s="147" t="n">
        <v>70081.6965003962</v>
      </c>
      <c r="R3119" s="147" t="n">
        <v>0.266304957382474</v>
      </c>
      <c r="S3119" s="147" t="n">
        <v>0.0841659916997146</v>
      </c>
      <c r="T3119" s="147" t="n">
        <v>0.0175614431260335</v>
      </c>
    </row>
    <row r="3120" customFormat="false" ht="12.75" hidden="false" customHeight="true" outlineLevel="0" collapsed="false">
      <c r="P3120" s="1" t="n">
        <v>3117</v>
      </c>
      <c r="Q3120" s="147" t="n">
        <v>70104.4826829152</v>
      </c>
      <c r="R3120" s="147" t="n">
        <v>0.267130311343997</v>
      </c>
      <c r="S3120" s="147" t="n">
        <v>0.0819386053886305</v>
      </c>
      <c r="T3120" s="147" t="n">
        <v>0.0186720222569172</v>
      </c>
    </row>
    <row r="3121" customFormat="false" ht="12.75" hidden="false" customHeight="true" outlineLevel="0" collapsed="false">
      <c r="P3121" s="1" t="n">
        <v>3118</v>
      </c>
      <c r="Q3121" s="147" t="n">
        <v>70127.2485493072</v>
      </c>
      <c r="R3121" s="147" t="n">
        <v>0.267715013910489</v>
      </c>
      <c r="S3121" s="147" t="n">
        <v>0.0783441655995013</v>
      </c>
      <c r="T3121" s="147" t="n">
        <v>0.0189775015684509</v>
      </c>
    </row>
    <row r="3122" customFormat="false" ht="12.75" hidden="false" customHeight="true" outlineLevel="0" collapsed="false">
      <c r="P3122" s="1" t="n">
        <v>3119</v>
      </c>
      <c r="Q3122" s="147" t="n">
        <v>70149.6756890752</v>
      </c>
      <c r="R3122" s="147" t="n">
        <v>0.268210186039056</v>
      </c>
      <c r="S3122" s="147" t="n">
        <v>0.0743368231145676</v>
      </c>
      <c r="T3122" s="147" t="n">
        <v>0.0185493958501337</v>
      </c>
    </row>
    <row r="3123" customFormat="false" ht="12.75" hidden="false" customHeight="true" outlineLevel="0" collapsed="false">
      <c r="P3123" s="1" t="n">
        <v>3120</v>
      </c>
      <c r="Q3123" s="147" t="n">
        <v>70172.3834162332</v>
      </c>
      <c r="R3123" s="147" t="n">
        <v>0.268854803907002</v>
      </c>
      <c r="S3123" s="147" t="n">
        <v>0.0699893828188078</v>
      </c>
      <c r="T3123" s="147" t="n">
        <v>0.018164391090305</v>
      </c>
    </row>
    <row r="3124" customFormat="false" ht="12.75" hidden="false" customHeight="true" outlineLevel="0" collapsed="false">
      <c r="P3124" s="1" t="n">
        <v>3121</v>
      </c>
      <c r="Q3124" s="147" t="n">
        <v>70194.9554201692</v>
      </c>
      <c r="R3124" s="147" t="n">
        <v>0.269305951990501</v>
      </c>
      <c r="S3124" s="147" t="n">
        <v>0.065549302330807</v>
      </c>
      <c r="T3124" s="147" t="n">
        <v>0.0172970912365118</v>
      </c>
    </row>
    <row r="3125" customFormat="false" ht="12.75" hidden="false" customHeight="true" outlineLevel="0" collapsed="false">
      <c r="P3125" s="1" t="n">
        <v>3122</v>
      </c>
      <c r="Q3125" s="147" t="n">
        <v>70217.2991462422</v>
      </c>
      <c r="R3125" s="147" t="n">
        <v>0.269751083993129</v>
      </c>
      <c r="S3125" s="147" t="n">
        <v>0.0622965022692628</v>
      </c>
      <c r="T3125" s="147" t="n">
        <v>0.0161311442849493</v>
      </c>
    </row>
    <row r="3126" customFormat="false" ht="12.75" hidden="false" customHeight="true" outlineLevel="0" collapsed="false">
      <c r="P3126" s="1" t="n">
        <v>3123</v>
      </c>
      <c r="Q3126" s="147" t="n">
        <v>70239.5581246192</v>
      </c>
      <c r="R3126" s="147" t="n">
        <v>0.269818582858688</v>
      </c>
      <c r="S3126" s="147" t="n">
        <v>0.0597521781931615</v>
      </c>
      <c r="T3126" s="147" t="n">
        <v>0.0149443508103208</v>
      </c>
    </row>
    <row r="3127" customFormat="false" ht="12.75" hidden="false" customHeight="true" outlineLevel="0" collapsed="false">
      <c r="P3127" s="1" t="n">
        <v>3124</v>
      </c>
      <c r="Q3127" s="147" t="n">
        <v>70261.8142637082</v>
      </c>
      <c r="R3127" s="147" t="n">
        <v>0.269666841244193</v>
      </c>
      <c r="S3127" s="147" t="n">
        <v>0.0585133636557532</v>
      </c>
      <c r="T3127" s="147" t="n">
        <v>0.0133855832777543</v>
      </c>
    </row>
    <row r="3128" customFormat="false" ht="12.75" hidden="false" customHeight="true" outlineLevel="0" collapsed="false">
      <c r="P3128" s="1" t="n">
        <v>3125</v>
      </c>
      <c r="Q3128" s="147" t="n">
        <v>70284.5812205632</v>
      </c>
      <c r="R3128" s="147" t="n">
        <v>0.269096285592229</v>
      </c>
      <c r="S3128" s="147" t="n">
        <v>0.0603212304488515</v>
      </c>
      <c r="T3128" s="147" t="n">
        <v>0.0121619692989327</v>
      </c>
    </row>
    <row r="3129" customFormat="false" ht="12.75" hidden="false" customHeight="true" outlineLevel="0" collapsed="false">
      <c r="P3129" s="1" t="n">
        <v>3126</v>
      </c>
      <c r="Q3129" s="147" t="n">
        <v>70307.4190885202</v>
      </c>
      <c r="R3129" s="147" t="n">
        <v>0.268155132567862</v>
      </c>
      <c r="S3129" s="147" t="n">
        <v>0.0650227819113904</v>
      </c>
      <c r="T3129" s="147" t="n">
        <v>0.0125273235501601</v>
      </c>
    </row>
    <row r="3130" customFormat="false" ht="12.75" hidden="false" customHeight="true" outlineLevel="0" collapsed="false">
      <c r="P3130" s="1" t="n">
        <v>3127</v>
      </c>
      <c r="Q3130" s="147" t="n">
        <v>70330.2715856382</v>
      </c>
      <c r="R3130" s="147" t="n">
        <v>0.267733453621268</v>
      </c>
      <c r="S3130" s="147" t="n">
        <v>0.0685827575477842</v>
      </c>
      <c r="T3130" s="147" t="n">
        <v>0.0125910002640411</v>
      </c>
    </row>
    <row r="3131" customFormat="false" ht="12.75" hidden="false" customHeight="true" outlineLevel="0" collapsed="false">
      <c r="P3131" s="1" t="n">
        <v>3128</v>
      </c>
      <c r="Q3131" s="147" t="n">
        <v>70353.0819949072</v>
      </c>
      <c r="R3131" s="147" t="n">
        <v>0.267302817051505</v>
      </c>
      <c r="S3131" s="147" t="n">
        <v>0.0710171556444987</v>
      </c>
      <c r="T3131" s="147" t="n">
        <v>0.0132534737920884</v>
      </c>
    </row>
    <row r="3132" customFormat="false" ht="12.75" hidden="false" customHeight="true" outlineLevel="0" collapsed="false">
      <c r="P3132" s="1" t="n">
        <v>3129</v>
      </c>
      <c r="Q3132" s="147" t="n">
        <v>70376.0519105982</v>
      </c>
      <c r="R3132" s="147" t="n">
        <v>0.267194110721857</v>
      </c>
      <c r="S3132" s="147" t="n">
        <v>0.0718607633526956</v>
      </c>
      <c r="T3132" s="147" t="n">
        <v>0.0138679767450615</v>
      </c>
    </row>
    <row r="3133" customFormat="false" ht="12.75" hidden="false" customHeight="true" outlineLevel="0" collapsed="false">
      <c r="P3133" s="1" t="n">
        <v>3130</v>
      </c>
      <c r="Q3133" s="147" t="n">
        <v>70398.9562982942</v>
      </c>
      <c r="R3133" s="147" t="n">
        <v>0.267173609914309</v>
      </c>
      <c r="S3133" s="147" t="n">
        <v>0.0706758907777267</v>
      </c>
      <c r="T3133" s="147" t="n">
        <v>0.0146827478772852</v>
      </c>
    </row>
    <row r="3134" customFormat="false" ht="12.75" hidden="false" customHeight="true" outlineLevel="0" collapsed="false">
      <c r="P3134" s="1" t="n">
        <v>3131</v>
      </c>
      <c r="Q3134" s="147" t="n">
        <v>70421.5037308702</v>
      </c>
      <c r="R3134" s="147" t="n">
        <v>0.267191545160123</v>
      </c>
      <c r="S3134" s="147" t="n">
        <v>0.0680649799570791</v>
      </c>
      <c r="T3134" s="147" t="n">
        <v>0.0157720342801996</v>
      </c>
    </row>
    <row r="3135" customFormat="false" ht="12.75" hidden="false" customHeight="true" outlineLevel="0" collapsed="false">
      <c r="P3135" s="1" t="n">
        <v>3132</v>
      </c>
      <c r="Q3135" s="147" t="n">
        <v>70444.1925670622</v>
      </c>
      <c r="R3135" s="147" t="n">
        <v>0.26710409974548</v>
      </c>
      <c r="S3135" s="147" t="n">
        <v>0.0654571555212582</v>
      </c>
      <c r="T3135" s="147" t="n">
        <v>0.0164905714525023</v>
      </c>
    </row>
    <row r="3136" customFormat="false" ht="12.75" hidden="false" customHeight="true" outlineLevel="0" collapsed="false">
      <c r="P3136" s="1" t="n">
        <v>3133</v>
      </c>
      <c r="Q3136" s="147" t="n">
        <v>70466.1669831842</v>
      </c>
      <c r="R3136" s="147" t="n">
        <v>0.266848302896686</v>
      </c>
      <c r="S3136" s="147" t="n">
        <v>0.0633905539346122</v>
      </c>
      <c r="T3136" s="147" t="n">
        <v>0.0170230883302565</v>
      </c>
    </row>
    <row r="3137" customFormat="false" ht="12.75" hidden="false" customHeight="true" outlineLevel="0" collapsed="false">
      <c r="P3137" s="1" t="n">
        <v>3134</v>
      </c>
      <c r="Q3137" s="147" t="n">
        <v>70488.6718576032</v>
      </c>
      <c r="R3137" s="147" t="n">
        <v>0.266254846775084</v>
      </c>
      <c r="S3137" s="147" t="n">
        <v>0.0613820203053574</v>
      </c>
      <c r="T3137" s="147" t="n">
        <v>0.0178386137025689</v>
      </c>
    </row>
    <row r="3138" customFormat="false" ht="12.75" hidden="false" customHeight="true" outlineLevel="0" collapsed="false">
      <c r="P3138" s="1" t="n">
        <v>3135</v>
      </c>
      <c r="Q3138" s="147" t="n">
        <v>70510.9556883192</v>
      </c>
      <c r="R3138" s="147" t="n">
        <v>0.265821662855967</v>
      </c>
      <c r="S3138" s="147" t="n">
        <v>0.0606220505318853</v>
      </c>
      <c r="T3138" s="147" t="n">
        <v>0.0178583676970369</v>
      </c>
    </row>
    <row r="3139" customFormat="false" ht="12.75" hidden="false" customHeight="true" outlineLevel="0" collapsed="false">
      <c r="P3139" s="1" t="n">
        <v>3136</v>
      </c>
      <c r="Q3139" s="147" t="n">
        <v>70533.9933852152</v>
      </c>
      <c r="R3139" s="147" t="n">
        <v>0.265849883415507</v>
      </c>
      <c r="S3139" s="147" t="n">
        <v>0.0638488012875215</v>
      </c>
      <c r="T3139" s="147" t="n">
        <v>0.0175557657538964</v>
      </c>
    </row>
    <row r="3140" customFormat="false" ht="12.75" hidden="false" customHeight="true" outlineLevel="0" collapsed="false">
      <c r="P3140" s="1" t="n">
        <v>3137</v>
      </c>
      <c r="Q3140" s="147" t="n">
        <v>70556.8641520092</v>
      </c>
      <c r="R3140" s="147" t="n">
        <v>0.265906237711823</v>
      </c>
      <c r="S3140" s="147" t="n">
        <v>0.0696514572998564</v>
      </c>
      <c r="T3140" s="147" t="n">
        <v>0.0177248323778371</v>
      </c>
    </row>
    <row r="3141" customFormat="false" ht="12.75" hidden="false" customHeight="true" outlineLevel="0" collapsed="false">
      <c r="P3141" s="1" t="n">
        <v>3138</v>
      </c>
      <c r="Q3141" s="147" t="n">
        <v>70579.5911785662</v>
      </c>
      <c r="R3141" s="147" t="n">
        <v>0.266294102169541</v>
      </c>
      <c r="S3141" s="147" t="n">
        <v>0.0751479142029455</v>
      </c>
      <c r="T3141" s="147" t="n">
        <v>0.0182657671877436</v>
      </c>
    </row>
    <row r="3142" customFormat="false" ht="12.75" hidden="false" customHeight="true" outlineLevel="0" collapsed="false">
      <c r="P3142" s="1" t="n">
        <v>3139</v>
      </c>
      <c r="Q3142" s="147" t="n">
        <v>70602.2877963572</v>
      </c>
      <c r="R3142" s="147" t="n">
        <v>0.266811572268053</v>
      </c>
      <c r="S3142" s="147" t="n">
        <v>0.0786440564556392</v>
      </c>
      <c r="T3142" s="147" t="n">
        <v>0.0188584249075808</v>
      </c>
    </row>
    <row r="3143" customFormat="false" ht="12.75" hidden="false" customHeight="true" outlineLevel="0" collapsed="false">
      <c r="P3143" s="1" t="n">
        <v>3140</v>
      </c>
      <c r="Q3143" s="147" t="n">
        <v>70624.8060885112</v>
      </c>
      <c r="R3143" s="147" t="n">
        <v>0.267473988643833</v>
      </c>
      <c r="S3143" s="147" t="n">
        <v>0.0800248386932778</v>
      </c>
      <c r="T3143" s="147" t="n">
        <v>0.0189655870553521</v>
      </c>
    </row>
    <row r="3144" customFormat="false" ht="12.75" hidden="false" customHeight="true" outlineLevel="0" collapsed="false">
      <c r="P3144" s="1" t="n">
        <v>3141</v>
      </c>
      <c r="Q3144" s="147" t="n">
        <v>70647.1942943742</v>
      </c>
      <c r="R3144" s="147" t="n">
        <v>0.268229350336652</v>
      </c>
      <c r="S3144" s="147" t="n">
        <v>0.0790716888102648</v>
      </c>
      <c r="T3144" s="147" t="n">
        <v>0.019379901842055</v>
      </c>
    </row>
    <row r="3145" customFormat="false" ht="12.75" hidden="false" customHeight="true" outlineLevel="0" collapsed="false">
      <c r="P3145" s="1" t="n">
        <v>3142</v>
      </c>
      <c r="Q3145" s="147" t="n">
        <v>70669.8970614392</v>
      </c>
      <c r="R3145" s="147" t="n">
        <v>0.269042270494822</v>
      </c>
      <c r="S3145" s="147" t="n">
        <v>0.0765664979062046</v>
      </c>
      <c r="T3145" s="147" t="n">
        <v>0.0193034497832854</v>
      </c>
    </row>
    <row r="3146" customFormat="false" ht="12.75" hidden="false" customHeight="true" outlineLevel="0" collapsed="false">
      <c r="P3146" s="1" t="n">
        <v>3143</v>
      </c>
      <c r="Q3146" s="147" t="n">
        <v>70692.0714024802</v>
      </c>
      <c r="R3146" s="147" t="n">
        <v>0.26978816705292</v>
      </c>
      <c r="S3146" s="147" t="n">
        <v>0.0730684996305816</v>
      </c>
      <c r="T3146" s="147" t="n">
        <v>0.0192958616079297</v>
      </c>
    </row>
    <row r="3147" customFormat="false" ht="12.75" hidden="false" customHeight="true" outlineLevel="0" collapsed="false">
      <c r="P3147" s="1" t="n">
        <v>3144</v>
      </c>
      <c r="Q3147" s="147" t="n">
        <v>70714.6577443682</v>
      </c>
      <c r="R3147" s="147" t="n">
        <v>0.270580806158954</v>
      </c>
      <c r="S3147" s="147" t="n">
        <v>0.0686481086621835</v>
      </c>
      <c r="T3147" s="147" t="n">
        <v>0.0189449322370007</v>
      </c>
    </row>
    <row r="3148" customFormat="false" ht="12.75" hidden="false" customHeight="true" outlineLevel="0" collapsed="false">
      <c r="P3148" s="1" t="n">
        <v>3145</v>
      </c>
      <c r="Q3148" s="147" t="n">
        <v>70737.1495199502</v>
      </c>
      <c r="R3148" s="147" t="n">
        <v>0.271532726713362</v>
      </c>
      <c r="S3148" s="147" t="n">
        <v>0.0624607796553039</v>
      </c>
      <c r="T3148" s="147" t="n">
        <v>0.0191157035505478</v>
      </c>
    </row>
    <row r="3149" customFormat="false" ht="12.75" hidden="false" customHeight="true" outlineLevel="0" collapsed="false">
      <c r="P3149" s="1" t="n">
        <v>3146</v>
      </c>
      <c r="Q3149" s="147" t="n">
        <v>70759.9499010902</v>
      </c>
      <c r="R3149" s="147" t="n">
        <v>0.272177609536894</v>
      </c>
      <c r="S3149" s="147" t="n">
        <v>0.05565164710799</v>
      </c>
      <c r="T3149" s="147" t="n">
        <v>0.0198569431125506</v>
      </c>
    </row>
    <row r="3150" customFormat="false" ht="12.75" hidden="false" customHeight="true" outlineLevel="0" collapsed="false">
      <c r="P3150" s="1" t="n">
        <v>3147</v>
      </c>
      <c r="Q3150" s="147" t="n">
        <v>70782.4812322312</v>
      </c>
      <c r="R3150" s="147" t="n">
        <v>0.272619337002269</v>
      </c>
      <c r="S3150" s="147" t="n">
        <v>0.0504829057091297</v>
      </c>
      <c r="T3150" s="147" t="n">
        <v>0.0202477345321336</v>
      </c>
    </row>
    <row r="3151" customFormat="false" ht="12.75" hidden="false" customHeight="true" outlineLevel="0" collapsed="false">
      <c r="P3151" s="1" t="n">
        <v>3148</v>
      </c>
      <c r="Q3151" s="147" t="n">
        <v>70805.0225107492</v>
      </c>
      <c r="R3151" s="147" t="n">
        <v>0.272998186597839</v>
      </c>
      <c r="S3151" s="147" t="n">
        <v>0.0471407745581038</v>
      </c>
      <c r="T3151" s="147" t="n">
        <v>0.0211211045004783</v>
      </c>
    </row>
    <row r="3152" customFormat="false" ht="12.75" hidden="false" customHeight="true" outlineLevel="0" collapsed="false">
      <c r="P3152" s="1" t="n">
        <v>3149</v>
      </c>
      <c r="Q3152" s="147" t="n">
        <v>70827.6867413412</v>
      </c>
      <c r="R3152" s="147" t="n">
        <v>0.272941397419994</v>
      </c>
      <c r="S3152" s="147" t="n">
        <v>0.045715099688928</v>
      </c>
      <c r="T3152" s="147" t="n">
        <v>0.0219906784493961</v>
      </c>
    </row>
    <row r="3153" customFormat="false" ht="12.75" hidden="false" customHeight="true" outlineLevel="0" collapsed="false">
      <c r="P3153" s="1" t="n">
        <v>3150</v>
      </c>
      <c r="Q3153" s="147" t="n">
        <v>70850.4339214362</v>
      </c>
      <c r="R3153" s="147" t="n">
        <v>0.272382161497737</v>
      </c>
      <c r="S3153" s="147" t="n">
        <v>0.0457504854678434</v>
      </c>
      <c r="T3153" s="147" t="n">
        <v>0.0226388327541145</v>
      </c>
    </row>
    <row r="3154" customFormat="false" ht="12.75" hidden="false" customHeight="true" outlineLevel="0" collapsed="false">
      <c r="P3154" s="1" t="n">
        <v>3151</v>
      </c>
      <c r="Q3154" s="147" t="n">
        <v>70873.0518364372</v>
      </c>
      <c r="R3154" s="147" t="n">
        <v>0.27163184864046</v>
      </c>
      <c r="S3154" s="147" t="n">
        <v>0.0473573964361414</v>
      </c>
      <c r="T3154" s="147" t="n">
        <v>0.0229644952321281</v>
      </c>
    </row>
    <row r="3155" customFormat="false" ht="12.75" hidden="false" customHeight="true" outlineLevel="0" collapsed="false">
      <c r="P3155" s="1" t="n">
        <v>3152</v>
      </c>
      <c r="Q3155" s="147" t="n">
        <v>70895.6132043972</v>
      </c>
      <c r="R3155" s="147" t="n">
        <v>0.270703472496439</v>
      </c>
      <c r="S3155" s="147" t="n">
        <v>0.0502302357190552</v>
      </c>
      <c r="T3155" s="147" t="n">
        <v>0.0227733843315019</v>
      </c>
    </row>
    <row r="3156" customFormat="false" ht="12.75" hidden="false" customHeight="true" outlineLevel="0" collapsed="false">
      <c r="P3156" s="1" t="n">
        <v>3153</v>
      </c>
      <c r="Q3156" s="147" t="n">
        <v>70918.1833432412</v>
      </c>
      <c r="R3156" s="147" t="n">
        <v>0.270084181422891</v>
      </c>
      <c r="S3156" s="147" t="n">
        <v>0.0540048447229444</v>
      </c>
      <c r="T3156" s="147" t="n">
        <v>0.0222391398930265</v>
      </c>
    </row>
    <row r="3157" customFormat="false" ht="12.75" hidden="false" customHeight="true" outlineLevel="0" collapsed="false">
      <c r="P3157" s="1" t="n">
        <v>3154</v>
      </c>
      <c r="Q3157" s="147" t="n">
        <v>70940.6931781402</v>
      </c>
      <c r="R3157" s="147" t="n">
        <v>0.269782305337108</v>
      </c>
      <c r="S3157" s="147" t="n">
        <v>0.0582829590440055</v>
      </c>
      <c r="T3157" s="147" t="n">
        <v>0.0219443424062954</v>
      </c>
    </row>
    <row r="3158" customFormat="false" ht="12.75" hidden="false" customHeight="true" outlineLevel="0" collapsed="false">
      <c r="P3158" s="1" t="n">
        <v>3155</v>
      </c>
      <c r="Q3158" s="147" t="n">
        <v>70962.9498067262</v>
      </c>
      <c r="R3158" s="147" t="n">
        <v>0.269599334415993</v>
      </c>
      <c r="S3158" s="147" t="n">
        <v>0.062733210922259</v>
      </c>
      <c r="T3158" s="147" t="n">
        <v>0.021680725482925</v>
      </c>
    </row>
    <row r="3159" customFormat="false" ht="12.75" hidden="false" customHeight="true" outlineLevel="0" collapsed="false">
      <c r="P3159" s="1" t="n">
        <v>3156</v>
      </c>
      <c r="Q3159" s="147" t="n">
        <v>70985.4893469942</v>
      </c>
      <c r="R3159" s="147" t="n">
        <v>0.269585489663</v>
      </c>
      <c r="S3159" s="147" t="n">
        <v>0.0668388010682599</v>
      </c>
      <c r="T3159" s="147" t="n">
        <v>0.0218384299971763</v>
      </c>
    </row>
    <row r="3160" customFormat="false" ht="12.75" hidden="false" customHeight="true" outlineLevel="0" collapsed="false">
      <c r="P3160" s="1" t="n">
        <v>3157</v>
      </c>
      <c r="Q3160" s="147" t="n">
        <v>71007.6720294612</v>
      </c>
      <c r="R3160" s="147" t="n">
        <v>0.269735447251995</v>
      </c>
      <c r="S3160" s="147" t="n">
        <v>0.0703724902103761</v>
      </c>
      <c r="T3160" s="147" t="n">
        <v>0.0218788466196722</v>
      </c>
    </row>
    <row r="3161" customFormat="false" ht="12.75" hidden="false" customHeight="true" outlineLevel="0" collapsed="false">
      <c r="P3161" s="1" t="n">
        <v>3158</v>
      </c>
      <c r="Q3161" s="147" t="n">
        <v>71029.9486142252</v>
      </c>
      <c r="R3161" s="147" t="n">
        <v>0.269756656187687</v>
      </c>
      <c r="S3161" s="147" t="n">
        <v>0.0728803190397281</v>
      </c>
      <c r="T3161" s="147" t="n">
        <v>0.0222599535853318</v>
      </c>
    </row>
    <row r="3162" customFormat="false" ht="12.75" hidden="false" customHeight="true" outlineLevel="0" collapsed="false">
      <c r="P3162" s="1" t="n">
        <v>3159</v>
      </c>
      <c r="Q3162" s="147" t="n">
        <v>71052.6158851052</v>
      </c>
      <c r="R3162" s="147" t="n">
        <v>0.269376758089201</v>
      </c>
      <c r="S3162" s="147" t="n">
        <v>0.0750519694057316</v>
      </c>
      <c r="T3162" s="147" t="n">
        <v>0.0233146537930809</v>
      </c>
    </row>
    <row r="3163" customFormat="false" ht="12.75" hidden="false" customHeight="true" outlineLevel="0" collapsed="false">
      <c r="P3163" s="1" t="n">
        <v>3160</v>
      </c>
      <c r="Q3163" s="147" t="n">
        <v>71075.1783467902</v>
      </c>
      <c r="R3163" s="147" t="n">
        <v>0.268747041777552</v>
      </c>
      <c r="S3163" s="147" t="n">
        <v>0.0766861425693859</v>
      </c>
      <c r="T3163" s="147" t="n">
        <v>0.0242359950638805</v>
      </c>
    </row>
    <row r="3164" customFormat="false" ht="12.75" hidden="false" customHeight="true" outlineLevel="0" collapsed="false">
      <c r="P3164" s="1" t="n">
        <v>3161</v>
      </c>
      <c r="Q3164" s="147" t="n">
        <v>71097.5719253512</v>
      </c>
      <c r="R3164" s="147" t="n">
        <v>0.267959838268819</v>
      </c>
      <c r="S3164" s="147" t="n">
        <v>0.0783510498826674</v>
      </c>
      <c r="T3164" s="147" t="n">
        <v>0.0249511912967467</v>
      </c>
    </row>
    <row r="3165" customFormat="false" ht="12.75" hidden="false" customHeight="true" outlineLevel="0" collapsed="false">
      <c r="P3165" s="1" t="n">
        <v>3162</v>
      </c>
      <c r="Q3165" s="147" t="n">
        <v>71119.7844771662</v>
      </c>
      <c r="R3165" s="147" t="n">
        <v>0.267019516832375</v>
      </c>
      <c r="S3165" s="147" t="n">
        <v>0.080017799547185</v>
      </c>
      <c r="T3165" s="147" t="n">
        <v>0.0255280966215825</v>
      </c>
    </row>
    <row r="3166" customFormat="false" ht="12.75" hidden="false" customHeight="true" outlineLevel="0" collapsed="false">
      <c r="P3166" s="1" t="n">
        <v>3163</v>
      </c>
      <c r="Q3166" s="147" t="n">
        <v>71141.9833356072</v>
      </c>
      <c r="R3166" s="147" t="n">
        <v>0.266200378420645</v>
      </c>
      <c r="S3166" s="147" t="n">
        <v>0.082722411503666</v>
      </c>
      <c r="T3166" s="147" t="n">
        <v>0.0260588683575901</v>
      </c>
    </row>
    <row r="3167" customFormat="false" ht="12.75" hidden="false" customHeight="true" outlineLevel="0" collapsed="false">
      <c r="P3167" s="1" t="n">
        <v>3164</v>
      </c>
      <c r="Q3167" s="147" t="n">
        <v>71164.4925470482</v>
      </c>
      <c r="R3167" s="147" t="n">
        <v>0.265637068756694</v>
      </c>
      <c r="S3167" s="147" t="n">
        <v>0.0853234052673492</v>
      </c>
      <c r="T3167" s="147" t="n">
        <v>0.0280838025657585</v>
      </c>
    </row>
    <row r="3168" customFormat="false" ht="12.75" hidden="false" customHeight="true" outlineLevel="0" collapsed="false">
      <c r="P3168" s="1" t="n">
        <v>3165</v>
      </c>
      <c r="Q3168" s="147" t="n">
        <v>71186.6939897192</v>
      </c>
      <c r="R3168" s="147" t="n">
        <v>0.265507559166165</v>
      </c>
      <c r="S3168" s="147" t="n">
        <v>0.0864097142550939</v>
      </c>
      <c r="T3168" s="147" t="n">
        <v>0.0281953492073737</v>
      </c>
    </row>
    <row r="3169" customFormat="false" ht="12.75" hidden="false" customHeight="true" outlineLevel="0" collapsed="false">
      <c r="P3169" s="1" t="n">
        <v>3166</v>
      </c>
      <c r="Q3169" s="147" t="n">
        <v>71208.9708425402</v>
      </c>
      <c r="R3169" s="147" t="n">
        <v>0.265317240014891</v>
      </c>
      <c r="S3169" s="147" t="n">
        <v>0.0867647325162994</v>
      </c>
      <c r="T3169" s="147" t="n">
        <v>0.0292116282823956</v>
      </c>
    </row>
    <row r="3170" customFormat="false" ht="12.75" hidden="false" customHeight="true" outlineLevel="0" collapsed="false">
      <c r="P3170" s="1" t="n">
        <v>3167</v>
      </c>
      <c r="Q3170" s="147" t="n">
        <v>71231.2679279812</v>
      </c>
      <c r="R3170" s="147" t="n">
        <v>0.265465267156712</v>
      </c>
      <c r="S3170" s="147" t="n">
        <v>0.0865516966904435</v>
      </c>
      <c r="T3170" s="147" t="n">
        <v>0.0288159370844112</v>
      </c>
    </row>
    <row r="3171" customFormat="false" ht="12.75" hidden="false" customHeight="true" outlineLevel="0" collapsed="false">
      <c r="P3171" s="1" t="n">
        <v>3168</v>
      </c>
      <c r="Q3171" s="147" t="n">
        <v>71253.7416692372</v>
      </c>
      <c r="R3171" s="147" t="n">
        <v>0.265397811404731</v>
      </c>
      <c r="S3171" s="147" t="n">
        <v>0.0856599825478591</v>
      </c>
      <c r="T3171" s="147" t="n">
        <v>0.028796621743261</v>
      </c>
    </row>
    <row r="3172" customFormat="false" ht="12.75" hidden="false" customHeight="true" outlineLevel="0" collapsed="false">
      <c r="P3172" s="1" t="n">
        <v>3169</v>
      </c>
      <c r="Q3172" s="147" t="n">
        <v>71275.5696856562</v>
      </c>
      <c r="R3172" s="147" t="n">
        <v>0.265334882616233</v>
      </c>
      <c r="S3172" s="147" t="n">
        <v>0.0847830312766974</v>
      </c>
      <c r="T3172" s="147" t="n">
        <v>0.0274821805610898</v>
      </c>
    </row>
    <row r="3173" customFormat="false" ht="12.75" hidden="false" customHeight="true" outlineLevel="0" collapsed="false">
      <c r="P3173" s="1" t="n">
        <v>3170</v>
      </c>
      <c r="Q3173" s="147" t="n">
        <v>71297.5000380192</v>
      </c>
      <c r="R3173" s="147" t="n">
        <v>0.265159709987244</v>
      </c>
      <c r="S3173" s="147" t="n">
        <v>0.0842642819774113</v>
      </c>
      <c r="T3173" s="147" t="n">
        <v>0.0271580988470872</v>
      </c>
    </row>
    <row r="3174" customFormat="false" ht="12.75" hidden="false" customHeight="true" outlineLevel="0" collapsed="false">
      <c r="P3174" s="1" t="n">
        <v>3171</v>
      </c>
      <c r="Q3174" s="147" t="n">
        <v>71319.8199618402</v>
      </c>
      <c r="R3174" s="147" t="n">
        <v>0.264845226265101</v>
      </c>
      <c r="S3174" s="147" t="n">
        <v>0.0844940942063735</v>
      </c>
      <c r="T3174" s="147" t="n">
        <v>0.0266050319097366</v>
      </c>
    </row>
    <row r="3175" customFormat="false" ht="12.75" hidden="false" customHeight="true" outlineLevel="0" collapsed="false">
      <c r="P3175" s="1" t="n">
        <v>3172</v>
      </c>
      <c r="Q3175" s="147" t="n">
        <v>71342.5441815592</v>
      </c>
      <c r="R3175" s="147" t="n">
        <v>0.264355368230354</v>
      </c>
      <c r="S3175" s="147" t="n">
        <v>0.0869214122582645</v>
      </c>
      <c r="T3175" s="147" t="n">
        <v>0.0257989359076713</v>
      </c>
    </row>
    <row r="3176" customFormat="false" ht="12.75" hidden="false" customHeight="true" outlineLevel="0" collapsed="false">
      <c r="P3176" s="1" t="n">
        <v>3173</v>
      </c>
      <c r="Q3176" s="147" t="n">
        <v>71365.3039392932</v>
      </c>
      <c r="R3176" s="147" t="n">
        <v>0.264065216452026</v>
      </c>
      <c r="S3176" s="147" t="n">
        <v>0.0915494732824213</v>
      </c>
      <c r="T3176" s="147" t="n">
        <v>0.0240239216321657</v>
      </c>
    </row>
    <row r="3177" customFormat="false" ht="12.75" hidden="false" customHeight="true" outlineLevel="0" collapsed="false">
      <c r="P3177" s="1" t="n">
        <v>3174</v>
      </c>
      <c r="Q3177" s="147" t="n">
        <v>71387.5261428012</v>
      </c>
      <c r="R3177" s="147" t="n">
        <v>0.263394546965985</v>
      </c>
      <c r="S3177" s="147" t="n">
        <v>0.0932707127231689</v>
      </c>
      <c r="T3177" s="147" t="n">
        <v>0.0245828396801031</v>
      </c>
    </row>
    <row r="3178" customFormat="false" ht="12.75" hidden="false" customHeight="true" outlineLevel="0" collapsed="false">
      <c r="P3178" s="1" t="n">
        <v>3175</v>
      </c>
      <c r="Q3178" s="147" t="n">
        <v>71410.4194790732</v>
      </c>
      <c r="R3178" s="147" t="n">
        <v>0.263152183142771</v>
      </c>
      <c r="S3178" s="147" t="n">
        <v>0.0988124839627861</v>
      </c>
      <c r="T3178" s="147" t="n">
        <v>0.0242176197099116</v>
      </c>
    </row>
    <row r="3179" customFormat="false" ht="12.75" hidden="false" customHeight="true" outlineLevel="0" collapsed="false">
      <c r="P3179" s="1" t="n">
        <v>3176</v>
      </c>
      <c r="Q3179" s="147" t="n">
        <v>71432.4179268002</v>
      </c>
      <c r="R3179" s="147" t="n">
        <v>0.262385440212799</v>
      </c>
      <c r="S3179" s="147" t="n">
        <v>0.0991138640355261</v>
      </c>
      <c r="T3179" s="147" t="n">
        <v>0.0251316207095077</v>
      </c>
    </row>
    <row r="3180" customFormat="false" ht="12.75" hidden="false" customHeight="true" outlineLevel="0" collapsed="false">
      <c r="P3180" s="1" t="n">
        <v>3177</v>
      </c>
      <c r="Q3180" s="147" t="n">
        <v>71454.5685303772</v>
      </c>
      <c r="R3180" s="147" t="n">
        <v>0.262337850809632</v>
      </c>
      <c r="S3180" s="147" t="n">
        <v>0.0979911335285504</v>
      </c>
      <c r="T3180" s="147" t="n">
        <v>0.0258750537743994</v>
      </c>
    </row>
    <row r="3181" customFormat="false" ht="12.75" hidden="false" customHeight="true" outlineLevel="0" collapsed="false">
      <c r="P3181" s="1" t="n">
        <v>3178</v>
      </c>
      <c r="Q3181" s="147" t="n">
        <v>71476.4317015332</v>
      </c>
      <c r="R3181" s="147" t="n">
        <v>0.262916727294561</v>
      </c>
      <c r="S3181" s="147" t="n">
        <v>0.0955175928760159</v>
      </c>
      <c r="T3181" s="147" t="n">
        <v>0.0260151744614871</v>
      </c>
    </row>
    <row r="3182" customFormat="false" ht="12.75" hidden="false" customHeight="true" outlineLevel="0" collapsed="false">
      <c r="P3182" s="1" t="n">
        <v>3179</v>
      </c>
      <c r="Q3182" s="147" t="n">
        <v>71498.2646271112</v>
      </c>
      <c r="R3182" s="147" t="n">
        <v>0.263651365594417</v>
      </c>
      <c r="S3182" s="147" t="n">
        <v>0.0922670613716358</v>
      </c>
      <c r="T3182" s="147" t="n">
        <v>0.0258639303066735</v>
      </c>
    </row>
    <row r="3183" customFormat="false" ht="12.75" hidden="false" customHeight="true" outlineLevel="0" collapsed="false">
      <c r="P3183" s="1" t="n">
        <v>3180</v>
      </c>
      <c r="Q3183" s="147" t="n">
        <v>71520.4750879572</v>
      </c>
      <c r="R3183" s="147" t="n">
        <v>0.264961204966992</v>
      </c>
      <c r="S3183" s="147" t="n">
        <v>0.0876090322820683</v>
      </c>
      <c r="T3183" s="147" t="n">
        <v>0.0255026279995783</v>
      </c>
    </row>
    <row r="3184" customFormat="false" ht="12.75" hidden="false" customHeight="true" outlineLevel="0" collapsed="false">
      <c r="P3184" s="1" t="n">
        <v>3181</v>
      </c>
      <c r="Q3184" s="147" t="n">
        <v>71543.0719307932</v>
      </c>
      <c r="R3184" s="147" t="n">
        <v>0.266478323178258</v>
      </c>
      <c r="S3184" s="147" t="n">
        <v>0.0793595191082984</v>
      </c>
      <c r="T3184" s="147" t="n">
        <v>0.0259681057340675</v>
      </c>
    </row>
    <row r="3185" customFormat="false" ht="12.75" hidden="false" customHeight="true" outlineLevel="0" collapsed="false">
      <c r="P3185" s="1" t="n">
        <v>3182</v>
      </c>
      <c r="Q3185" s="147" t="n">
        <v>71564.8988298462</v>
      </c>
      <c r="R3185" s="147" t="n">
        <v>0.267472408890598</v>
      </c>
      <c r="S3185" s="147" t="n">
        <v>0.0760981955087896</v>
      </c>
      <c r="T3185" s="147" t="n">
        <v>0.0251712435330059</v>
      </c>
    </row>
    <row r="3186" customFormat="false" ht="12.75" hidden="false" customHeight="true" outlineLevel="0" collapsed="false">
      <c r="P3186" s="1" t="n">
        <v>3183</v>
      </c>
      <c r="Q3186" s="147" t="n">
        <v>71587.4093281132</v>
      </c>
      <c r="R3186" s="147" t="n">
        <v>0.269268906933317</v>
      </c>
      <c r="S3186" s="147" t="n">
        <v>0.0683957778798745</v>
      </c>
      <c r="T3186" s="147" t="n">
        <v>0.0251772258387202</v>
      </c>
    </row>
    <row r="3187" customFormat="false" ht="12.75" hidden="false" customHeight="true" outlineLevel="0" collapsed="false">
      <c r="P3187" s="1" t="n">
        <v>3184</v>
      </c>
      <c r="Q3187" s="147" t="n">
        <v>71608.9952331642</v>
      </c>
      <c r="R3187" s="147" t="n">
        <v>0.270222003761878</v>
      </c>
      <c r="S3187" s="147" t="n">
        <v>0.067973027084878</v>
      </c>
      <c r="T3187" s="147" t="n">
        <v>0.0241033426033901</v>
      </c>
    </row>
    <row r="3188" customFormat="false" ht="12.75" hidden="false" customHeight="true" outlineLevel="0" collapsed="false">
      <c r="P3188" s="1" t="n">
        <v>3185</v>
      </c>
      <c r="Q3188" s="147" t="n">
        <v>71631.3848967302</v>
      </c>
      <c r="R3188" s="147" t="n">
        <v>0.271165132705601</v>
      </c>
      <c r="S3188" s="147" t="n">
        <v>0.0664939070920584</v>
      </c>
      <c r="T3188" s="147" t="n">
        <v>0.0240351356157977</v>
      </c>
    </row>
    <row r="3189" customFormat="false" ht="12.75" hidden="false" customHeight="true" outlineLevel="0" collapsed="false">
      <c r="P3189" s="1" t="n">
        <v>3186</v>
      </c>
      <c r="Q3189" s="147" t="n">
        <v>71653.5028979392</v>
      </c>
      <c r="R3189" s="147" t="n">
        <v>0.271473476782315</v>
      </c>
      <c r="S3189" s="147" t="n">
        <v>0.0677965807258477</v>
      </c>
      <c r="T3189" s="147" t="n">
        <v>0.0227885340070887</v>
      </c>
    </row>
    <row r="3190" customFormat="false" ht="12.75" hidden="false" customHeight="true" outlineLevel="0" collapsed="false">
      <c r="P3190" s="1" t="n">
        <v>3187</v>
      </c>
      <c r="Q3190" s="147" t="n">
        <v>71675.6736907162</v>
      </c>
      <c r="R3190" s="147" t="n">
        <v>0.271285377151499</v>
      </c>
      <c r="S3190" s="147" t="n">
        <v>0.0714940110071583</v>
      </c>
      <c r="T3190" s="147" t="n">
        <v>0.0221596667933114</v>
      </c>
    </row>
    <row r="3191" customFormat="false" ht="12.75" hidden="false" customHeight="true" outlineLevel="0" collapsed="false">
      <c r="P3191" s="1" t="n">
        <v>3188</v>
      </c>
      <c r="Q3191" s="147" t="n">
        <v>71697.9506718712</v>
      </c>
      <c r="R3191" s="147" t="n">
        <v>0.270859828007911</v>
      </c>
      <c r="S3191" s="147" t="n">
        <v>0.0750760546950505</v>
      </c>
      <c r="T3191" s="147" t="n">
        <v>0.0206294544723387</v>
      </c>
    </row>
    <row r="3192" customFormat="false" ht="12.75" hidden="false" customHeight="true" outlineLevel="0" collapsed="false">
      <c r="P3192" s="1" t="n">
        <v>3189</v>
      </c>
      <c r="Q3192" s="147" t="n">
        <v>71720.1580558392</v>
      </c>
      <c r="R3192" s="147" t="n">
        <v>0.270290338386089</v>
      </c>
      <c r="S3192" s="147" t="n">
        <v>0.0795285341055376</v>
      </c>
      <c r="T3192" s="147" t="n">
        <v>0.0192340034990451</v>
      </c>
    </row>
    <row r="3193" customFormat="false" ht="12.75" hidden="false" customHeight="true" outlineLevel="0" collapsed="false">
      <c r="P3193" s="1" t="n">
        <v>3190</v>
      </c>
      <c r="Q3193" s="147" t="n">
        <v>71742.5108158062</v>
      </c>
      <c r="R3193" s="147" t="n">
        <v>0.269600873204232</v>
      </c>
      <c r="S3193" s="147" t="n">
        <v>0.0833861261539255</v>
      </c>
      <c r="T3193" s="147" t="n">
        <v>0.0179197273832086</v>
      </c>
    </row>
    <row r="3194" customFormat="false" ht="12.75" hidden="false" customHeight="true" outlineLevel="0" collapsed="false">
      <c r="P3194" s="1" t="n">
        <v>3191</v>
      </c>
      <c r="Q3194" s="147" t="n">
        <v>71764.5149570102</v>
      </c>
      <c r="R3194" s="147" t="n">
        <v>0.269356941288316</v>
      </c>
      <c r="S3194" s="147" t="n">
        <v>0.0853992600765001</v>
      </c>
      <c r="T3194" s="147" t="n">
        <v>0.0166281386045523</v>
      </c>
    </row>
    <row r="3195" customFormat="false" ht="12.75" hidden="false" customHeight="true" outlineLevel="0" collapsed="false">
      <c r="P3195" s="1" t="n">
        <v>3192</v>
      </c>
      <c r="Q3195" s="147" t="n">
        <v>71786.9694383042</v>
      </c>
      <c r="R3195" s="147" t="n">
        <v>0.268571655651267</v>
      </c>
      <c r="S3195" s="147" t="n">
        <v>0.0879820002225776</v>
      </c>
      <c r="T3195" s="147" t="n">
        <v>0.0152800096315251</v>
      </c>
    </row>
    <row r="3196" customFormat="false" ht="12.75" hidden="false" customHeight="true" outlineLevel="0" collapsed="false">
      <c r="P3196" s="1" t="n">
        <v>3193</v>
      </c>
      <c r="Q3196" s="147" t="n">
        <v>71809.3049921812</v>
      </c>
      <c r="R3196" s="147" t="n">
        <v>0.268270186363106</v>
      </c>
      <c r="S3196" s="147" t="n">
        <v>0.0906310447509094</v>
      </c>
      <c r="T3196" s="147" t="n">
        <v>0.0134483903057641</v>
      </c>
    </row>
    <row r="3197" customFormat="false" ht="12.75" hidden="false" customHeight="true" outlineLevel="0" collapsed="false">
      <c r="P3197" s="1" t="n">
        <v>3194</v>
      </c>
      <c r="Q3197" s="147" t="n">
        <v>71831.6411593062</v>
      </c>
      <c r="R3197" s="147" t="n">
        <v>0.268352863946434</v>
      </c>
      <c r="S3197" s="147" t="n">
        <v>0.0910372310612492</v>
      </c>
      <c r="T3197" s="147" t="n">
        <v>0.0130452061439411</v>
      </c>
    </row>
    <row r="3198" customFormat="false" ht="12.75" hidden="false" customHeight="true" outlineLevel="0" collapsed="false">
      <c r="P3198" s="1" t="n">
        <v>3195</v>
      </c>
      <c r="Q3198" s="147" t="n">
        <v>71854.0122593592</v>
      </c>
      <c r="R3198" s="147" t="n">
        <v>0.268737669105955</v>
      </c>
      <c r="S3198" s="147" t="n">
        <v>0.0901619349845968</v>
      </c>
      <c r="T3198" s="147" t="n">
        <v>0.0128333731539109</v>
      </c>
    </row>
    <row r="3199" customFormat="false" ht="12.75" hidden="false" customHeight="true" outlineLevel="0" collapsed="false">
      <c r="P3199" s="1" t="n">
        <v>3196</v>
      </c>
      <c r="Q3199" s="147" t="n">
        <v>71876.3205774952</v>
      </c>
      <c r="R3199" s="147" t="n">
        <v>0.269450152674676</v>
      </c>
      <c r="S3199" s="147" t="n">
        <v>0.0880290515076306</v>
      </c>
      <c r="T3199" s="147" t="n">
        <v>0.0131524357336774</v>
      </c>
    </row>
    <row r="3200" customFormat="false" ht="12.75" hidden="false" customHeight="true" outlineLevel="0" collapsed="false">
      <c r="P3200" s="1" t="n">
        <v>3197</v>
      </c>
      <c r="Q3200" s="147" t="n">
        <v>71898.9419623722</v>
      </c>
      <c r="R3200" s="147" t="n">
        <v>0.270244700297864</v>
      </c>
      <c r="S3200" s="147" t="n">
        <v>0.0854168242946532</v>
      </c>
      <c r="T3200" s="147" t="n">
        <v>0.0138611697600759</v>
      </c>
    </row>
    <row r="3201" customFormat="false" ht="12.75" hidden="false" customHeight="true" outlineLevel="0" collapsed="false">
      <c r="P3201" s="1" t="n">
        <v>3198</v>
      </c>
      <c r="Q3201" s="147" t="n">
        <v>71921.5693848142</v>
      </c>
      <c r="R3201" s="147" t="n">
        <v>0.271359107295443</v>
      </c>
      <c r="S3201" s="147" t="n">
        <v>0.0824168546268912</v>
      </c>
      <c r="T3201" s="147" t="n">
        <v>0.0149832042868755</v>
      </c>
    </row>
    <row r="3202" customFormat="false" ht="12.75" hidden="false" customHeight="true" outlineLevel="0" collapsed="false">
      <c r="P3202" s="1" t="n">
        <v>3199</v>
      </c>
      <c r="Q3202" s="147" t="n">
        <v>71943.8463975192</v>
      </c>
      <c r="R3202" s="147" t="n">
        <v>0.272456522942788</v>
      </c>
      <c r="S3202" s="147" t="n">
        <v>0.079194046371259</v>
      </c>
      <c r="T3202" s="147" t="n">
        <v>0.0163881490486928</v>
      </c>
    </row>
    <row r="3203" customFormat="false" ht="12.75" hidden="false" customHeight="true" outlineLevel="0" collapsed="false">
      <c r="P3203" s="1" t="n">
        <v>3200</v>
      </c>
      <c r="Q3203" s="147" t="n">
        <v>71966.4578473062</v>
      </c>
      <c r="R3203" s="147" t="n">
        <v>0.273312484899875</v>
      </c>
      <c r="S3203" s="147" t="n">
        <v>0.0763290794537894</v>
      </c>
      <c r="T3203" s="147" t="n">
        <v>0.0177052413848474</v>
      </c>
    </row>
    <row r="3204" customFormat="false" ht="12.75" hidden="false" customHeight="true" outlineLevel="0" collapsed="false">
      <c r="P3204" s="1" t="n">
        <v>3201</v>
      </c>
      <c r="Q3204" s="147" t="n">
        <v>71988.3193769892</v>
      </c>
      <c r="R3204" s="147" t="n">
        <v>0.273744568799819</v>
      </c>
      <c r="S3204" s="147" t="n">
        <v>0.0745090503673417</v>
      </c>
      <c r="T3204" s="147" t="n">
        <v>0.0186539822913986</v>
      </c>
    </row>
    <row r="3205" customFormat="false" ht="12.75" hidden="false" customHeight="true" outlineLevel="0" collapsed="false">
      <c r="P3205" s="1" t="n">
        <v>3202</v>
      </c>
      <c r="Q3205" s="147" t="n">
        <v>72010.2554298682</v>
      </c>
      <c r="R3205" s="147" t="n">
        <v>0.27387830944578</v>
      </c>
      <c r="S3205" s="147" t="n">
        <v>0.0734700389732367</v>
      </c>
      <c r="T3205" s="147" t="n">
        <v>0.0191486298124854</v>
      </c>
    </row>
    <row r="3206" customFormat="false" ht="12.75" hidden="false" customHeight="true" outlineLevel="0" collapsed="false">
      <c r="P3206" s="1" t="n">
        <v>3203</v>
      </c>
      <c r="Q3206" s="147" t="n">
        <v>72032.8878119702</v>
      </c>
      <c r="R3206" s="147" t="n">
        <v>0.272657690779504</v>
      </c>
      <c r="S3206" s="147" t="n">
        <v>0.0677115536858525</v>
      </c>
      <c r="T3206" s="147" t="n">
        <v>0.0186472904170611</v>
      </c>
    </row>
    <row r="3207" customFormat="false" ht="12.75" hidden="false" customHeight="true" outlineLevel="0" collapsed="false">
      <c r="P3207" s="1" t="n">
        <v>3204</v>
      </c>
      <c r="Q3207" s="147" t="n">
        <v>72055.4658551332</v>
      </c>
      <c r="R3207" s="147" t="n">
        <v>0.272255898862475</v>
      </c>
      <c r="S3207" s="147" t="n">
        <v>0.0671495033140123</v>
      </c>
      <c r="T3207" s="147" t="n">
        <v>0.0189169816845741</v>
      </c>
    </row>
    <row r="3208" customFormat="false" ht="12.75" hidden="false" customHeight="true" outlineLevel="0" collapsed="false">
      <c r="P3208" s="1" t="n">
        <v>3205</v>
      </c>
      <c r="Q3208" s="147" t="n">
        <v>72078.0221753532</v>
      </c>
      <c r="R3208" s="147" t="n">
        <v>0.270357161135638</v>
      </c>
      <c r="S3208" s="147" t="n">
        <v>0.0699942386073439</v>
      </c>
      <c r="T3208" s="147" t="n">
        <v>0.0183635414114148</v>
      </c>
    </row>
    <row r="3209" customFormat="false" ht="12.75" hidden="false" customHeight="true" outlineLevel="0" collapsed="false">
      <c r="P3209" s="1" t="n">
        <v>3206</v>
      </c>
      <c r="Q3209" s="147" t="n">
        <v>72100.4208928742</v>
      </c>
      <c r="R3209" s="147" t="n">
        <v>0.268696498840139</v>
      </c>
      <c r="S3209" s="147" t="n">
        <v>0.0741699753276063</v>
      </c>
      <c r="T3209" s="147" t="n">
        <v>0.017585178482655</v>
      </c>
    </row>
    <row r="3210" customFormat="false" ht="12.75" hidden="false" customHeight="true" outlineLevel="0" collapsed="false">
      <c r="P3210" s="1" t="n">
        <v>3207</v>
      </c>
      <c r="Q3210" s="147" t="n">
        <v>72123.0583946752</v>
      </c>
      <c r="R3210" s="147" t="n">
        <v>0.266636572677219</v>
      </c>
      <c r="S3210" s="147" t="n">
        <v>0.0790609658572104</v>
      </c>
      <c r="T3210" s="147" t="n">
        <v>0.0167910411854987</v>
      </c>
    </row>
    <row r="3211" customFormat="false" ht="12.75" hidden="false" customHeight="true" outlineLevel="0" collapsed="false">
      <c r="P3211" s="1" t="n">
        <v>3208</v>
      </c>
      <c r="Q3211" s="147" t="n">
        <v>72145.5882904832</v>
      </c>
      <c r="R3211" s="147" t="n">
        <v>0.264878833857058</v>
      </c>
      <c r="S3211" s="147" t="n">
        <v>0.0837794653070337</v>
      </c>
      <c r="T3211" s="147" t="n">
        <v>0.0161232203539836</v>
      </c>
    </row>
    <row r="3212" customFormat="false" ht="12.75" hidden="false" customHeight="true" outlineLevel="0" collapsed="false">
      <c r="P3212" s="1" t="n">
        <v>3209</v>
      </c>
      <c r="Q3212" s="147" t="n">
        <v>72167.7811622902</v>
      </c>
      <c r="R3212" s="147" t="n">
        <v>0.263526496396685</v>
      </c>
      <c r="S3212" s="147" t="n">
        <v>0.086521346399779</v>
      </c>
      <c r="T3212" s="147" t="n">
        <v>0.0158517045149274</v>
      </c>
    </row>
    <row r="3213" customFormat="false" ht="12.75" hidden="false" customHeight="true" outlineLevel="0" collapsed="false">
      <c r="P3213" s="1" t="n">
        <v>3210</v>
      </c>
      <c r="Q3213" s="147" t="n">
        <v>72189.8207453892</v>
      </c>
      <c r="R3213" s="147" t="n">
        <v>0.261990104886132</v>
      </c>
      <c r="S3213" s="147" t="n">
        <v>0.0877984824647936</v>
      </c>
      <c r="T3213" s="147" t="n">
        <v>0.0164540167839745</v>
      </c>
    </row>
    <row r="3214" customFormat="false" ht="12.75" hidden="false" customHeight="true" outlineLevel="0" collapsed="false">
      <c r="P3214" s="1" t="n">
        <v>3211</v>
      </c>
      <c r="Q3214" s="147" t="n">
        <v>72212.1351246222</v>
      </c>
      <c r="R3214" s="147" t="n">
        <v>0.261759652222809</v>
      </c>
      <c r="S3214" s="147" t="n">
        <v>0.0885770567794348</v>
      </c>
      <c r="T3214" s="147" t="n">
        <v>0.0171661148701641</v>
      </c>
    </row>
    <row r="3215" customFormat="false" ht="12.75" hidden="false" customHeight="true" outlineLevel="0" collapsed="false">
      <c r="P3215" s="1" t="n">
        <v>3212</v>
      </c>
      <c r="Q3215" s="147" t="n">
        <v>72235.1401786992</v>
      </c>
      <c r="R3215" s="147" t="n">
        <v>0.262122005012903</v>
      </c>
      <c r="S3215" s="147" t="n">
        <v>0.0924265439092373</v>
      </c>
      <c r="T3215" s="147" t="n">
        <v>0.0180117700075226</v>
      </c>
    </row>
    <row r="3216" customFormat="false" ht="12.75" hidden="false" customHeight="true" outlineLevel="0" collapsed="false">
      <c r="P3216" s="1" t="n">
        <v>3213</v>
      </c>
      <c r="Q3216" s="147" t="n">
        <v>72257.6872465622</v>
      </c>
      <c r="R3216" s="147" t="n">
        <v>0.262801528025121</v>
      </c>
      <c r="S3216" s="147" t="n">
        <v>0.0931133421417212</v>
      </c>
      <c r="T3216" s="147" t="n">
        <v>0.0191867732087873</v>
      </c>
    </row>
    <row r="3217" customFormat="false" ht="12.75" hidden="false" customHeight="true" outlineLevel="0" collapsed="false">
      <c r="P3217" s="1" t="n">
        <v>3214</v>
      </c>
      <c r="Q3217" s="147" t="n">
        <v>72280.3259240632</v>
      </c>
      <c r="R3217" s="147" t="n">
        <v>0.264467046694399</v>
      </c>
      <c r="S3217" s="147" t="n">
        <v>0.0913999648798153</v>
      </c>
      <c r="T3217" s="147" t="n">
        <v>0.0204182943555533</v>
      </c>
    </row>
    <row r="3218" customFormat="false" ht="12.75" hidden="false" customHeight="true" outlineLevel="0" collapsed="false">
      <c r="P3218" s="1" t="n">
        <v>3215</v>
      </c>
      <c r="Q3218" s="147" t="n">
        <v>72302.8809659522</v>
      </c>
      <c r="R3218" s="147" t="n">
        <v>0.266389233484598</v>
      </c>
      <c r="S3218" s="147" t="n">
        <v>0.0866600639166662</v>
      </c>
      <c r="T3218" s="147" t="n">
        <v>0.0214958154950137</v>
      </c>
    </row>
    <row r="3219" customFormat="false" ht="12.75" hidden="false" customHeight="true" outlineLevel="0" collapsed="false">
      <c r="P3219" s="1" t="n">
        <v>3216</v>
      </c>
      <c r="Q3219" s="147" t="n">
        <v>72325.6366868092</v>
      </c>
      <c r="R3219" s="147" t="n">
        <v>0.268126703559046</v>
      </c>
      <c r="S3219" s="147" t="n">
        <v>0.0812276843579695</v>
      </c>
      <c r="T3219" s="147" t="n">
        <v>0.0226104148185942</v>
      </c>
    </row>
    <row r="3220" customFormat="false" ht="12.75" hidden="false" customHeight="true" outlineLevel="0" collapsed="false">
      <c r="P3220" s="1" t="n">
        <v>3217</v>
      </c>
      <c r="Q3220" s="147" t="n">
        <v>72347.9270434923</v>
      </c>
      <c r="R3220" s="147" t="n">
        <v>0.269388557953223</v>
      </c>
      <c r="S3220" s="147" t="n">
        <v>0.0768071110516937</v>
      </c>
      <c r="T3220" s="147" t="n">
        <v>0.0237870248231907</v>
      </c>
    </row>
    <row r="3221" customFormat="false" ht="12.75" hidden="false" customHeight="true" outlineLevel="0" collapsed="false">
      <c r="P3221" s="1" t="n">
        <v>3218</v>
      </c>
      <c r="Q3221" s="147" t="n">
        <v>72369.6585182033</v>
      </c>
      <c r="R3221" s="147" t="n">
        <v>0.269880817575236</v>
      </c>
      <c r="S3221" s="147" t="n">
        <v>0.0746012481631142</v>
      </c>
      <c r="T3221" s="147" t="n">
        <v>0.0249156088941794</v>
      </c>
    </row>
    <row r="3222" customFormat="false" ht="12.75" hidden="false" customHeight="true" outlineLevel="0" collapsed="false">
      <c r="P3222" s="1" t="n">
        <v>3219</v>
      </c>
      <c r="Q3222" s="147" t="n">
        <v>72392.2652650333</v>
      </c>
      <c r="R3222" s="147" t="n">
        <v>0.26946459500675</v>
      </c>
      <c r="S3222" s="147" t="n">
        <v>0.0733919198094836</v>
      </c>
      <c r="T3222" s="147" t="n">
        <v>0.0257696276120201</v>
      </c>
    </row>
    <row r="3223" customFormat="false" ht="12.75" hidden="false" customHeight="true" outlineLevel="0" collapsed="false">
      <c r="P3223" s="1" t="n">
        <v>3220</v>
      </c>
      <c r="Q3223" s="147" t="n">
        <v>72414.5198638023</v>
      </c>
      <c r="R3223" s="147" t="n">
        <v>0.268859420107668</v>
      </c>
      <c r="S3223" s="147" t="n">
        <v>0.0743208661636585</v>
      </c>
      <c r="T3223" s="147" t="n">
        <v>0.0266348324807056</v>
      </c>
    </row>
    <row r="3224" customFormat="false" ht="12.75" hidden="false" customHeight="true" outlineLevel="0" collapsed="false">
      <c r="P3224" s="1" t="n">
        <v>3221</v>
      </c>
      <c r="Q3224" s="147" t="n">
        <v>72437.2024700943</v>
      </c>
      <c r="R3224" s="147" t="n">
        <v>0.2675136487919</v>
      </c>
      <c r="S3224" s="147" t="n">
        <v>0.0773243970142134</v>
      </c>
      <c r="T3224" s="147" t="n">
        <v>0.0268038074256663</v>
      </c>
    </row>
    <row r="3225" customFormat="false" ht="12.75" hidden="false" customHeight="true" outlineLevel="0" collapsed="false">
      <c r="P3225" s="1" t="n">
        <v>3222</v>
      </c>
      <c r="Q3225" s="147" t="n">
        <v>72460.0227662383</v>
      </c>
      <c r="R3225" s="147" t="n">
        <v>0.266117193093415</v>
      </c>
      <c r="S3225" s="147" t="n">
        <v>0.0805191424624895</v>
      </c>
      <c r="T3225" s="147" t="n">
        <v>0.0266932594104585</v>
      </c>
    </row>
    <row r="3226" customFormat="false" ht="12.75" hidden="false" customHeight="true" outlineLevel="0" collapsed="false">
      <c r="P3226" s="1" t="n">
        <v>3223</v>
      </c>
      <c r="Q3226" s="147" t="n">
        <v>72482.6904400493</v>
      </c>
      <c r="R3226" s="147" t="n">
        <v>0.264714541620647</v>
      </c>
      <c r="S3226" s="147" t="n">
        <v>0.0836165768166249</v>
      </c>
      <c r="T3226" s="147" t="n">
        <v>0.026106005793877</v>
      </c>
    </row>
    <row r="3227" customFormat="false" ht="12.75" hidden="false" customHeight="true" outlineLevel="0" collapsed="false">
      <c r="P3227" s="1" t="n">
        <v>3224</v>
      </c>
      <c r="Q3227" s="147" t="n">
        <v>72505.0893756823</v>
      </c>
      <c r="R3227" s="147" t="n">
        <v>0.263199871949131</v>
      </c>
      <c r="S3227" s="147" t="n">
        <v>0.0857958873198351</v>
      </c>
      <c r="T3227" s="147" t="n">
        <v>0.025376161438705</v>
      </c>
    </row>
    <row r="3228" customFormat="false" ht="12.75" hidden="false" customHeight="true" outlineLevel="0" collapsed="false">
      <c r="P3228" s="1" t="n">
        <v>3225</v>
      </c>
      <c r="Q3228" s="147" t="n">
        <v>72527.1439515023</v>
      </c>
      <c r="R3228" s="147" t="n">
        <v>0.261730111049771</v>
      </c>
      <c r="S3228" s="147" t="n">
        <v>0.0868561615688588</v>
      </c>
      <c r="T3228" s="147" t="n">
        <v>0.0244002036501252</v>
      </c>
    </row>
    <row r="3229" customFormat="false" ht="12.75" hidden="false" customHeight="true" outlineLevel="0" collapsed="false">
      <c r="P3229" s="1" t="n">
        <v>3226</v>
      </c>
      <c r="Q3229" s="147" t="n">
        <v>72549.3682116642</v>
      </c>
      <c r="R3229" s="147" t="n">
        <v>0.260439253777506</v>
      </c>
      <c r="S3229" s="147" t="n">
        <v>0.0864956390704481</v>
      </c>
      <c r="T3229" s="147" t="n">
        <v>0.0239768661539435</v>
      </c>
    </row>
    <row r="3230" customFormat="false" ht="12.75" hidden="false" customHeight="true" outlineLevel="0" collapsed="false">
      <c r="P3230" s="1" t="n">
        <v>3227</v>
      </c>
      <c r="Q3230" s="147" t="n">
        <v>72571.3544315012</v>
      </c>
      <c r="R3230" s="147" t="n">
        <v>0.259708869652134</v>
      </c>
      <c r="S3230" s="147" t="n">
        <v>0.0852462894267783</v>
      </c>
      <c r="T3230" s="147" t="n">
        <v>0.0233740641030773</v>
      </c>
    </row>
    <row r="3231" customFormat="false" ht="12.75" hidden="false" customHeight="true" outlineLevel="0" collapsed="false">
      <c r="P3231" s="1" t="n">
        <v>3228</v>
      </c>
      <c r="Q3231" s="147" t="n">
        <v>72593.8119802172</v>
      </c>
      <c r="R3231" s="147" t="n">
        <v>0.260013272374022</v>
      </c>
      <c r="S3231" s="147" t="n">
        <v>0.0817647993707142</v>
      </c>
      <c r="T3231" s="147" t="n">
        <v>0.0234922252346261</v>
      </c>
    </row>
    <row r="3232" customFormat="false" ht="12.75" hidden="false" customHeight="true" outlineLevel="0" collapsed="false">
      <c r="P3232" s="1" t="n">
        <v>3229</v>
      </c>
      <c r="Q3232" s="147" t="n">
        <v>72616.4605751682</v>
      </c>
      <c r="R3232" s="147" t="n">
        <v>0.259975330076528</v>
      </c>
      <c r="S3232" s="147" t="n">
        <v>0.078646559393465</v>
      </c>
      <c r="T3232" s="147" t="n">
        <v>0.0232867668477661</v>
      </c>
    </row>
    <row r="3233" customFormat="false" ht="12.75" hidden="false" customHeight="true" outlineLevel="0" collapsed="false">
      <c r="P3233" s="1" t="n">
        <v>3230</v>
      </c>
      <c r="Q3233" s="147" t="n">
        <v>72639.1283350712</v>
      </c>
      <c r="R3233" s="147" t="n">
        <v>0.261344238254662</v>
      </c>
      <c r="S3233" s="147" t="n">
        <v>0.0733519820439342</v>
      </c>
      <c r="T3233" s="147" t="n">
        <v>0.0236717231169461</v>
      </c>
    </row>
    <row r="3234" customFormat="false" ht="12.75" hidden="false" customHeight="true" outlineLevel="0" collapsed="false">
      <c r="P3234" s="1" t="n">
        <v>3231</v>
      </c>
      <c r="Q3234" s="147" t="n">
        <v>72661.8909619592</v>
      </c>
      <c r="R3234" s="147" t="n">
        <v>0.26287459372382</v>
      </c>
      <c r="S3234" s="147" t="n">
        <v>0.0676165573556953</v>
      </c>
      <c r="T3234" s="147" t="n">
        <v>0.0246496875043838</v>
      </c>
    </row>
    <row r="3235" customFormat="false" ht="12.75" hidden="false" customHeight="true" outlineLevel="0" collapsed="false">
      <c r="P3235" s="1" t="n">
        <v>3232</v>
      </c>
      <c r="Q3235" s="147" t="n">
        <v>72684.5400040182</v>
      </c>
      <c r="R3235" s="147" t="n">
        <v>0.264888832369586</v>
      </c>
      <c r="S3235" s="147" t="n">
        <v>0.0626996714897367</v>
      </c>
      <c r="T3235" s="147" t="n">
        <v>0.0260934845725222</v>
      </c>
    </row>
    <row r="3236" customFormat="false" ht="12.75" hidden="false" customHeight="true" outlineLevel="0" collapsed="false">
      <c r="P3236" s="1" t="n">
        <v>3233</v>
      </c>
      <c r="Q3236" s="147" t="n">
        <v>72706.8742150552</v>
      </c>
      <c r="R3236" s="147" t="n">
        <v>0.266775536983624</v>
      </c>
      <c r="S3236" s="147" t="n">
        <v>0.0597266172296475</v>
      </c>
      <c r="T3236" s="147" t="n">
        <v>0.0276473603498218</v>
      </c>
    </row>
    <row r="3237" customFormat="false" ht="12.75" hidden="false" customHeight="true" outlineLevel="0" collapsed="false">
      <c r="P3237" s="1" t="n">
        <v>3234</v>
      </c>
      <c r="Q3237" s="147" t="n">
        <v>72729.3644336082</v>
      </c>
      <c r="R3237" s="147" t="n">
        <v>0.26812531155498</v>
      </c>
      <c r="S3237" s="147" t="n">
        <v>0.0599556847077983</v>
      </c>
      <c r="T3237" s="147" t="n">
        <v>0.0296067208310791</v>
      </c>
    </row>
    <row r="3238" customFormat="false" ht="12.75" hidden="false" customHeight="true" outlineLevel="0" collapsed="false">
      <c r="P3238" s="1" t="n">
        <v>3235</v>
      </c>
      <c r="Q3238" s="147" t="n">
        <v>72752.0265021232</v>
      </c>
      <c r="R3238" s="147" t="n">
        <v>0.268528545782213</v>
      </c>
      <c r="S3238" s="147" t="n">
        <v>0.0643823278358475</v>
      </c>
      <c r="T3238" s="147" t="n">
        <v>0.0309918830782893</v>
      </c>
    </row>
    <row r="3239" customFormat="false" ht="12.75" hidden="false" customHeight="true" outlineLevel="0" collapsed="false">
      <c r="P3239" s="1" t="n">
        <v>3236</v>
      </c>
      <c r="Q3239" s="147" t="n">
        <v>72774.5905698272</v>
      </c>
      <c r="R3239" s="147" t="n">
        <v>0.268061086872415</v>
      </c>
      <c r="S3239" s="147" t="n">
        <v>0.0726637265363683</v>
      </c>
      <c r="T3239" s="147" t="n">
        <v>0.0321869421268661</v>
      </c>
    </row>
    <row r="3240" customFormat="false" ht="12.75" hidden="false" customHeight="true" outlineLevel="0" collapsed="false">
      <c r="P3240" s="1" t="n">
        <v>3237</v>
      </c>
      <c r="Q3240" s="147" t="n">
        <v>72797.3237409342</v>
      </c>
      <c r="R3240" s="147" t="n">
        <v>0.266788673406662</v>
      </c>
      <c r="S3240" s="147" t="n">
        <v>0.0850285623061514</v>
      </c>
      <c r="T3240" s="147" t="n">
        <v>0.0331350812188857</v>
      </c>
    </row>
    <row r="3241" customFormat="false" ht="12.75" hidden="false" customHeight="true" outlineLevel="0" collapsed="false">
      <c r="P3241" s="1" t="n">
        <v>3238</v>
      </c>
      <c r="Q3241" s="147" t="n">
        <v>72820.2425145992</v>
      </c>
      <c r="R3241" s="147" t="n">
        <v>0.265991208839399</v>
      </c>
      <c r="S3241" s="147" t="n">
        <v>0.0954114616428516</v>
      </c>
      <c r="T3241" s="147" t="n">
        <v>0.0335685277106232</v>
      </c>
    </row>
    <row r="3242" customFormat="false" ht="12.75" hidden="false" customHeight="true" outlineLevel="0" collapsed="false">
      <c r="P3242" s="1" t="n">
        <v>3239</v>
      </c>
      <c r="Q3242" s="147" t="n">
        <v>72843.0138292622</v>
      </c>
      <c r="R3242" s="147" t="n">
        <v>0.264661151279952</v>
      </c>
      <c r="S3242" s="147" t="n">
        <v>0.104691562633905</v>
      </c>
      <c r="T3242" s="147" t="n">
        <v>0.0330918053943926</v>
      </c>
    </row>
    <row r="3243" customFormat="false" ht="12.75" hidden="false" customHeight="true" outlineLevel="0" collapsed="false">
      <c r="P3243" s="1" t="n">
        <v>3240</v>
      </c>
      <c r="Q3243" s="147" t="n">
        <v>72865.5738050222</v>
      </c>
      <c r="R3243" s="147" t="n">
        <v>0.263615894945536</v>
      </c>
      <c r="S3243" s="147" t="n">
        <v>0.112216411513025</v>
      </c>
      <c r="T3243" s="147" t="n">
        <v>0.0319873507231499</v>
      </c>
    </row>
    <row r="3244" customFormat="false" ht="12.75" hidden="false" customHeight="true" outlineLevel="0" collapsed="false">
      <c r="P3244" s="1" t="n">
        <v>3241</v>
      </c>
      <c r="Q3244" s="147" t="n">
        <v>72888.1218263712</v>
      </c>
      <c r="R3244" s="147" t="n">
        <v>0.262654139444835</v>
      </c>
      <c r="S3244" s="147" t="n">
        <v>0.116788735043761</v>
      </c>
      <c r="T3244" s="147" t="n">
        <v>0.0301926996267109</v>
      </c>
    </row>
    <row r="3245" customFormat="false" ht="12.75" hidden="false" customHeight="true" outlineLevel="0" collapsed="false">
      <c r="P3245" s="1" t="n">
        <v>3242</v>
      </c>
      <c r="Q3245" s="147" t="n">
        <v>72910.7177567252</v>
      </c>
      <c r="R3245" s="147" t="n">
        <v>0.261853308538534</v>
      </c>
      <c r="S3245" s="147" t="n">
        <v>0.119424594912829</v>
      </c>
      <c r="T3245" s="147" t="n">
        <v>0.0280429870831915</v>
      </c>
    </row>
    <row r="3246" customFormat="false" ht="12.75" hidden="false" customHeight="true" outlineLevel="0" collapsed="false">
      <c r="P3246" s="1" t="n">
        <v>3243</v>
      </c>
      <c r="Q3246" s="147" t="n">
        <v>72932.5275277652</v>
      </c>
      <c r="R3246" s="147" t="n">
        <v>0.261455565148893</v>
      </c>
      <c r="S3246" s="147" t="n">
        <v>0.119798617646287</v>
      </c>
      <c r="T3246" s="147" t="n">
        <v>0.0253864474809508</v>
      </c>
    </row>
    <row r="3247" customFormat="false" ht="12.75" hidden="false" customHeight="true" outlineLevel="0" collapsed="false">
      <c r="P3247" s="1" t="n">
        <v>3244</v>
      </c>
      <c r="Q3247" s="147" t="n">
        <v>72955.2697442762</v>
      </c>
      <c r="R3247" s="147" t="n">
        <v>0.26110041818845</v>
      </c>
      <c r="S3247" s="147" t="n">
        <v>0.118297140190459</v>
      </c>
      <c r="T3247" s="147" t="n">
        <v>0.0229486348554217</v>
      </c>
    </row>
    <row r="3248" customFormat="false" ht="12.75" hidden="false" customHeight="true" outlineLevel="0" collapsed="false">
      <c r="P3248" s="1" t="n">
        <v>3245</v>
      </c>
      <c r="Q3248" s="147" t="n">
        <v>72977.6302925752</v>
      </c>
      <c r="R3248" s="147" t="n">
        <v>0.261053972821621</v>
      </c>
      <c r="S3248" s="147" t="n">
        <v>0.116126651753424</v>
      </c>
      <c r="T3248" s="147" t="n">
        <v>0.0206122702174545</v>
      </c>
    </row>
    <row r="3249" customFormat="false" ht="12.75" hidden="false" customHeight="true" outlineLevel="0" collapsed="false">
      <c r="P3249" s="1" t="n">
        <v>3246</v>
      </c>
      <c r="Q3249" s="147" t="n">
        <v>73000.1769215092</v>
      </c>
      <c r="R3249" s="147" t="n">
        <v>0.261854035933204</v>
      </c>
      <c r="S3249" s="147" t="n">
        <v>0.112441250664542</v>
      </c>
      <c r="T3249" s="147" t="n">
        <v>0.0185158886161781</v>
      </c>
    </row>
    <row r="3250" customFormat="false" ht="12.75" hidden="false" customHeight="true" outlineLevel="0" collapsed="false">
      <c r="P3250" s="1" t="n">
        <v>3247</v>
      </c>
      <c r="Q3250" s="147" t="n">
        <v>73022.6792280332</v>
      </c>
      <c r="R3250" s="147" t="n">
        <v>0.262200309744207</v>
      </c>
      <c r="S3250" s="147" t="n">
        <v>0.109417332035942</v>
      </c>
      <c r="T3250" s="147" t="n">
        <v>0.0170253418437168</v>
      </c>
    </row>
    <row r="3251" customFormat="false" ht="12.75" hidden="false" customHeight="true" outlineLevel="0" collapsed="false">
      <c r="P3251" s="1" t="n">
        <v>3248</v>
      </c>
      <c r="Q3251" s="147" t="n">
        <v>73045.2750056272</v>
      </c>
      <c r="R3251" s="147" t="n">
        <v>0.262985804963734</v>
      </c>
      <c r="S3251" s="147" t="n">
        <v>0.106717189035569</v>
      </c>
      <c r="T3251" s="147" t="n">
        <v>0.0161012811536322</v>
      </c>
    </row>
    <row r="3252" customFormat="false" ht="12.75" hidden="false" customHeight="true" outlineLevel="0" collapsed="false">
      <c r="P3252" s="1" t="n">
        <v>3249</v>
      </c>
      <c r="Q3252" s="147" t="n">
        <v>73067.7227501732</v>
      </c>
      <c r="R3252" s="147" t="n">
        <v>0.263778494610377</v>
      </c>
      <c r="S3252" s="147" t="n">
        <v>0.105396525699799</v>
      </c>
      <c r="T3252" s="147" t="n">
        <v>0.0153338272689204</v>
      </c>
    </row>
    <row r="3253" customFormat="false" ht="12.75" hidden="false" customHeight="true" outlineLevel="0" collapsed="false">
      <c r="P3253" s="1" t="n">
        <v>3250</v>
      </c>
      <c r="Q3253" s="147" t="n">
        <v>73089.8967310682</v>
      </c>
      <c r="R3253" s="147" t="n">
        <v>0.264626808082716</v>
      </c>
      <c r="S3253" s="147" t="n">
        <v>0.104736237343572</v>
      </c>
      <c r="T3253" s="147" t="n">
        <v>0.0148649361949607</v>
      </c>
    </row>
    <row r="3254" customFormat="false" ht="12.75" hidden="false" customHeight="true" outlineLevel="0" collapsed="false">
      <c r="P3254" s="1" t="n">
        <v>3251</v>
      </c>
      <c r="Q3254" s="147" t="n">
        <v>73111.7655095222</v>
      </c>
      <c r="R3254" s="147" t="n">
        <v>0.265470669621281</v>
      </c>
      <c r="S3254" s="147" t="n">
        <v>0.104563173992843</v>
      </c>
      <c r="T3254" s="147" t="n">
        <v>0.014522011514008</v>
      </c>
    </row>
    <row r="3255" customFormat="false" ht="12.75" hidden="false" customHeight="true" outlineLevel="0" collapsed="false">
      <c r="P3255" s="1" t="n">
        <v>3252</v>
      </c>
      <c r="Q3255" s="147" t="n">
        <v>73134.5797393102</v>
      </c>
      <c r="R3255" s="147" t="n">
        <v>0.266555134612116</v>
      </c>
      <c r="S3255" s="147" t="n">
        <v>0.103958211196382</v>
      </c>
      <c r="T3255" s="147" t="n">
        <v>0.0139309426179901</v>
      </c>
    </row>
    <row r="3256" customFormat="false" ht="12.75" hidden="false" customHeight="true" outlineLevel="0" collapsed="false">
      <c r="P3256" s="1" t="n">
        <v>3253</v>
      </c>
      <c r="Q3256" s="147" t="n">
        <v>73156.5419602152</v>
      </c>
      <c r="R3256" s="147" t="n">
        <v>0.267371705512071</v>
      </c>
      <c r="S3256" s="147" t="n">
        <v>0.103674204970095</v>
      </c>
      <c r="T3256" s="147" t="n">
        <v>0.0140878226798942</v>
      </c>
    </row>
    <row r="3257" customFormat="false" ht="12.75" hidden="false" customHeight="true" outlineLevel="0" collapsed="false">
      <c r="P3257" s="1" t="n">
        <v>3254</v>
      </c>
      <c r="Q3257" s="147" t="n">
        <v>73179.2183539922</v>
      </c>
      <c r="R3257" s="147" t="n">
        <v>0.268092610064373</v>
      </c>
      <c r="S3257" s="147" t="n">
        <v>0.102308449188326</v>
      </c>
      <c r="T3257" s="147" t="n">
        <v>0.013652354400481</v>
      </c>
    </row>
    <row r="3258" customFormat="false" ht="12.75" hidden="false" customHeight="true" outlineLevel="0" collapsed="false">
      <c r="P3258" s="1" t="n">
        <v>3255</v>
      </c>
      <c r="Q3258" s="147" t="n">
        <v>73201.6144916372</v>
      </c>
      <c r="R3258" s="147" t="n">
        <v>0.268807234960556</v>
      </c>
      <c r="S3258" s="147" t="n">
        <v>0.100675612413019</v>
      </c>
      <c r="T3258" s="147" t="n">
        <v>0.0141097491806894</v>
      </c>
    </row>
    <row r="3259" customFormat="false" ht="12.75" hidden="false" customHeight="true" outlineLevel="0" collapsed="false">
      <c r="P3259" s="1" t="n">
        <v>3256</v>
      </c>
      <c r="Q3259" s="147" t="n">
        <v>73224.0640384252</v>
      </c>
      <c r="R3259" s="147" t="n">
        <v>0.268853055640558</v>
      </c>
      <c r="S3259" s="147" t="n">
        <v>0.0994018438674655</v>
      </c>
      <c r="T3259" s="147" t="n">
        <v>0.0151860817818303</v>
      </c>
    </row>
    <row r="3260" customFormat="false" ht="12.75" hidden="false" customHeight="true" outlineLevel="0" collapsed="false">
      <c r="P3260" s="1" t="n">
        <v>3257</v>
      </c>
      <c r="Q3260" s="147" t="n">
        <v>73246.4824443492</v>
      </c>
      <c r="R3260" s="147" t="n">
        <v>0.268877885895172</v>
      </c>
      <c r="S3260" s="147" t="n">
        <v>0.0994938494060848</v>
      </c>
      <c r="T3260" s="147" t="n">
        <v>0.0157265215275304</v>
      </c>
    </row>
    <row r="3261" customFormat="false" ht="12.75" hidden="false" customHeight="true" outlineLevel="0" collapsed="false">
      <c r="P3261" s="1" t="n">
        <v>3258</v>
      </c>
      <c r="Q3261" s="147" t="n">
        <v>73269.3458411792</v>
      </c>
      <c r="R3261" s="147" t="n">
        <v>0.268134453333347</v>
      </c>
      <c r="S3261" s="147" t="n">
        <v>0.102356341505293</v>
      </c>
      <c r="T3261" s="147" t="n">
        <v>0.0165135508931713</v>
      </c>
    </row>
    <row r="3262" customFormat="false" ht="12.75" hidden="false" customHeight="true" outlineLevel="0" collapsed="false">
      <c r="P3262" s="1" t="n">
        <v>3259</v>
      </c>
      <c r="Q3262" s="147" t="n">
        <v>73291.9498213572</v>
      </c>
      <c r="R3262" s="147" t="n">
        <v>0.267220466668202</v>
      </c>
      <c r="S3262" s="147" t="n">
        <v>0.105863651302194</v>
      </c>
      <c r="T3262" s="147" t="n">
        <v>0.0168321530371395</v>
      </c>
    </row>
    <row r="3263" customFormat="false" ht="12.75" hidden="false" customHeight="true" outlineLevel="0" collapsed="false">
      <c r="P3263" s="1" t="n">
        <v>3260</v>
      </c>
      <c r="Q3263" s="147" t="n">
        <v>73314.7825970952</v>
      </c>
      <c r="R3263" s="147" t="n">
        <v>0.266280986792105</v>
      </c>
      <c r="S3263" s="147" t="n">
        <v>0.108608740933651</v>
      </c>
      <c r="T3263" s="147" t="n">
        <v>0.0164618565750386</v>
      </c>
    </row>
    <row r="3264" customFormat="false" ht="12.75" hidden="false" customHeight="true" outlineLevel="0" collapsed="false">
      <c r="P3264" s="1" t="n">
        <v>3261</v>
      </c>
      <c r="Q3264" s="147" t="n">
        <v>73337.0047990122</v>
      </c>
      <c r="R3264" s="147" t="n">
        <v>0.265951365094756</v>
      </c>
      <c r="S3264" s="147" t="n">
        <v>0.109253262731435</v>
      </c>
      <c r="T3264" s="147" t="n">
        <v>0.0157202510514485</v>
      </c>
    </row>
    <row r="3265" customFormat="false" ht="12.75" hidden="false" customHeight="true" outlineLevel="0" collapsed="false">
      <c r="P3265" s="1" t="n">
        <v>3262</v>
      </c>
      <c r="Q3265" s="147" t="n">
        <v>73359.1993063222</v>
      </c>
      <c r="R3265" s="147" t="n">
        <v>0.265838888177004</v>
      </c>
      <c r="S3265" s="147" t="n">
        <v>0.108617760602759</v>
      </c>
      <c r="T3265" s="147" t="n">
        <v>0.0155082350400152</v>
      </c>
    </row>
    <row r="3266" customFormat="false" ht="12.75" hidden="false" customHeight="true" outlineLevel="0" collapsed="false">
      <c r="P3266" s="1" t="n">
        <v>3263</v>
      </c>
      <c r="Q3266" s="147" t="n">
        <v>73381.2703363642</v>
      </c>
      <c r="R3266" s="147" t="n">
        <v>0.266327825844754</v>
      </c>
      <c r="S3266" s="147" t="n">
        <v>0.107337610122995</v>
      </c>
      <c r="T3266" s="147" t="n">
        <v>0.0153301209108817</v>
      </c>
    </row>
    <row r="3267" customFormat="false" ht="12.75" hidden="false" customHeight="true" outlineLevel="0" collapsed="false">
      <c r="P3267" s="1" t="n">
        <v>3264</v>
      </c>
      <c r="Q3267" s="147" t="n">
        <v>73403.5486835042</v>
      </c>
      <c r="R3267" s="147" t="n">
        <v>0.266867634431108</v>
      </c>
      <c r="S3267" s="147" t="n">
        <v>0.106517412299877</v>
      </c>
      <c r="T3267" s="147" t="n">
        <v>0.0151399119258061</v>
      </c>
    </row>
    <row r="3268" customFormat="false" ht="12.75" hidden="false" customHeight="true" outlineLevel="0" collapsed="false">
      <c r="P3268" s="1" t="n">
        <v>3265</v>
      </c>
      <c r="Q3268" s="147" t="n">
        <v>73426.0651219573</v>
      </c>
      <c r="R3268" s="147" t="n">
        <v>0.267793265545972</v>
      </c>
      <c r="S3268" s="147" t="n">
        <v>0.108014927862844</v>
      </c>
      <c r="T3268" s="147" t="n">
        <v>0.0139949129506827</v>
      </c>
    </row>
    <row r="3269" customFormat="false" ht="12.75" hidden="false" customHeight="true" outlineLevel="0" collapsed="false">
      <c r="P3269" s="1" t="n">
        <v>3266</v>
      </c>
      <c r="Q3269" s="147" t="n">
        <v>73448.6074003352</v>
      </c>
      <c r="R3269" s="147" t="n">
        <v>0.26841284080176</v>
      </c>
      <c r="S3269" s="147" t="n">
        <v>0.109345208128923</v>
      </c>
      <c r="T3269" s="147" t="n">
        <v>0.0144169046027601</v>
      </c>
    </row>
    <row r="3270" customFormat="false" ht="12.75" hidden="false" customHeight="true" outlineLevel="0" collapsed="false">
      <c r="P3270" s="1" t="n">
        <v>3267</v>
      </c>
      <c r="Q3270" s="147" t="n">
        <v>73471.1135652402</v>
      </c>
      <c r="R3270" s="147" t="n">
        <v>0.269077802453566</v>
      </c>
      <c r="S3270" s="147" t="n">
        <v>0.109476487879661</v>
      </c>
      <c r="T3270" s="147" t="n">
        <v>0.0149129905314631</v>
      </c>
    </row>
    <row r="3271" customFormat="false" ht="12.75" hidden="false" customHeight="true" outlineLevel="0" collapsed="false">
      <c r="P3271" s="1" t="n">
        <v>3268</v>
      </c>
      <c r="Q3271" s="147" t="n">
        <v>73493.3968863393</v>
      </c>
      <c r="R3271" s="147" t="n">
        <v>0.269565927634117</v>
      </c>
      <c r="S3271" s="147" t="n">
        <v>0.108884044223711</v>
      </c>
      <c r="T3271" s="147" t="n">
        <v>0.0150909143375359</v>
      </c>
    </row>
    <row r="3272" customFormat="false" ht="12.75" hidden="false" customHeight="true" outlineLevel="0" collapsed="false">
      <c r="P3272" s="1" t="n">
        <v>3269</v>
      </c>
      <c r="Q3272" s="147" t="n">
        <v>73515.2971451543</v>
      </c>
      <c r="R3272" s="147" t="n">
        <v>0.270096949898346</v>
      </c>
      <c r="S3272" s="147" t="n">
        <v>0.108274141159921</v>
      </c>
      <c r="T3272" s="147" t="n">
        <v>0.0157657810608094</v>
      </c>
    </row>
    <row r="3273" customFormat="false" ht="12.75" hidden="false" customHeight="true" outlineLevel="0" collapsed="false">
      <c r="P3273" s="1" t="n">
        <v>3270</v>
      </c>
      <c r="Q3273" s="147" t="n">
        <v>73537.9458499603</v>
      </c>
      <c r="R3273" s="147" t="n">
        <v>0.269638546571406</v>
      </c>
      <c r="S3273" s="147" t="n">
        <v>0.105889457693237</v>
      </c>
      <c r="T3273" s="147" t="n">
        <v>0.0156216778272161</v>
      </c>
    </row>
    <row r="3274" customFormat="false" ht="12.75" hidden="false" customHeight="true" outlineLevel="0" collapsed="false">
      <c r="P3274" s="1" t="n">
        <v>3271</v>
      </c>
      <c r="Q3274" s="147" t="n">
        <v>73559.8032635282</v>
      </c>
      <c r="R3274" s="147" t="n">
        <v>0.270446545750444</v>
      </c>
      <c r="S3274" s="147" t="n">
        <v>0.10505138047158</v>
      </c>
      <c r="T3274" s="147" t="n">
        <v>0.0157508442691131</v>
      </c>
    </row>
    <row r="3275" customFormat="false" ht="12.75" hidden="false" customHeight="true" outlineLevel="0" collapsed="false">
      <c r="P3275" s="1" t="n">
        <v>3272</v>
      </c>
      <c r="Q3275" s="147" t="n">
        <v>73582.6788437523</v>
      </c>
      <c r="R3275" s="147" t="n">
        <v>0.269828639956968</v>
      </c>
      <c r="S3275" s="147" t="n">
        <v>0.0997206138150159</v>
      </c>
      <c r="T3275" s="147" t="n">
        <v>0.0170957530179245</v>
      </c>
    </row>
    <row r="3276" customFormat="false" ht="12.75" hidden="false" customHeight="true" outlineLevel="0" collapsed="false">
      <c r="P3276" s="1" t="n">
        <v>3273</v>
      </c>
      <c r="Q3276" s="147" t="n">
        <v>73605.0121876493</v>
      </c>
      <c r="R3276" s="147" t="n">
        <v>0.269664882061261</v>
      </c>
      <c r="S3276" s="147" t="n">
        <v>0.0966330934518995</v>
      </c>
      <c r="T3276" s="147" t="n">
        <v>0.0175821418310557</v>
      </c>
    </row>
    <row r="3277" customFormat="false" ht="12.75" hidden="false" customHeight="true" outlineLevel="0" collapsed="false">
      <c r="P3277" s="1" t="n">
        <v>3274</v>
      </c>
      <c r="Q3277" s="147" t="n">
        <v>73627.2617284263</v>
      </c>
      <c r="R3277" s="147" t="n">
        <v>0.26881301710024</v>
      </c>
      <c r="S3277" s="147" t="n">
        <v>0.0942045061085932</v>
      </c>
      <c r="T3277" s="147" t="n">
        <v>0.0185359587523335</v>
      </c>
    </row>
    <row r="3278" customFormat="false" ht="12.75" hidden="false" customHeight="true" outlineLevel="0" collapsed="false">
      <c r="P3278" s="1" t="n">
        <v>3275</v>
      </c>
      <c r="Q3278" s="147" t="n">
        <v>73650.0200158673</v>
      </c>
      <c r="R3278" s="147" t="n">
        <v>0.268512304460277</v>
      </c>
      <c r="S3278" s="147" t="n">
        <v>0.0924946840747117</v>
      </c>
      <c r="T3278" s="147" t="n">
        <v>0.0201325450636401</v>
      </c>
    </row>
    <row r="3279" customFormat="false" ht="12.75" hidden="false" customHeight="true" outlineLevel="0" collapsed="false">
      <c r="P3279" s="1" t="n">
        <v>3276</v>
      </c>
      <c r="Q3279" s="147" t="n">
        <v>73672.8732786223</v>
      </c>
      <c r="R3279" s="147" t="n">
        <v>0.267888170070764</v>
      </c>
      <c r="S3279" s="147" t="n">
        <v>0.0927970432877501</v>
      </c>
      <c r="T3279" s="147" t="n">
        <v>0.021863672594708</v>
      </c>
    </row>
    <row r="3280" customFormat="false" ht="12.75" hidden="false" customHeight="true" outlineLevel="0" collapsed="false">
      <c r="P3280" s="1" t="n">
        <v>3277</v>
      </c>
      <c r="Q3280" s="147" t="n">
        <v>73695.3903948823</v>
      </c>
      <c r="R3280" s="147" t="n">
        <v>0.26755344899525</v>
      </c>
      <c r="S3280" s="147" t="n">
        <v>0.0950228698145769</v>
      </c>
      <c r="T3280" s="147" t="n">
        <v>0.0237148500118252</v>
      </c>
    </row>
    <row r="3281" customFormat="false" ht="12.75" hidden="false" customHeight="true" outlineLevel="0" collapsed="false">
      <c r="P3281" s="1" t="n">
        <v>3278</v>
      </c>
      <c r="Q3281" s="147" t="n">
        <v>73717.1502203173</v>
      </c>
      <c r="R3281" s="147" t="n">
        <v>0.267062447001936</v>
      </c>
      <c r="S3281" s="147" t="n">
        <v>0.0950394805279728</v>
      </c>
      <c r="T3281" s="147" t="n">
        <v>0.025406616397261</v>
      </c>
    </row>
    <row r="3282" customFormat="false" ht="12.75" hidden="false" customHeight="true" outlineLevel="0" collapsed="false">
      <c r="P3282" s="1" t="n">
        <v>3279</v>
      </c>
      <c r="Q3282" s="147" t="n">
        <v>73739.8944030653</v>
      </c>
      <c r="R3282" s="147" t="n">
        <v>0.267689430333991</v>
      </c>
      <c r="S3282" s="147" t="n">
        <v>0.0952465783815288</v>
      </c>
      <c r="T3282" s="147" t="n">
        <v>0.0270217682705949</v>
      </c>
    </row>
    <row r="3283" customFormat="false" ht="12.75" hidden="false" customHeight="true" outlineLevel="0" collapsed="false">
      <c r="P3283" s="1" t="n">
        <v>3280</v>
      </c>
      <c r="Q3283" s="147" t="n">
        <v>73761.8312431113</v>
      </c>
      <c r="R3283" s="147" t="n">
        <v>0.267384708237308</v>
      </c>
      <c r="S3283" s="147" t="n">
        <v>0.0943526046993925</v>
      </c>
      <c r="T3283" s="147" t="n">
        <v>0.0285619927352348</v>
      </c>
    </row>
    <row r="3284" customFormat="false" ht="12.75" hidden="false" customHeight="true" outlineLevel="0" collapsed="false">
      <c r="P3284" s="1" t="n">
        <v>3281</v>
      </c>
      <c r="Q3284" s="147" t="n">
        <v>73784.4244283923</v>
      </c>
      <c r="R3284" s="147" t="n">
        <v>0.268328400950802</v>
      </c>
      <c r="S3284" s="147" t="n">
        <v>0.0915675474611133</v>
      </c>
      <c r="T3284" s="147" t="n">
        <v>0.0300483225871346</v>
      </c>
    </row>
    <row r="3285" customFormat="false" ht="12.75" hidden="false" customHeight="true" outlineLevel="0" collapsed="false">
      <c r="P3285" s="1" t="n">
        <v>3282</v>
      </c>
      <c r="Q3285" s="147" t="n">
        <v>73806.8613733183</v>
      </c>
      <c r="R3285" s="147" t="n">
        <v>0.269361067374117</v>
      </c>
      <c r="S3285" s="147" t="n">
        <v>0.0901130920422572</v>
      </c>
      <c r="T3285" s="147" t="n">
        <v>0.0311552711906653</v>
      </c>
    </row>
    <row r="3286" customFormat="false" ht="12.75" hidden="false" customHeight="true" outlineLevel="0" collapsed="false">
      <c r="P3286" s="1" t="n">
        <v>3283</v>
      </c>
      <c r="Q3286" s="147" t="n">
        <v>73829.5545222633</v>
      </c>
      <c r="R3286" s="147" t="n">
        <v>0.269751775857544</v>
      </c>
      <c r="S3286" s="147" t="n">
        <v>0.0880503731645958</v>
      </c>
      <c r="T3286" s="147" t="n">
        <v>0.0319905067221688</v>
      </c>
    </row>
    <row r="3287" customFormat="false" ht="12.75" hidden="false" customHeight="true" outlineLevel="0" collapsed="false">
      <c r="P3287" s="1" t="n">
        <v>3284</v>
      </c>
      <c r="Q3287" s="147" t="n">
        <v>73852.1675973433</v>
      </c>
      <c r="R3287" s="147" t="n">
        <v>0.270271724248449</v>
      </c>
      <c r="S3287" s="147" t="n">
        <v>0.0848173096249722</v>
      </c>
      <c r="T3287" s="147" t="n">
        <v>0.0325501673799624</v>
      </c>
    </row>
    <row r="3288" customFormat="false" ht="12.75" hidden="false" customHeight="true" outlineLevel="0" collapsed="false">
      <c r="P3288" s="1" t="n">
        <v>3285</v>
      </c>
      <c r="Q3288" s="147" t="n">
        <v>73875.0981929243</v>
      </c>
      <c r="R3288" s="147" t="n">
        <v>0.270834019681843</v>
      </c>
      <c r="S3288" s="147" t="n">
        <v>0.0810419950445341</v>
      </c>
      <c r="T3288" s="147" t="n">
        <v>0.0324596709010943</v>
      </c>
    </row>
    <row r="3289" customFormat="false" ht="12.75" hidden="false" customHeight="true" outlineLevel="0" collapsed="false">
      <c r="P3289" s="1" t="n">
        <v>3286</v>
      </c>
      <c r="Q3289" s="147" t="n">
        <v>73897.2374331393</v>
      </c>
      <c r="R3289" s="147" t="n">
        <v>0.271017230482906</v>
      </c>
      <c r="S3289" s="147" t="n">
        <v>0.0796162440340239</v>
      </c>
      <c r="T3289" s="147" t="n">
        <v>0.0323100682613196</v>
      </c>
    </row>
    <row r="3290" customFormat="false" ht="12.75" hidden="false" customHeight="true" outlineLevel="0" collapsed="false">
      <c r="P3290" s="1" t="n">
        <v>3287</v>
      </c>
      <c r="Q3290" s="147" t="n">
        <v>73920.4218387403</v>
      </c>
      <c r="R3290" s="147" t="n">
        <v>0.271202485129211</v>
      </c>
      <c r="S3290" s="147" t="n">
        <v>0.0755908749438649</v>
      </c>
      <c r="T3290" s="147" t="n">
        <v>0.0325976400680593</v>
      </c>
    </row>
    <row r="3291" customFormat="false" ht="12.75" hidden="false" customHeight="true" outlineLevel="0" collapsed="false">
      <c r="P3291" s="1" t="n">
        <v>3288</v>
      </c>
      <c r="Q3291" s="147" t="n">
        <v>73942.5079515502</v>
      </c>
      <c r="R3291" s="147" t="n">
        <v>0.271525801632407</v>
      </c>
      <c r="S3291" s="147" t="n">
        <v>0.0752542956643371</v>
      </c>
      <c r="T3291" s="147" t="n">
        <v>0.0323180635602972</v>
      </c>
    </row>
    <row r="3292" customFormat="false" ht="12.75" hidden="false" customHeight="true" outlineLevel="0" collapsed="false">
      <c r="P3292" s="1" t="n">
        <v>3289</v>
      </c>
      <c r="Q3292" s="147" t="n">
        <v>73965.5436747243</v>
      </c>
      <c r="R3292" s="147" t="n">
        <v>0.271358042074721</v>
      </c>
      <c r="S3292" s="147" t="n">
        <v>0.0715524500945951</v>
      </c>
      <c r="T3292" s="147" t="n">
        <v>0.0343018392575413</v>
      </c>
    </row>
    <row r="3293" customFormat="false" ht="12.75" hidden="false" customHeight="true" outlineLevel="0" collapsed="false">
      <c r="P3293" s="1" t="n">
        <v>3290</v>
      </c>
      <c r="Q3293" s="147" t="n">
        <v>73988.0627860633</v>
      </c>
      <c r="R3293" s="147" t="n">
        <v>0.272160886176528</v>
      </c>
      <c r="S3293" s="147" t="n">
        <v>0.0709046220176988</v>
      </c>
      <c r="T3293" s="147" t="n">
        <v>0.0342346137353231</v>
      </c>
    </row>
    <row r="3294" customFormat="false" ht="12.75" hidden="false" customHeight="true" outlineLevel="0" collapsed="false">
      <c r="P3294" s="1" t="n">
        <v>3291</v>
      </c>
      <c r="Q3294" s="147" t="n">
        <v>74011.2494101653</v>
      </c>
      <c r="R3294" s="147" t="n">
        <v>0.271923491568758</v>
      </c>
      <c r="S3294" s="147" t="n">
        <v>0.0671942979716563</v>
      </c>
      <c r="T3294" s="147" t="n">
        <v>0.0364025961648079</v>
      </c>
    </row>
    <row r="3295" customFormat="false" ht="12.75" hidden="false" customHeight="true" outlineLevel="0" collapsed="false">
      <c r="P3295" s="1" t="n">
        <v>3292</v>
      </c>
      <c r="Q3295" s="147" t="n">
        <v>74033.8175916383</v>
      </c>
      <c r="R3295" s="147" t="n">
        <v>0.272718600173114</v>
      </c>
      <c r="S3295" s="147" t="n">
        <v>0.0663820168173093</v>
      </c>
      <c r="T3295" s="147" t="n">
        <v>0.0368705711397373</v>
      </c>
    </row>
    <row r="3296" customFormat="false" ht="12.75" hidden="false" customHeight="true" outlineLevel="0" collapsed="false">
      <c r="P3296" s="1" t="n">
        <v>3293</v>
      </c>
      <c r="Q3296" s="147" t="n">
        <v>74056.6128275883</v>
      </c>
      <c r="R3296" s="147" t="n">
        <v>0.272240338508842</v>
      </c>
      <c r="S3296" s="147" t="n">
        <v>0.0645748777369442</v>
      </c>
      <c r="T3296" s="147" t="n">
        <v>0.0381684566104707</v>
      </c>
    </row>
    <row r="3297" customFormat="false" ht="12.75" hidden="false" customHeight="true" outlineLevel="0" collapsed="false">
      <c r="P3297" s="1" t="n">
        <v>3294</v>
      </c>
      <c r="Q3297" s="147" t="n">
        <v>74079.0819449733</v>
      </c>
      <c r="R3297" s="147" t="n">
        <v>0.272337298105993</v>
      </c>
      <c r="S3297" s="147" t="n">
        <v>0.0635493529712025</v>
      </c>
      <c r="T3297" s="147" t="n">
        <v>0.0388470667597856</v>
      </c>
    </row>
    <row r="3298" customFormat="false" ht="12.75" hidden="false" customHeight="true" outlineLevel="0" collapsed="false">
      <c r="P3298" s="1" t="n">
        <v>3295</v>
      </c>
      <c r="Q3298" s="147" t="n">
        <v>74101.5513903473</v>
      </c>
      <c r="R3298" s="147" t="n">
        <v>0.271590515906565</v>
      </c>
      <c r="S3298" s="147" t="n">
        <v>0.0638088743608481</v>
      </c>
      <c r="T3298" s="147" t="n">
        <v>0.0389066007883135</v>
      </c>
    </row>
    <row r="3299" customFormat="false" ht="12.75" hidden="false" customHeight="true" outlineLevel="0" collapsed="false">
      <c r="P3299" s="1" t="n">
        <v>3296</v>
      </c>
      <c r="Q3299" s="147" t="n">
        <v>74124.3463779693</v>
      </c>
      <c r="R3299" s="147" t="n">
        <v>0.271020934461105</v>
      </c>
      <c r="S3299" s="147" t="n">
        <v>0.0650774562276686</v>
      </c>
      <c r="T3299" s="147" t="n">
        <v>0.0386435398038744</v>
      </c>
    </row>
    <row r="3300" customFormat="false" ht="12.75" hidden="false" customHeight="true" outlineLevel="0" collapsed="false">
      <c r="P3300" s="1" t="n">
        <v>3297</v>
      </c>
      <c r="Q3300" s="147" t="n">
        <v>74147.1305416353</v>
      </c>
      <c r="R3300" s="147" t="n">
        <v>0.270356173677935</v>
      </c>
      <c r="S3300" s="147" t="n">
        <v>0.0678559755614083</v>
      </c>
      <c r="T3300" s="147" t="n">
        <v>0.0380932077201089</v>
      </c>
    </row>
    <row r="3301" customFormat="false" ht="12.75" hidden="false" customHeight="true" outlineLevel="0" collapsed="false">
      <c r="P3301" s="1" t="n">
        <v>3298</v>
      </c>
      <c r="Q3301" s="147" t="n">
        <v>74169.5180985713</v>
      </c>
      <c r="R3301" s="147" t="n">
        <v>0.269688092882369</v>
      </c>
      <c r="S3301" s="147" t="n">
        <v>0.0721420206179265</v>
      </c>
      <c r="T3301" s="147" t="n">
        <v>0.0365271897458482</v>
      </c>
    </row>
    <row r="3302" customFormat="false" ht="12.75" hidden="false" customHeight="true" outlineLevel="0" collapsed="false">
      <c r="P3302" s="1" t="n">
        <v>3299</v>
      </c>
      <c r="Q3302" s="147" t="n">
        <v>74192.1696749963</v>
      </c>
      <c r="R3302" s="147" t="n">
        <v>0.269296277273281</v>
      </c>
      <c r="S3302" s="147" t="n">
        <v>0.0770027825035367</v>
      </c>
      <c r="T3302" s="147" t="n">
        <v>0.0352783516775273</v>
      </c>
    </row>
    <row r="3303" customFormat="false" ht="12.75" hidden="false" customHeight="true" outlineLevel="0" collapsed="false">
      <c r="P3303" s="1" t="n">
        <v>3300</v>
      </c>
      <c r="Q3303" s="147" t="n">
        <v>74214.7753317373</v>
      </c>
      <c r="R3303" s="147" t="n">
        <v>0.269297242785969</v>
      </c>
      <c r="S3303" s="147" t="n">
        <v>0.0801691161694147</v>
      </c>
      <c r="T3303" s="147" t="n">
        <v>0.0339697271182228</v>
      </c>
    </row>
    <row r="3304" customFormat="false" ht="12.75" hidden="false" customHeight="true" outlineLevel="0" collapsed="false">
      <c r="P3304" s="1" t="n">
        <v>3301</v>
      </c>
      <c r="Q3304" s="147" t="n">
        <v>74237.5122019453</v>
      </c>
      <c r="R3304" s="147" t="n">
        <v>0.269743728024237</v>
      </c>
      <c r="S3304" s="147" t="n">
        <v>0.0819927454905975</v>
      </c>
      <c r="T3304" s="147" t="n">
        <v>0.0325475595778601</v>
      </c>
    </row>
    <row r="3305" customFormat="false" ht="12.75" hidden="false" customHeight="true" outlineLevel="0" collapsed="false">
      <c r="P3305" s="1" t="n">
        <v>3302</v>
      </c>
      <c r="Q3305" s="147" t="n">
        <v>74259.9299176483</v>
      </c>
      <c r="R3305" s="147" t="n">
        <v>0.2704131804343</v>
      </c>
      <c r="S3305" s="147" t="n">
        <v>0.0827589655001311</v>
      </c>
      <c r="T3305" s="147" t="n">
        <v>0.0316097338328244</v>
      </c>
    </row>
    <row r="3306" customFormat="false" ht="12.75" hidden="false" customHeight="true" outlineLevel="0" collapsed="false">
      <c r="P3306" s="1" t="n">
        <v>3303</v>
      </c>
      <c r="Q3306" s="147" t="n">
        <v>74282.4058909563</v>
      </c>
      <c r="R3306" s="147" t="n">
        <v>0.271491631299932</v>
      </c>
      <c r="S3306" s="147" t="n">
        <v>0.0818968660454244</v>
      </c>
      <c r="T3306" s="147" t="n">
        <v>0.0312745444972709</v>
      </c>
    </row>
    <row r="3307" customFormat="false" ht="12.75" hidden="false" customHeight="true" outlineLevel="0" collapsed="false">
      <c r="P3307" s="1" t="n">
        <v>3304</v>
      </c>
      <c r="Q3307" s="147" t="n">
        <v>74305.0761265433</v>
      </c>
      <c r="R3307" s="147" t="n">
        <v>0.272634276858405</v>
      </c>
      <c r="S3307" s="147" t="n">
        <v>0.0796252550757107</v>
      </c>
      <c r="T3307" s="147" t="n">
        <v>0.0315193702896962</v>
      </c>
    </row>
    <row r="3308" customFormat="false" ht="12.75" hidden="false" customHeight="true" outlineLevel="0" collapsed="false">
      <c r="P3308" s="1" t="n">
        <v>3305</v>
      </c>
      <c r="Q3308" s="147" t="n">
        <v>74327.9783922853</v>
      </c>
      <c r="R3308" s="147" t="n">
        <v>0.273651601832835</v>
      </c>
      <c r="S3308" s="147" t="n">
        <v>0.076197515623042</v>
      </c>
      <c r="T3308" s="147" t="n">
        <v>0.0323961989924216</v>
      </c>
    </row>
    <row r="3309" customFormat="false" ht="12.75" hidden="false" customHeight="true" outlineLevel="0" collapsed="false">
      <c r="P3309" s="1" t="n">
        <v>3306</v>
      </c>
      <c r="Q3309" s="147" t="n">
        <v>74350.7919698973</v>
      </c>
      <c r="R3309" s="147" t="n">
        <v>0.274659328174387</v>
      </c>
      <c r="S3309" s="147" t="n">
        <v>0.0737761486455099</v>
      </c>
      <c r="T3309" s="147" t="n">
        <v>0.033010764551693</v>
      </c>
    </row>
    <row r="3310" customFormat="false" ht="12.75" hidden="false" customHeight="true" outlineLevel="0" collapsed="false">
      <c r="P3310" s="1" t="n">
        <v>3307</v>
      </c>
      <c r="Q3310" s="147" t="n">
        <v>74373.2672160843</v>
      </c>
      <c r="R3310" s="147" t="n">
        <v>0.275020243983693</v>
      </c>
      <c r="S3310" s="147" t="n">
        <v>0.0712067729857302</v>
      </c>
      <c r="T3310" s="147" t="n">
        <v>0.0343228245617852</v>
      </c>
    </row>
    <row r="3311" customFormat="false" ht="12.75" hidden="false" customHeight="true" outlineLevel="0" collapsed="false">
      <c r="P3311" s="1" t="n">
        <v>3308</v>
      </c>
      <c r="Q3311" s="147" t="n">
        <v>74395.5845068933</v>
      </c>
      <c r="R3311" s="147" t="n">
        <v>0.274933436873949</v>
      </c>
      <c r="S3311" s="147" t="n">
        <v>0.0710810186708874</v>
      </c>
      <c r="T3311" s="147" t="n">
        <v>0.0348726059097347</v>
      </c>
    </row>
    <row r="3312" customFormat="false" ht="12.75" hidden="false" customHeight="true" outlineLevel="0" collapsed="false">
      <c r="P3312" s="1" t="n">
        <v>3309</v>
      </c>
      <c r="Q3312" s="147" t="n">
        <v>74418.3500223293</v>
      </c>
      <c r="R3312" s="147" t="n">
        <v>0.274104845595901</v>
      </c>
      <c r="S3312" s="147" t="n">
        <v>0.0682783213678022</v>
      </c>
      <c r="T3312" s="147" t="n">
        <v>0.0363170573650293</v>
      </c>
    </row>
    <row r="3313" customFormat="false" ht="12.75" hidden="false" customHeight="true" outlineLevel="0" collapsed="false">
      <c r="P3313" s="1" t="n">
        <v>3310</v>
      </c>
      <c r="Q3313" s="147" t="n">
        <v>74440.4951556382</v>
      </c>
      <c r="R3313" s="147" t="n">
        <v>0.273553247448519</v>
      </c>
      <c r="S3313" s="147" t="n">
        <v>0.0690048278632404</v>
      </c>
      <c r="T3313" s="147" t="n">
        <v>0.0358197502548622</v>
      </c>
    </row>
    <row r="3314" customFormat="false" ht="12.75" hidden="false" customHeight="true" outlineLevel="0" collapsed="false">
      <c r="P3314" s="1" t="n">
        <v>3311</v>
      </c>
      <c r="Q3314" s="147" t="n">
        <v>74463.2574143583</v>
      </c>
      <c r="R3314" s="147" t="n">
        <v>0.272492119274346</v>
      </c>
      <c r="S3314" s="147" t="n">
        <v>0.0648551728158869</v>
      </c>
      <c r="T3314" s="147" t="n">
        <v>0.0354873498206133</v>
      </c>
    </row>
    <row r="3315" customFormat="false" ht="12.75" hidden="false" customHeight="true" outlineLevel="0" collapsed="false">
      <c r="P3315" s="1" t="n">
        <v>3312</v>
      </c>
      <c r="Q3315" s="147" t="n">
        <v>74485.8954068842</v>
      </c>
      <c r="R3315" s="147" t="n">
        <v>0.271812247309967</v>
      </c>
      <c r="S3315" s="147" t="n">
        <v>0.0623941760118706</v>
      </c>
      <c r="T3315" s="147" t="n">
        <v>0.0346202503285761</v>
      </c>
    </row>
    <row r="3316" customFormat="false" ht="12.75" hidden="false" customHeight="true" outlineLevel="0" collapsed="false">
      <c r="P3316" s="1" t="n">
        <v>3313</v>
      </c>
      <c r="Q3316" s="147" t="n">
        <v>74508.4842788792</v>
      </c>
      <c r="R3316" s="147" t="n">
        <v>0.271004444433272</v>
      </c>
      <c r="S3316" s="147" t="n">
        <v>0.0595676096731225</v>
      </c>
      <c r="T3316" s="147" t="n">
        <v>0.033886199641381</v>
      </c>
    </row>
    <row r="3317" customFormat="false" ht="12.75" hidden="false" customHeight="true" outlineLevel="0" collapsed="false">
      <c r="P3317" s="1" t="n">
        <v>3314</v>
      </c>
      <c r="Q3317" s="147" t="n">
        <v>74531.0915353702</v>
      </c>
      <c r="R3317" s="147" t="n">
        <v>0.270479586696813</v>
      </c>
      <c r="S3317" s="147" t="n">
        <v>0.0565215095786029</v>
      </c>
      <c r="T3317" s="147" t="n">
        <v>0.0332340482492505</v>
      </c>
    </row>
    <row r="3318" customFormat="false" ht="12.75" hidden="false" customHeight="true" outlineLevel="0" collapsed="false">
      <c r="P3318" s="1" t="n">
        <v>3315</v>
      </c>
      <c r="Q3318" s="147" t="n">
        <v>74553.8190152823</v>
      </c>
      <c r="R3318" s="147" t="n">
        <v>0.270391029989612</v>
      </c>
      <c r="S3318" s="147" t="n">
        <v>0.0549391494724668</v>
      </c>
      <c r="T3318" s="147" t="n">
        <v>0.0329718595458962</v>
      </c>
    </row>
    <row r="3319" customFormat="false" ht="12.75" hidden="false" customHeight="true" outlineLevel="0" collapsed="false">
      <c r="P3319" s="1" t="n">
        <v>3316</v>
      </c>
      <c r="Q3319" s="147" t="n">
        <v>74576.3649957113</v>
      </c>
      <c r="R3319" s="147" t="n">
        <v>0.270481207727705</v>
      </c>
      <c r="S3319" s="147" t="n">
        <v>0.0528630675511214</v>
      </c>
      <c r="T3319" s="147" t="n">
        <v>0.0327830657761943</v>
      </c>
    </row>
    <row r="3320" customFormat="false" ht="12.75" hidden="false" customHeight="true" outlineLevel="0" collapsed="false">
      <c r="P3320" s="1" t="n">
        <v>3317</v>
      </c>
      <c r="Q3320" s="147" t="n">
        <v>74598.9935279953</v>
      </c>
      <c r="R3320" s="147" t="n">
        <v>0.270838471036606</v>
      </c>
      <c r="S3320" s="147" t="n">
        <v>0.0509417248195864</v>
      </c>
      <c r="T3320" s="147" t="n">
        <v>0.0326695213798408</v>
      </c>
    </row>
    <row r="3321" customFormat="false" ht="12.75" hidden="false" customHeight="true" outlineLevel="0" collapsed="false">
      <c r="P3321" s="1" t="n">
        <v>3318</v>
      </c>
      <c r="Q3321" s="147" t="n">
        <v>74621.3498748663</v>
      </c>
      <c r="R3321" s="147" t="n">
        <v>0.271401036567658</v>
      </c>
      <c r="S3321" s="147" t="n">
        <v>0.0477016379538776</v>
      </c>
      <c r="T3321" s="147" t="n">
        <v>0.0327288243980722</v>
      </c>
    </row>
    <row r="3322" customFormat="false" ht="12.75" hidden="false" customHeight="true" outlineLevel="0" collapsed="false">
      <c r="P3322" s="1" t="n">
        <v>3319</v>
      </c>
      <c r="Q3322" s="147" t="n">
        <v>74643.6585021803</v>
      </c>
      <c r="R3322" s="147" t="n">
        <v>0.272312820756991</v>
      </c>
      <c r="S3322" s="147" t="n">
        <v>0.0450733750064234</v>
      </c>
      <c r="T3322" s="147" t="n">
        <v>0.0325189709326047</v>
      </c>
    </row>
    <row r="3323" customFormat="false" ht="12.75" hidden="false" customHeight="true" outlineLevel="0" collapsed="false">
      <c r="P3323" s="1" t="n">
        <v>3320</v>
      </c>
      <c r="Q3323" s="147" t="n">
        <v>74665.8219955033</v>
      </c>
      <c r="R3323" s="147" t="n">
        <v>0.272957741719199</v>
      </c>
      <c r="S3323" s="147" t="n">
        <v>0.0415089038282956</v>
      </c>
      <c r="T3323" s="147" t="n">
        <v>0.0323679344216707</v>
      </c>
    </row>
    <row r="3324" customFormat="false" ht="12.75" hidden="false" customHeight="true" outlineLevel="0" collapsed="false">
      <c r="P3324" s="1" t="n">
        <v>3321</v>
      </c>
      <c r="Q3324" s="147" t="n">
        <v>74688.3034741653</v>
      </c>
      <c r="R3324" s="147" t="n">
        <v>0.274003293924555</v>
      </c>
      <c r="S3324" s="147" t="n">
        <v>0.039905217513079</v>
      </c>
      <c r="T3324" s="147" t="n">
        <v>0.031680354662819</v>
      </c>
    </row>
    <row r="3325" customFormat="false" ht="12.75" hidden="false" customHeight="true" outlineLevel="0" collapsed="false">
      <c r="P3325" s="1" t="n">
        <v>3322</v>
      </c>
      <c r="Q3325" s="147" t="n">
        <v>74709.9100553623</v>
      </c>
      <c r="R3325" s="147" t="n">
        <v>0.274506432914648</v>
      </c>
      <c r="S3325" s="147" t="n">
        <v>0.0382279870541113</v>
      </c>
      <c r="T3325" s="147" t="n">
        <v>0.0316498598017749</v>
      </c>
    </row>
    <row r="3326" customFormat="false" ht="12.75" hidden="false" customHeight="true" outlineLevel="0" collapsed="false">
      <c r="P3326" s="1" t="n">
        <v>3323</v>
      </c>
      <c r="Q3326" s="147" t="n">
        <v>74732.4756496123</v>
      </c>
      <c r="R3326" s="147" t="n">
        <v>0.274852335358594</v>
      </c>
      <c r="S3326" s="147" t="n">
        <v>0.0402615402888976</v>
      </c>
      <c r="T3326" s="147" t="n">
        <v>0.030894293405044</v>
      </c>
    </row>
    <row r="3327" customFormat="false" ht="12.75" hidden="false" customHeight="true" outlineLevel="0" collapsed="false">
      <c r="P3327" s="1" t="n">
        <v>3324</v>
      </c>
      <c r="Q3327" s="147" t="n">
        <v>74754.8894825083</v>
      </c>
      <c r="R3327" s="147" t="n">
        <v>0.27430505041863</v>
      </c>
      <c r="S3327" s="147" t="n">
        <v>0.0467409105373427</v>
      </c>
      <c r="T3327" s="147" t="n">
        <v>0.0313400951715613</v>
      </c>
    </row>
    <row r="3328" customFormat="false" ht="12.75" hidden="false" customHeight="true" outlineLevel="0" collapsed="false">
      <c r="P3328" s="1" t="n">
        <v>3325</v>
      </c>
      <c r="Q3328" s="147" t="n">
        <v>74776.6648585993</v>
      </c>
      <c r="R3328" s="147" t="n">
        <v>0.274389816787449</v>
      </c>
      <c r="S3328" s="147" t="n">
        <v>0.048993620300979</v>
      </c>
      <c r="T3328" s="147" t="n">
        <v>0.0321464333662689</v>
      </c>
    </row>
    <row r="3329" customFormat="false" ht="12.75" hidden="false" customHeight="true" outlineLevel="0" collapsed="false">
      <c r="P3329" s="1" t="n">
        <v>3326</v>
      </c>
      <c r="Q3329" s="147" t="n">
        <v>74799.5124464833</v>
      </c>
      <c r="R3329" s="147" t="n">
        <v>0.273348187352213</v>
      </c>
      <c r="S3329" s="147" t="n">
        <v>0.0578101554671597</v>
      </c>
      <c r="T3329" s="147" t="n">
        <v>0.0327197930156261</v>
      </c>
    </row>
    <row r="3330" customFormat="false" ht="12.75" hidden="false" customHeight="true" outlineLevel="0" collapsed="false">
      <c r="P3330" s="1" t="n">
        <v>3327</v>
      </c>
      <c r="Q3330" s="147" t="n">
        <v>74821.4708656973</v>
      </c>
      <c r="R3330" s="147" t="n">
        <v>0.27277726861476</v>
      </c>
      <c r="S3330" s="147" t="n">
        <v>0.0614536572458072</v>
      </c>
      <c r="T3330" s="147" t="n">
        <v>0.0334789630918224</v>
      </c>
    </row>
    <row r="3331" customFormat="false" ht="12.75" hidden="false" customHeight="true" outlineLevel="0" collapsed="false">
      <c r="P3331" s="1" t="n">
        <v>3328</v>
      </c>
      <c r="Q3331" s="147" t="n">
        <v>74843.9173161813</v>
      </c>
      <c r="R3331" s="147" t="n">
        <v>0.271055449706701</v>
      </c>
      <c r="S3331" s="147" t="n">
        <v>0.0716909991163216</v>
      </c>
      <c r="T3331" s="147" t="n">
        <v>0.0343479613629065</v>
      </c>
    </row>
    <row r="3332" customFormat="false" ht="12.75" hidden="false" customHeight="true" outlineLevel="0" collapsed="false">
      <c r="P3332" s="1" t="n">
        <v>3329</v>
      </c>
      <c r="Q3332" s="147" t="n">
        <v>74865.5250592043</v>
      </c>
      <c r="R3332" s="147" t="n">
        <v>0.270371464285769</v>
      </c>
      <c r="S3332" s="147" t="n">
        <v>0.0749556933217136</v>
      </c>
      <c r="T3332" s="147" t="n">
        <v>0.0348998442932613</v>
      </c>
    </row>
    <row r="3333" customFormat="false" ht="12.75" hidden="false" customHeight="true" outlineLevel="0" collapsed="false">
      <c r="P3333" s="1" t="n">
        <v>3330</v>
      </c>
      <c r="Q3333" s="147" t="n">
        <v>74887.6831262493</v>
      </c>
      <c r="R3333" s="147" t="n">
        <v>0.269093193511838</v>
      </c>
      <c r="S3333" s="147" t="n">
        <v>0.0794729372128575</v>
      </c>
      <c r="T3333" s="147" t="n">
        <v>0.0354250452109103</v>
      </c>
    </row>
    <row r="3334" customFormat="false" ht="12.75" hidden="false" customHeight="true" outlineLevel="0" collapsed="false">
      <c r="P3334" s="1" t="n">
        <v>3331</v>
      </c>
      <c r="Q3334" s="147" t="n">
        <v>74909.8955600043</v>
      </c>
      <c r="R3334" s="147" t="n">
        <v>0.267950240614826</v>
      </c>
      <c r="S3334" s="147" t="n">
        <v>0.0824805036663153</v>
      </c>
      <c r="T3334" s="147" t="n">
        <v>0.0367499547727711</v>
      </c>
    </row>
    <row r="3335" customFormat="false" ht="12.75" hidden="false" customHeight="true" outlineLevel="0" collapsed="false">
      <c r="P3335" s="1" t="n">
        <v>3332</v>
      </c>
      <c r="Q3335" s="147" t="n">
        <v>74932.0802298823</v>
      </c>
      <c r="R3335" s="147" t="n">
        <v>0.267187509705794</v>
      </c>
      <c r="S3335" s="147" t="n">
        <v>0.0842909519202492</v>
      </c>
      <c r="T3335" s="147" t="n">
        <v>0.037690527036634</v>
      </c>
    </row>
    <row r="3336" customFormat="false" ht="12.75" hidden="false" customHeight="true" outlineLevel="0" collapsed="false">
      <c r="P3336" s="1" t="n">
        <v>3333</v>
      </c>
      <c r="Q3336" s="147" t="n">
        <v>74954.5200112833</v>
      </c>
      <c r="R3336" s="147" t="n">
        <v>0.266708679082606</v>
      </c>
      <c r="S3336" s="147" t="n">
        <v>0.0842589439829234</v>
      </c>
      <c r="T3336" s="147" t="n">
        <v>0.0385175374993267</v>
      </c>
    </row>
    <row r="3337" customFormat="false" ht="12.75" hidden="false" customHeight="true" outlineLevel="0" collapsed="false">
      <c r="P3337" s="1" t="n">
        <v>3334</v>
      </c>
      <c r="Q3337" s="147" t="n">
        <v>74977.0666840103</v>
      </c>
      <c r="R3337" s="147" t="n">
        <v>0.266420947281193</v>
      </c>
      <c r="S3337" s="147" t="n">
        <v>0.0827216350831346</v>
      </c>
      <c r="T3337" s="147" t="n">
        <v>0.0390354490417685</v>
      </c>
    </row>
    <row r="3338" customFormat="false" ht="12.75" hidden="false" customHeight="true" outlineLevel="0" collapsed="false">
      <c r="P3338" s="1" t="n">
        <v>3335</v>
      </c>
      <c r="Q3338" s="147" t="n">
        <v>74999.2435901593</v>
      </c>
      <c r="R3338" s="147" t="n">
        <v>0.266384965392543</v>
      </c>
      <c r="S3338" s="147" t="n">
        <v>0.0806432452964074</v>
      </c>
      <c r="T3338" s="147" t="n">
        <v>0.0394040678944927</v>
      </c>
    </row>
    <row r="3339" customFormat="false" ht="12.75" hidden="false" customHeight="true" outlineLevel="0" collapsed="false">
      <c r="P3339" s="1" t="n">
        <v>3336</v>
      </c>
      <c r="Q3339" s="147" t="n">
        <v>75021.5100507533</v>
      </c>
      <c r="R3339" s="147" t="n">
        <v>0.26650939804616</v>
      </c>
      <c r="S3339" s="147" t="n">
        <v>0.0789613741727093</v>
      </c>
      <c r="T3339" s="147" t="n">
        <v>0.0395763401748121</v>
      </c>
    </row>
    <row r="3340" customFormat="false" ht="12.75" hidden="false" customHeight="true" outlineLevel="0" collapsed="false">
      <c r="P3340" s="1" t="n">
        <v>3337</v>
      </c>
      <c r="Q3340" s="147" t="n">
        <v>75043.6282398103</v>
      </c>
      <c r="R3340" s="147" t="n">
        <v>0.266981649061858</v>
      </c>
      <c r="S3340" s="147" t="n">
        <v>0.0782500095350052</v>
      </c>
      <c r="T3340" s="147" t="n">
        <v>0.0392641430563529</v>
      </c>
    </row>
    <row r="3341" customFormat="false" ht="12.75" hidden="false" customHeight="true" outlineLevel="0" collapsed="false">
      <c r="P3341" s="1" t="n">
        <v>3338</v>
      </c>
      <c r="Q3341" s="147" t="n">
        <v>75066.0403560143</v>
      </c>
      <c r="R3341" s="147" t="n">
        <v>0.267219498962471</v>
      </c>
      <c r="S3341" s="147" t="n">
        <v>0.0785345560979665</v>
      </c>
      <c r="T3341" s="147" t="n">
        <v>0.038555519490045</v>
      </c>
    </row>
    <row r="3342" customFormat="false" ht="12.75" hidden="false" customHeight="true" outlineLevel="0" collapsed="false">
      <c r="P3342" s="1" t="n">
        <v>3339</v>
      </c>
      <c r="Q3342" s="147" t="n">
        <v>75088.3205489943</v>
      </c>
      <c r="R3342" s="147" t="n">
        <v>0.267462467182789</v>
      </c>
      <c r="S3342" s="147" t="n">
        <v>0.0796364033344386</v>
      </c>
      <c r="T3342" s="147" t="n">
        <v>0.0372903537944597</v>
      </c>
    </row>
    <row r="3343" customFormat="false" ht="12.75" hidden="false" customHeight="true" outlineLevel="0" collapsed="false">
      <c r="P3343" s="1" t="n">
        <v>3340</v>
      </c>
      <c r="Q3343" s="147" t="n">
        <v>75110.7271457803</v>
      </c>
      <c r="R3343" s="147" t="n">
        <v>0.267319101293659</v>
      </c>
      <c r="S3343" s="147" t="n">
        <v>0.0815101439527164</v>
      </c>
      <c r="T3343" s="147" t="n">
        <v>0.0357459112809453</v>
      </c>
    </row>
    <row r="3344" customFormat="false" ht="12.75" hidden="false" customHeight="true" outlineLevel="0" collapsed="false">
      <c r="P3344" s="1" t="n">
        <v>3341</v>
      </c>
      <c r="Q3344" s="147" t="n">
        <v>75132.9202477733</v>
      </c>
      <c r="R3344" s="147" t="n">
        <v>0.267297754069615</v>
      </c>
      <c r="S3344" s="147" t="n">
        <v>0.0833812885040396</v>
      </c>
      <c r="T3344" s="147" t="n">
        <v>0.033902158781321</v>
      </c>
    </row>
    <row r="3345" customFormat="false" ht="12.75" hidden="false" customHeight="true" outlineLevel="0" collapsed="false">
      <c r="P3345" s="1" t="n">
        <v>3342</v>
      </c>
      <c r="Q3345" s="147" t="n">
        <v>75155.1854798443</v>
      </c>
      <c r="R3345" s="147" t="n">
        <v>0.266844729714967</v>
      </c>
      <c r="S3345" s="147" t="n">
        <v>0.086208772823701</v>
      </c>
      <c r="T3345" s="147" t="n">
        <v>0.031721098188955</v>
      </c>
    </row>
    <row r="3346" customFormat="false" ht="12.75" hidden="false" customHeight="true" outlineLevel="0" collapsed="false">
      <c r="P3346" s="1" t="n">
        <v>3343</v>
      </c>
      <c r="Q3346" s="147" t="n">
        <v>75177.5379894893</v>
      </c>
      <c r="R3346" s="147" t="n">
        <v>0.266650837757976</v>
      </c>
      <c r="S3346" s="147" t="n">
        <v>0.0890633048616835</v>
      </c>
      <c r="T3346" s="147" t="n">
        <v>0.0291559366152965</v>
      </c>
    </row>
    <row r="3347" customFormat="false" ht="12.75" hidden="false" customHeight="true" outlineLevel="0" collapsed="false">
      <c r="P3347" s="1" t="n">
        <v>3344</v>
      </c>
      <c r="Q3347" s="147" t="n">
        <v>75199.6719180533</v>
      </c>
      <c r="R3347" s="147" t="n">
        <v>0.26593174366298</v>
      </c>
      <c r="S3347" s="147" t="n">
        <v>0.0928083660644697</v>
      </c>
      <c r="T3347" s="147" t="n">
        <v>0.0266743774295304</v>
      </c>
    </row>
    <row r="3348" customFormat="false" ht="12.75" hidden="false" customHeight="true" outlineLevel="0" collapsed="false">
      <c r="P3348" s="1" t="n">
        <v>3345</v>
      </c>
      <c r="Q3348" s="147" t="n">
        <v>75221.9300271833</v>
      </c>
      <c r="R3348" s="147" t="n">
        <v>0.265510467150323</v>
      </c>
      <c r="S3348" s="147" t="n">
        <v>0.0966957161956876</v>
      </c>
      <c r="T3348" s="147" t="n">
        <v>0.0245428954468558</v>
      </c>
    </row>
    <row r="3349" customFormat="false" ht="12.75" hidden="false" customHeight="true" outlineLevel="0" collapsed="false">
      <c r="P3349" s="1" t="n">
        <v>3346</v>
      </c>
      <c r="Q3349" s="147" t="n">
        <v>75244.2972870593</v>
      </c>
      <c r="R3349" s="147" t="n">
        <v>0.264682956674177</v>
      </c>
      <c r="S3349" s="147" t="n">
        <v>0.100241352132162</v>
      </c>
      <c r="T3349" s="147" t="n">
        <v>0.0225775647661061</v>
      </c>
    </row>
    <row r="3350" customFormat="false" ht="12.75" hidden="false" customHeight="true" outlineLevel="0" collapsed="false">
      <c r="P3350" s="1" t="n">
        <v>3347</v>
      </c>
      <c r="Q3350" s="147" t="n">
        <v>75266.3773444543</v>
      </c>
      <c r="R3350" s="147" t="n">
        <v>0.264513596658415</v>
      </c>
      <c r="S3350" s="147" t="n">
        <v>0.102057888077568</v>
      </c>
      <c r="T3350" s="147" t="n">
        <v>0.0208983483450827</v>
      </c>
    </row>
    <row r="3351" customFormat="false" ht="12.75" hidden="false" customHeight="true" outlineLevel="0" collapsed="false">
      <c r="P3351" s="1" t="n">
        <v>3348</v>
      </c>
      <c r="Q3351" s="147" t="n">
        <v>75288.6254208343</v>
      </c>
      <c r="R3351" s="147" t="n">
        <v>0.2646297152753</v>
      </c>
      <c r="S3351" s="147" t="n">
        <v>0.101458652058988</v>
      </c>
      <c r="T3351" s="147" t="n">
        <v>0.019521823163106</v>
      </c>
    </row>
    <row r="3352" customFormat="false" ht="12.75" hidden="false" customHeight="true" outlineLevel="0" collapsed="false">
      <c r="P3352" s="1" t="n">
        <v>3349</v>
      </c>
      <c r="Q3352" s="147" t="n">
        <v>75311.0638147213</v>
      </c>
      <c r="R3352" s="147" t="n">
        <v>0.264976830573729</v>
      </c>
      <c r="S3352" s="147" t="n">
        <v>0.0976368819916105</v>
      </c>
      <c r="T3352" s="147" t="n">
        <v>0.0183015133376257</v>
      </c>
    </row>
    <row r="3353" customFormat="false" ht="12.75" hidden="false" customHeight="true" outlineLevel="0" collapsed="false">
      <c r="P3353" s="1" t="n">
        <v>3350</v>
      </c>
      <c r="Q3353" s="147" t="n">
        <v>75333.5652764143</v>
      </c>
      <c r="R3353" s="147" t="n">
        <v>0.265196242272319</v>
      </c>
      <c r="S3353" s="147" t="n">
        <v>0.0921753954168542</v>
      </c>
      <c r="T3353" s="147" t="n">
        <v>0.0174609774727967</v>
      </c>
    </row>
    <row r="3354" customFormat="false" ht="12.75" hidden="false" customHeight="true" outlineLevel="0" collapsed="false">
      <c r="P3354" s="1" t="n">
        <v>3351</v>
      </c>
      <c r="Q3354" s="147" t="n">
        <v>75355.8368070683</v>
      </c>
      <c r="R3354" s="147" t="n">
        <v>0.26586572742203</v>
      </c>
      <c r="S3354" s="147" t="n">
        <v>0.087154361510963</v>
      </c>
      <c r="T3354" s="147" t="n">
        <v>0.0165051346533471</v>
      </c>
    </row>
    <row r="3355" customFormat="false" ht="12.75" hidden="false" customHeight="true" outlineLevel="0" collapsed="false">
      <c r="P3355" s="1" t="n">
        <v>3352</v>
      </c>
      <c r="Q3355" s="147" t="n">
        <v>75377.7904944423</v>
      </c>
      <c r="R3355" s="147" t="n">
        <v>0.266487163926557</v>
      </c>
      <c r="S3355" s="147" t="n">
        <v>0.084895697367856</v>
      </c>
      <c r="T3355" s="147" t="n">
        <v>0.0158156271391619</v>
      </c>
    </row>
    <row r="3356" customFormat="false" ht="12.75" hidden="false" customHeight="true" outlineLevel="0" collapsed="false">
      <c r="P3356" s="1" t="n">
        <v>3353</v>
      </c>
      <c r="Q3356" s="147" t="n">
        <v>75400.2683568883</v>
      </c>
      <c r="R3356" s="147" t="n">
        <v>0.267117558178699</v>
      </c>
      <c r="S3356" s="147" t="n">
        <v>0.0787584283736179</v>
      </c>
      <c r="T3356" s="147" t="n">
        <v>0.0161033381653259</v>
      </c>
    </row>
    <row r="3357" customFormat="false" ht="12.75" hidden="false" customHeight="true" outlineLevel="0" collapsed="false">
      <c r="P3357" s="1" t="n">
        <v>3354</v>
      </c>
      <c r="Q3357" s="147" t="n">
        <v>75422.4600572663</v>
      </c>
      <c r="R3357" s="147" t="n">
        <v>0.267643451303268</v>
      </c>
      <c r="S3357" s="147" t="n">
        <v>0.0773467868123294</v>
      </c>
      <c r="T3357" s="147" t="n">
        <v>0.0165436001335232</v>
      </c>
    </row>
    <row r="3358" customFormat="false" ht="12.75" hidden="false" customHeight="true" outlineLevel="0" collapsed="false">
      <c r="P3358" s="1" t="n">
        <v>3355</v>
      </c>
      <c r="Q3358" s="147" t="n">
        <v>75445.0048280003</v>
      </c>
      <c r="R3358" s="147" t="n">
        <v>0.267836095358578</v>
      </c>
      <c r="S3358" s="147" t="n">
        <v>0.0762134227111031</v>
      </c>
      <c r="T3358" s="147" t="n">
        <v>0.0148232456026553</v>
      </c>
    </row>
    <row r="3359" customFormat="false" ht="12.75" hidden="false" customHeight="true" outlineLevel="0" collapsed="false">
      <c r="P3359" s="1" t="n">
        <v>3356</v>
      </c>
      <c r="Q3359" s="147" t="n">
        <v>75467.4791788813</v>
      </c>
      <c r="R3359" s="147" t="n">
        <v>0.267842052597153</v>
      </c>
      <c r="S3359" s="147" t="n">
        <v>0.0792665834397654</v>
      </c>
      <c r="T3359" s="147" t="n">
        <v>0.0159325792339178</v>
      </c>
    </row>
    <row r="3360" customFormat="false" ht="12.75" hidden="false" customHeight="true" outlineLevel="0" collapsed="false">
      <c r="P3360" s="1" t="n">
        <v>3357</v>
      </c>
      <c r="Q3360" s="147" t="n">
        <v>75489.9184287833</v>
      </c>
      <c r="R3360" s="147" t="n">
        <v>0.267448974819116</v>
      </c>
      <c r="S3360" s="147" t="n">
        <v>0.0843793383168939</v>
      </c>
      <c r="T3360" s="147" t="n">
        <v>0.0157739854444041</v>
      </c>
    </row>
    <row r="3361" customFormat="false" ht="12.75" hidden="false" customHeight="true" outlineLevel="0" collapsed="false">
      <c r="P3361" s="1" t="n">
        <v>3358</v>
      </c>
      <c r="Q3361" s="147" t="n">
        <v>75512.4914368733</v>
      </c>
      <c r="R3361" s="147" t="n">
        <v>0.267106230117227</v>
      </c>
      <c r="S3361" s="147" t="n">
        <v>0.0903288583067414</v>
      </c>
      <c r="T3361" s="147" t="n">
        <v>0.0170037342716339</v>
      </c>
    </row>
    <row r="3362" customFormat="false" ht="12.75" hidden="false" customHeight="true" outlineLevel="0" collapsed="false">
      <c r="P3362" s="1" t="n">
        <v>3359</v>
      </c>
      <c r="Q3362" s="147" t="n">
        <v>75534.8066436203</v>
      </c>
      <c r="R3362" s="147" t="n">
        <v>0.26662733046096</v>
      </c>
      <c r="S3362" s="147" t="n">
        <v>0.0947159625696906</v>
      </c>
      <c r="T3362" s="147" t="n">
        <v>0.0170353425377301</v>
      </c>
    </row>
    <row r="3363" customFormat="false" ht="12.75" hidden="false" customHeight="true" outlineLevel="0" collapsed="false">
      <c r="P3363" s="1" t="n">
        <v>3360</v>
      </c>
      <c r="Q3363" s="147" t="n">
        <v>75557.1112055093</v>
      </c>
      <c r="R3363" s="147" t="n">
        <v>0.266017472784662</v>
      </c>
      <c r="S3363" s="147" t="n">
        <v>0.0976026755506643</v>
      </c>
      <c r="T3363" s="147" t="n">
        <v>0.0165779564433404</v>
      </c>
    </row>
    <row r="3364" customFormat="false" ht="12.75" hidden="false" customHeight="true" outlineLevel="0" collapsed="false">
      <c r="P3364" s="1" t="n">
        <v>3361</v>
      </c>
      <c r="Q3364" s="147" t="n">
        <v>75578.6337790633</v>
      </c>
      <c r="R3364" s="147" t="n">
        <v>0.265781618986191</v>
      </c>
      <c r="S3364" s="147" t="n">
        <v>0.0986431632018399</v>
      </c>
      <c r="T3364" s="147" t="n">
        <v>0.016133891323708</v>
      </c>
    </row>
    <row r="3365" customFormat="false" ht="12.75" hidden="false" customHeight="true" outlineLevel="0" collapsed="false">
      <c r="P3365" s="1" t="n">
        <v>3362</v>
      </c>
      <c r="Q3365" s="147" t="n">
        <v>75601.1563631173</v>
      </c>
      <c r="R3365" s="147" t="n">
        <v>0.265811425079129</v>
      </c>
      <c r="S3365" s="147" t="n">
        <v>0.0987908035626611</v>
      </c>
      <c r="T3365" s="147" t="n">
        <v>0.0133950110238588</v>
      </c>
    </row>
    <row r="3366" customFormat="false" ht="12.75" hidden="false" customHeight="true" outlineLevel="0" collapsed="false">
      <c r="P3366" s="1" t="n">
        <v>3363</v>
      </c>
      <c r="Q3366" s="147" t="n">
        <v>75622.7984302063</v>
      </c>
      <c r="R3366" s="147" t="n">
        <v>0.266286364945234</v>
      </c>
      <c r="S3366" s="147" t="n">
        <v>0.0978334818025866</v>
      </c>
      <c r="T3366" s="147" t="n">
        <v>0.011833711636131</v>
      </c>
    </row>
    <row r="3367" customFormat="false" ht="12.75" hidden="false" customHeight="true" outlineLevel="0" collapsed="false">
      <c r="P3367" s="1" t="n">
        <v>3364</v>
      </c>
      <c r="Q3367" s="147" t="n">
        <v>75645.2907685533</v>
      </c>
      <c r="R3367" s="147" t="n">
        <v>0.267404534480886</v>
      </c>
      <c r="S3367" s="147" t="n">
        <v>0.0939022613745122</v>
      </c>
      <c r="T3367" s="147" t="n">
        <v>0.0114119052971424</v>
      </c>
    </row>
    <row r="3368" customFormat="false" ht="12.75" hidden="false" customHeight="true" outlineLevel="0" collapsed="false">
      <c r="P3368" s="1" t="n">
        <v>3365</v>
      </c>
      <c r="Q3368" s="147" t="n">
        <v>75668.0926631133</v>
      </c>
      <c r="R3368" s="147" t="n">
        <v>0.268384030469435</v>
      </c>
      <c r="S3368" s="147" t="n">
        <v>0.0892882631042043</v>
      </c>
      <c r="T3368" s="147" t="n">
        <v>0.00935778975648264</v>
      </c>
    </row>
    <row r="3369" customFormat="false" ht="12.75" hidden="false" customHeight="true" outlineLevel="0" collapsed="false">
      <c r="P3369" s="1" t="n">
        <v>3366</v>
      </c>
      <c r="Q3369" s="147" t="n">
        <v>75690.5483831693</v>
      </c>
      <c r="R3369" s="147" t="n">
        <v>0.269564622550017</v>
      </c>
      <c r="S3369" s="147" t="n">
        <v>0.0822444594438228</v>
      </c>
      <c r="T3369" s="147" t="n">
        <v>0.00887598613426997</v>
      </c>
    </row>
    <row r="3370" customFormat="false" ht="12.75" hidden="false" customHeight="true" outlineLevel="0" collapsed="false">
      <c r="P3370" s="1" t="n">
        <v>3367</v>
      </c>
      <c r="Q3370" s="147" t="n">
        <v>75713.3062251983</v>
      </c>
      <c r="R3370" s="147" t="n">
        <v>0.270800843166882</v>
      </c>
      <c r="S3370" s="147" t="n">
        <v>0.073817142916462</v>
      </c>
      <c r="T3370" s="147" t="n">
        <v>0.00831163018906547</v>
      </c>
    </row>
    <row r="3371" customFormat="false" ht="12.75" hidden="false" customHeight="true" outlineLevel="0" collapsed="false">
      <c r="P3371" s="1" t="n">
        <v>3368</v>
      </c>
      <c r="Q3371" s="147" t="n">
        <v>75735.8381661743</v>
      </c>
      <c r="R3371" s="147" t="n">
        <v>0.271650066318037</v>
      </c>
      <c r="S3371" s="147" t="n">
        <v>0.0668429202922322</v>
      </c>
      <c r="T3371" s="147" t="n">
        <v>0.00757181899441178</v>
      </c>
    </row>
    <row r="3372" customFormat="false" ht="12.75" hidden="false" customHeight="true" outlineLevel="0" collapsed="false">
      <c r="P3372" s="1" t="n">
        <v>3369</v>
      </c>
      <c r="Q3372" s="147" t="n">
        <v>75758.2670863093</v>
      </c>
      <c r="R3372" s="147" t="n">
        <v>0.271955276385444</v>
      </c>
      <c r="S3372" s="147" t="n">
        <v>0.0624820073729827</v>
      </c>
      <c r="T3372" s="147" t="n">
        <v>0.00717668696892141</v>
      </c>
    </row>
    <row r="3373" customFormat="false" ht="12.75" hidden="false" customHeight="true" outlineLevel="0" collapsed="false">
      <c r="P3373" s="1" t="n">
        <v>3370</v>
      </c>
      <c r="Q3373" s="147" t="n">
        <v>75780.3184817863</v>
      </c>
      <c r="R3373" s="147" t="n">
        <v>0.271822692936889</v>
      </c>
      <c r="S3373" s="147" t="n">
        <v>0.0608984182317167</v>
      </c>
      <c r="T3373" s="147" t="n">
        <v>0.00677607781819122</v>
      </c>
    </row>
    <row r="3374" customFormat="false" ht="12.75" hidden="false" customHeight="true" outlineLevel="0" collapsed="false">
      <c r="P3374" s="1" t="n">
        <v>3371</v>
      </c>
      <c r="Q3374" s="147" t="n">
        <v>75802.9624479982</v>
      </c>
      <c r="R3374" s="147" t="n">
        <v>0.271728638315913</v>
      </c>
      <c r="S3374" s="147" t="n">
        <v>0.0606157963243788</v>
      </c>
      <c r="T3374" s="147" t="n">
        <v>0.00715158139243173</v>
      </c>
    </row>
    <row r="3375" customFormat="false" ht="12.75" hidden="false" customHeight="true" outlineLevel="0" collapsed="false">
      <c r="P3375" s="1" t="n">
        <v>3372</v>
      </c>
      <c r="Q3375" s="147" t="n">
        <v>75825.3110271283</v>
      </c>
      <c r="R3375" s="147" t="n">
        <v>0.271414992876721</v>
      </c>
      <c r="S3375" s="147" t="n">
        <v>0.062582459181776</v>
      </c>
      <c r="T3375" s="147" t="n">
        <v>0.00683035768925207</v>
      </c>
    </row>
    <row r="3376" customFormat="false" ht="12.75" hidden="false" customHeight="true" outlineLevel="0" collapsed="false">
      <c r="P3376" s="1" t="n">
        <v>3373</v>
      </c>
      <c r="Q3376" s="147" t="n">
        <v>75847.7399382833</v>
      </c>
      <c r="R3376" s="147" t="n">
        <v>0.271132422104473</v>
      </c>
      <c r="S3376" s="147" t="n">
        <v>0.0667555239442869</v>
      </c>
      <c r="T3376" s="147" t="n">
        <v>0.00589370582149941</v>
      </c>
    </row>
    <row r="3377" customFormat="false" ht="12.75" hidden="false" customHeight="true" outlineLevel="0" collapsed="false">
      <c r="P3377" s="1" t="n">
        <v>3374</v>
      </c>
      <c r="Q3377" s="147" t="n">
        <v>75870.3634983573</v>
      </c>
      <c r="R3377" s="147" t="n">
        <v>0.270960762238565</v>
      </c>
      <c r="S3377" s="147" t="n">
        <v>0.0717010951431962</v>
      </c>
      <c r="T3377" s="147" t="n">
        <v>0.00562324719704976</v>
      </c>
    </row>
    <row r="3378" customFormat="false" ht="12.75" hidden="false" customHeight="true" outlineLevel="0" collapsed="false">
      <c r="P3378" s="1" t="n">
        <v>3375</v>
      </c>
      <c r="Q3378" s="147" t="n">
        <v>75892.9868647513</v>
      </c>
      <c r="R3378" s="147" t="n">
        <v>0.270779221018975</v>
      </c>
      <c r="S3378" s="147" t="n">
        <v>0.0775340131939476</v>
      </c>
      <c r="T3378" s="147" t="n">
        <v>0.00600777328409334</v>
      </c>
    </row>
    <row r="3379" customFormat="false" ht="12.75" hidden="false" customHeight="true" outlineLevel="0" collapsed="false">
      <c r="P3379" s="1" t="n">
        <v>3376</v>
      </c>
      <c r="Q3379" s="147" t="n">
        <v>75915.3049628353</v>
      </c>
      <c r="R3379" s="147" t="n">
        <v>0.27058143419956</v>
      </c>
      <c r="S3379" s="147" t="n">
        <v>0.0823025101773175</v>
      </c>
      <c r="T3379" s="147" t="n">
        <v>0.00672565451472601</v>
      </c>
    </row>
    <row r="3380" customFormat="false" ht="12.75" hidden="false" customHeight="true" outlineLevel="0" collapsed="false">
      <c r="P3380" s="1" t="n">
        <v>3377</v>
      </c>
      <c r="Q3380" s="147" t="n">
        <v>75938.1468600733</v>
      </c>
      <c r="R3380" s="147" t="n">
        <v>0.270425205782322</v>
      </c>
      <c r="S3380" s="147" t="n">
        <v>0.0861865043188185</v>
      </c>
      <c r="T3380" s="147" t="n">
        <v>0.00743872004353289</v>
      </c>
    </row>
    <row r="3381" customFormat="false" ht="12.75" hidden="false" customHeight="true" outlineLevel="0" collapsed="false">
      <c r="P3381" s="1" t="n">
        <v>3378</v>
      </c>
      <c r="Q3381" s="147" t="n">
        <v>75960.6228324072</v>
      </c>
      <c r="R3381" s="147" t="n">
        <v>0.270209986018426</v>
      </c>
      <c r="S3381" s="147" t="n">
        <v>0.0889721644499287</v>
      </c>
      <c r="T3381" s="147" t="n">
        <v>0.00847160743616226</v>
      </c>
    </row>
    <row r="3382" customFormat="false" ht="12.75" hidden="false" customHeight="true" outlineLevel="0" collapsed="false">
      <c r="P3382" s="1" t="n">
        <v>3379</v>
      </c>
      <c r="Q3382" s="147" t="n">
        <v>75982.8799624693</v>
      </c>
      <c r="R3382" s="147" t="n">
        <v>0.269979065403203</v>
      </c>
      <c r="S3382" s="147" t="n">
        <v>0.0907621281496957</v>
      </c>
      <c r="T3382" s="147" t="n">
        <v>0.00930546272818388</v>
      </c>
    </row>
    <row r="3383" customFormat="false" ht="12.75" hidden="false" customHeight="true" outlineLevel="0" collapsed="false">
      <c r="P3383" s="1" t="n">
        <v>3380</v>
      </c>
      <c r="Q3383" s="147" t="n">
        <v>76005.1099736012</v>
      </c>
      <c r="R3383" s="147" t="n">
        <v>0.269889117164558</v>
      </c>
      <c r="S3383" s="147" t="n">
        <v>0.0912503166437799</v>
      </c>
      <c r="T3383" s="147" t="n">
        <v>0.0104856428063271</v>
      </c>
    </row>
    <row r="3384" customFormat="false" ht="12.75" hidden="false" customHeight="true" outlineLevel="0" collapsed="false">
      <c r="P3384" s="1" t="n">
        <v>3381</v>
      </c>
      <c r="Q3384" s="147" t="n">
        <v>76027.6577386732</v>
      </c>
      <c r="R3384" s="147" t="n">
        <v>0.269648471133879</v>
      </c>
      <c r="S3384" s="147" t="n">
        <v>0.0896657540945537</v>
      </c>
      <c r="T3384" s="147" t="n">
        <v>0.01233875393559</v>
      </c>
    </row>
    <row r="3385" customFormat="false" ht="12.75" hidden="false" customHeight="true" outlineLevel="0" collapsed="false">
      <c r="P3385" s="1" t="n">
        <v>3382</v>
      </c>
      <c r="Q3385" s="147" t="n">
        <v>76049.8435094752</v>
      </c>
      <c r="R3385" s="147" t="n">
        <v>0.269718679571062</v>
      </c>
      <c r="S3385" s="147" t="n">
        <v>0.0867070730439851</v>
      </c>
      <c r="T3385" s="147" t="n">
        <v>0.0137373023896577</v>
      </c>
    </row>
    <row r="3386" customFormat="false" ht="12.75" hidden="false" customHeight="true" outlineLevel="0" collapsed="false">
      <c r="P3386" s="1" t="n">
        <v>3383</v>
      </c>
      <c r="Q3386" s="147" t="n">
        <v>76072.2796430302</v>
      </c>
      <c r="R3386" s="147" t="n">
        <v>0.269961527601703</v>
      </c>
      <c r="S3386" s="147" t="n">
        <v>0.0828391672275281</v>
      </c>
      <c r="T3386" s="147" t="n">
        <v>0.0151440705074499</v>
      </c>
    </row>
    <row r="3387" customFormat="false" ht="12.75" hidden="false" customHeight="true" outlineLevel="0" collapsed="false">
      <c r="P3387" s="1" t="n">
        <v>3384</v>
      </c>
      <c r="Q3387" s="147" t="n">
        <v>76094.9275523772</v>
      </c>
      <c r="R3387" s="147" t="n">
        <v>0.269891918320171</v>
      </c>
      <c r="S3387" s="147" t="n">
        <v>0.0794321264161999</v>
      </c>
      <c r="T3387" s="147" t="n">
        <v>0.0154096973393635</v>
      </c>
    </row>
    <row r="3388" customFormat="false" ht="12.75" hidden="false" customHeight="true" outlineLevel="0" collapsed="false">
      <c r="P3388" s="1" t="n">
        <v>3385</v>
      </c>
      <c r="Q3388" s="147" t="n">
        <v>76117.6414638142</v>
      </c>
      <c r="R3388" s="147" t="n">
        <v>0.270181132112287</v>
      </c>
      <c r="S3388" s="147" t="n">
        <v>0.0763172326234639</v>
      </c>
      <c r="T3388" s="147" t="n">
        <v>0.0167143455901778</v>
      </c>
    </row>
    <row r="3389" customFormat="false" ht="12.75" hidden="false" customHeight="true" outlineLevel="0" collapsed="false">
      <c r="P3389" s="1" t="n">
        <v>3386</v>
      </c>
      <c r="Q3389" s="147" t="n">
        <v>76139.8413036892</v>
      </c>
      <c r="R3389" s="147" t="n">
        <v>0.270040376278902</v>
      </c>
      <c r="S3389" s="147" t="n">
        <v>0.0756931475477505</v>
      </c>
      <c r="T3389" s="147" t="n">
        <v>0.0170159073433284</v>
      </c>
    </row>
    <row r="3390" customFormat="false" ht="12.75" hidden="false" customHeight="true" outlineLevel="0" collapsed="false">
      <c r="P3390" s="1" t="n">
        <v>3387</v>
      </c>
      <c r="Q3390" s="147" t="n">
        <v>76162.3140965652</v>
      </c>
      <c r="R3390" s="147" t="n">
        <v>0.269686541886233</v>
      </c>
      <c r="S3390" s="147" t="n">
        <v>0.0728931923369676</v>
      </c>
      <c r="T3390" s="147" t="n">
        <v>0.0181614751914912</v>
      </c>
    </row>
    <row r="3391" customFormat="false" ht="12.75" hidden="false" customHeight="true" outlineLevel="0" collapsed="false">
      <c r="P3391" s="1" t="n">
        <v>3388</v>
      </c>
      <c r="Q3391" s="147" t="n">
        <v>76184.2037897292</v>
      </c>
      <c r="R3391" s="147" t="n">
        <v>0.269259201350742</v>
      </c>
      <c r="S3391" s="147" t="n">
        <v>0.0737383278653019</v>
      </c>
      <c r="T3391" s="147" t="n">
        <v>0.0185815197444743</v>
      </c>
    </row>
    <row r="3392" customFormat="false" ht="12.75" hidden="false" customHeight="true" outlineLevel="0" collapsed="false">
      <c r="P3392" s="1" t="n">
        <v>3389</v>
      </c>
      <c r="Q3392" s="147" t="n">
        <v>76206.7126519492</v>
      </c>
      <c r="R3392" s="147" t="n">
        <v>0.268634163931924</v>
      </c>
      <c r="S3392" s="147" t="n">
        <v>0.0741878361928738</v>
      </c>
      <c r="T3392" s="147" t="n">
        <v>0.0192749675045673</v>
      </c>
    </row>
    <row r="3393" customFormat="false" ht="12.75" hidden="false" customHeight="true" outlineLevel="0" collapsed="false">
      <c r="P3393" s="1" t="n">
        <v>3390</v>
      </c>
      <c r="Q3393" s="147" t="n">
        <v>76229.3138500042</v>
      </c>
      <c r="R3393" s="147" t="n">
        <v>0.267758175062801</v>
      </c>
      <c r="S3393" s="147" t="n">
        <v>0.0769220170672119</v>
      </c>
      <c r="T3393" s="147" t="n">
        <v>0.0194752613775402</v>
      </c>
    </row>
    <row r="3394" customFormat="false" ht="12.75" hidden="false" customHeight="true" outlineLevel="0" collapsed="false">
      <c r="P3394" s="1" t="n">
        <v>3391</v>
      </c>
      <c r="Q3394" s="147" t="n">
        <v>76252.1741252382</v>
      </c>
      <c r="R3394" s="147" t="n">
        <v>0.267003263273867</v>
      </c>
      <c r="S3394" s="147" t="n">
        <v>0.0822121642003248</v>
      </c>
      <c r="T3394" s="147" t="n">
        <v>0.019175037027243</v>
      </c>
    </row>
    <row r="3395" customFormat="false" ht="12.75" hidden="false" customHeight="true" outlineLevel="0" collapsed="false">
      <c r="P3395" s="1" t="n">
        <v>3392</v>
      </c>
      <c r="Q3395" s="147" t="n">
        <v>76274.1471971132</v>
      </c>
      <c r="R3395" s="147" t="n">
        <v>0.266328339241526</v>
      </c>
      <c r="S3395" s="147" t="n">
        <v>0.083637790844226</v>
      </c>
      <c r="T3395" s="147" t="n">
        <v>0.0199293370673355</v>
      </c>
    </row>
    <row r="3396" customFormat="false" ht="12.75" hidden="false" customHeight="true" outlineLevel="0" collapsed="false">
      <c r="P3396" s="1" t="n">
        <v>3393</v>
      </c>
      <c r="Q3396" s="147" t="n">
        <v>76296.9246604432</v>
      </c>
      <c r="R3396" s="147" t="n">
        <v>0.265628702456597</v>
      </c>
      <c r="S3396" s="147" t="n">
        <v>0.0879223355845223</v>
      </c>
      <c r="T3396" s="147" t="n">
        <v>0.0196172581332953</v>
      </c>
    </row>
    <row r="3397" customFormat="false" ht="12.75" hidden="false" customHeight="true" outlineLevel="0" collapsed="false">
      <c r="P3397" s="1" t="n">
        <v>3394</v>
      </c>
      <c r="Q3397" s="147" t="n">
        <v>76318.9872332942</v>
      </c>
      <c r="R3397" s="147" t="n">
        <v>0.265091733937398</v>
      </c>
      <c r="S3397" s="147" t="n">
        <v>0.0880811108086733</v>
      </c>
      <c r="T3397" s="147" t="n">
        <v>0.0210379003411848</v>
      </c>
    </row>
    <row r="3398" customFormat="false" ht="12.75" hidden="false" customHeight="true" outlineLevel="0" collapsed="false">
      <c r="P3398" s="1" t="n">
        <v>3395</v>
      </c>
      <c r="Q3398" s="147" t="n">
        <v>76341.7862348762</v>
      </c>
      <c r="R3398" s="147" t="n">
        <v>0.264745951297166</v>
      </c>
      <c r="S3398" s="147" t="n">
        <v>0.0886785358970762</v>
      </c>
      <c r="T3398" s="147" t="n">
        <v>0.0222794255129668</v>
      </c>
    </row>
    <row r="3399" customFormat="false" ht="12.75" hidden="false" customHeight="true" outlineLevel="0" collapsed="false">
      <c r="P3399" s="1" t="n">
        <v>3396</v>
      </c>
      <c r="Q3399" s="147" t="n">
        <v>76363.7034197032</v>
      </c>
      <c r="R3399" s="147" t="n">
        <v>0.264361794067487</v>
      </c>
      <c r="S3399" s="147" t="n">
        <v>0.0877417793546015</v>
      </c>
      <c r="T3399" s="147" t="n">
        <v>0.023426557289774</v>
      </c>
    </row>
    <row r="3400" customFormat="false" ht="12.75" hidden="false" customHeight="true" outlineLevel="0" collapsed="false">
      <c r="P3400" s="1" t="n">
        <v>3397</v>
      </c>
      <c r="Q3400" s="147" t="n">
        <v>76386.2722801882</v>
      </c>
      <c r="R3400" s="147" t="n">
        <v>0.264603695476019</v>
      </c>
      <c r="S3400" s="147" t="n">
        <v>0.0844558912670503</v>
      </c>
      <c r="T3400" s="147" t="n">
        <v>0.0245514310487405</v>
      </c>
    </row>
    <row r="3401" customFormat="false" ht="12.75" hidden="false" customHeight="true" outlineLevel="0" collapsed="false">
      <c r="P3401" s="1" t="n">
        <v>3398</v>
      </c>
      <c r="Q3401" s="147" t="n">
        <v>76407.9056151042</v>
      </c>
      <c r="R3401" s="147" t="n">
        <v>0.264938529461487</v>
      </c>
      <c r="S3401" s="147" t="n">
        <v>0.0829251350358553</v>
      </c>
      <c r="T3401" s="147" t="n">
        <v>0.0256685588173799</v>
      </c>
    </row>
    <row r="3402" customFormat="false" ht="12.75" hidden="false" customHeight="true" outlineLevel="0" collapsed="false">
      <c r="P3402" s="1" t="n">
        <v>3399</v>
      </c>
      <c r="Q3402" s="147" t="n">
        <v>76430.3266810882</v>
      </c>
      <c r="R3402" s="147" t="n">
        <v>0.266008796045889</v>
      </c>
      <c r="S3402" s="147" t="n">
        <v>0.0789400526898546</v>
      </c>
      <c r="T3402" s="147" t="n">
        <v>0.0272744363495046</v>
      </c>
    </row>
    <row r="3403" customFormat="false" ht="12.75" hidden="false" customHeight="true" outlineLevel="0" collapsed="false">
      <c r="P3403" s="1" t="n">
        <v>3400</v>
      </c>
      <c r="Q3403" s="147" t="n">
        <v>76452.6540215622</v>
      </c>
      <c r="R3403" s="147" t="n">
        <v>0.266772301882165</v>
      </c>
      <c r="S3403" s="147" t="n">
        <v>0.0753300109555272</v>
      </c>
      <c r="T3403" s="147" t="n">
        <v>0.0279084900216423</v>
      </c>
    </row>
    <row r="3404" customFormat="false" ht="12.75" hidden="false" customHeight="true" outlineLevel="0" collapsed="false">
      <c r="P3404" s="1" t="n">
        <v>3401</v>
      </c>
      <c r="Q3404" s="147" t="n">
        <v>76475.0844059092</v>
      </c>
      <c r="R3404" s="147" t="n">
        <v>0.267883601475275</v>
      </c>
      <c r="S3404" s="147" t="n">
        <v>0.0689612726357953</v>
      </c>
      <c r="T3404" s="147" t="n">
        <v>0.0289181077701545</v>
      </c>
    </row>
    <row r="3405" customFormat="false" ht="12.75" hidden="false" customHeight="true" outlineLevel="0" collapsed="false">
      <c r="P3405" s="1" t="n">
        <v>3402</v>
      </c>
      <c r="Q3405" s="147" t="n">
        <v>76496.8805072552</v>
      </c>
      <c r="R3405" s="147" t="n">
        <v>0.268566742720536</v>
      </c>
      <c r="S3405" s="147" t="n">
        <v>0.0662484416761765</v>
      </c>
      <c r="T3405" s="147" t="n">
        <v>0.0291874754235341</v>
      </c>
    </row>
    <row r="3406" customFormat="false" ht="12.75" hidden="false" customHeight="true" outlineLevel="0" collapsed="false">
      <c r="P3406" s="1" t="n">
        <v>3403</v>
      </c>
      <c r="Q3406" s="147" t="n">
        <v>76519.6800614832</v>
      </c>
      <c r="R3406" s="147" t="n">
        <v>0.270081368030886</v>
      </c>
      <c r="S3406" s="147" t="n">
        <v>0.0561596236697247</v>
      </c>
      <c r="T3406" s="147" t="n">
        <v>0.0306886506505604</v>
      </c>
    </row>
    <row r="3407" customFormat="false" ht="12.75" hidden="false" customHeight="true" outlineLevel="0" collapsed="false">
      <c r="P3407" s="1" t="n">
        <v>3404</v>
      </c>
      <c r="Q3407" s="147" t="n">
        <v>76541.3857130452</v>
      </c>
      <c r="R3407" s="147" t="n">
        <v>0.270517728573314</v>
      </c>
      <c r="S3407" s="147" t="n">
        <v>0.0552842529762463</v>
      </c>
      <c r="T3407" s="147" t="n">
        <v>0.031065160416954</v>
      </c>
    </row>
    <row r="3408" customFormat="false" ht="12.75" hidden="false" customHeight="true" outlineLevel="0" collapsed="false">
      <c r="P3408" s="1" t="n">
        <v>3405</v>
      </c>
      <c r="Q3408" s="147" t="n">
        <v>76563.7162387672</v>
      </c>
      <c r="R3408" s="147" t="n">
        <v>0.271148747921841</v>
      </c>
      <c r="S3408" s="147" t="n">
        <v>0.0552074560395645</v>
      </c>
      <c r="T3408" s="147" t="n">
        <v>0.0316901073957003</v>
      </c>
    </row>
    <row r="3409" customFormat="false" ht="12.75" hidden="false" customHeight="true" outlineLevel="0" collapsed="false">
      <c r="P3409" s="1" t="n">
        <v>3406</v>
      </c>
      <c r="Q3409" s="147" t="n">
        <v>76586.0677057032</v>
      </c>
      <c r="R3409" s="147" t="n">
        <v>0.271821583116707</v>
      </c>
      <c r="S3409" s="147" t="n">
        <v>0.0581020794126471</v>
      </c>
      <c r="T3409" s="147" t="n">
        <v>0.0322505764735582</v>
      </c>
    </row>
    <row r="3410" customFormat="false" ht="12.75" hidden="false" customHeight="true" outlineLevel="0" collapsed="false">
      <c r="P3410" s="1" t="n">
        <v>3407</v>
      </c>
      <c r="Q3410" s="147" t="n">
        <v>76608.6503861123</v>
      </c>
      <c r="R3410" s="147" t="n">
        <v>0.272350113140116</v>
      </c>
      <c r="S3410" s="147" t="n">
        <v>0.0636423891241607</v>
      </c>
      <c r="T3410" s="147" t="n">
        <v>0.0330721563981239</v>
      </c>
    </row>
    <row r="3411" customFormat="false" ht="12.75" hidden="false" customHeight="true" outlineLevel="0" collapsed="false">
      <c r="P3411" s="1" t="n">
        <v>3408</v>
      </c>
      <c r="Q3411" s="147" t="n">
        <v>76631.5715831803</v>
      </c>
      <c r="R3411" s="147" t="n">
        <v>0.272812950548761</v>
      </c>
      <c r="S3411" s="147" t="n">
        <v>0.0720789173062166</v>
      </c>
      <c r="T3411" s="147" t="n">
        <v>0.0338579072409823</v>
      </c>
    </row>
    <row r="3412" customFormat="false" ht="12.75" hidden="false" customHeight="true" outlineLevel="0" collapsed="false">
      <c r="P3412" s="1" t="n">
        <v>3409</v>
      </c>
      <c r="Q3412" s="147" t="n">
        <v>76652.9642249513</v>
      </c>
      <c r="R3412" s="147" t="n">
        <v>0.273259293088921</v>
      </c>
      <c r="S3412" s="147" t="n">
        <v>0.0742114660770335</v>
      </c>
      <c r="T3412" s="147" t="n">
        <v>0.0352141019086158</v>
      </c>
    </row>
    <row r="3413" customFormat="false" ht="12.75" hidden="false" customHeight="true" outlineLevel="0" collapsed="false">
      <c r="P3413" s="1" t="n">
        <v>3410</v>
      </c>
      <c r="Q3413" s="147" t="n">
        <v>76675.5309399253</v>
      </c>
      <c r="R3413" s="147" t="n">
        <v>0.273828324998853</v>
      </c>
      <c r="S3413" s="147" t="n">
        <v>0.0842249668795057</v>
      </c>
      <c r="T3413" s="147" t="n">
        <v>0.0350953130231136</v>
      </c>
    </row>
    <row r="3414" customFormat="false" ht="12.75" hidden="false" customHeight="true" outlineLevel="0" collapsed="false">
      <c r="P3414" s="1" t="n">
        <v>3411</v>
      </c>
      <c r="Q3414" s="147" t="n">
        <v>76697.4721902733</v>
      </c>
      <c r="R3414" s="147" t="n">
        <v>0.27385784156282</v>
      </c>
      <c r="S3414" s="147" t="n">
        <v>0.0852613560552841</v>
      </c>
      <c r="T3414" s="147" t="n">
        <v>0.0363643243271268</v>
      </c>
    </row>
    <row r="3415" customFormat="false" ht="12.75" hidden="false" customHeight="true" outlineLevel="0" collapsed="false">
      <c r="P3415" s="1" t="n">
        <v>3412</v>
      </c>
      <c r="Q3415" s="147" t="n">
        <v>76719.9423255983</v>
      </c>
      <c r="R3415" s="147" t="n">
        <v>0.274339426582805</v>
      </c>
      <c r="S3415" s="147" t="n">
        <v>0.0890361627653742</v>
      </c>
      <c r="T3415" s="147" t="n">
        <v>0.0369302534981586</v>
      </c>
    </row>
    <row r="3416" customFormat="false" ht="12.75" hidden="false" customHeight="true" outlineLevel="0" collapsed="false">
      <c r="P3416" s="1" t="n">
        <v>3413</v>
      </c>
      <c r="Q3416" s="147" t="n">
        <v>76742.3593441183</v>
      </c>
      <c r="R3416" s="147" t="n">
        <v>0.274562572706446</v>
      </c>
      <c r="S3416" s="147" t="n">
        <v>0.0933544030042305</v>
      </c>
      <c r="T3416" s="147" t="n">
        <v>0.0373873360944319</v>
      </c>
    </row>
    <row r="3417" customFormat="false" ht="12.75" hidden="false" customHeight="true" outlineLevel="0" collapsed="false">
      <c r="P3417" s="1" t="n">
        <v>3414</v>
      </c>
      <c r="Q3417" s="147" t="n">
        <v>76764.8892682213</v>
      </c>
      <c r="R3417" s="147" t="n">
        <v>0.274857379917465</v>
      </c>
      <c r="S3417" s="147" t="n">
        <v>0.0950594864106568</v>
      </c>
      <c r="T3417" s="147" t="n">
        <v>0.0376161736881881</v>
      </c>
    </row>
    <row r="3418" customFormat="false" ht="12.75" hidden="false" customHeight="true" outlineLevel="0" collapsed="false">
      <c r="P3418" s="1" t="n">
        <v>3415</v>
      </c>
      <c r="Q3418" s="147" t="n">
        <v>76787.5389631793</v>
      </c>
      <c r="R3418" s="147" t="n">
        <v>0.275426369883249</v>
      </c>
      <c r="S3418" s="147" t="n">
        <v>0.0969006999845084</v>
      </c>
      <c r="T3418" s="147" t="n">
        <v>0.0377810949512514</v>
      </c>
    </row>
    <row r="3419" customFormat="false" ht="12.75" hidden="false" customHeight="true" outlineLevel="0" collapsed="false">
      <c r="P3419" s="1" t="n">
        <v>3416</v>
      </c>
      <c r="Q3419" s="147" t="n">
        <v>76809.8792262803</v>
      </c>
      <c r="R3419" s="147" t="n">
        <v>0.275598974934266</v>
      </c>
      <c r="S3419" s="147" t="n">
        <v>0.0988352039977692</v>
      </c>
      <c r="T3419" s="147" t="n">
        <v>0.0379138533287853</v>
      </c>
    </row>
    <row r="3420" customFormat="false" ht="12.75" hidden="false" customHeight="true" outlineLevel="0" collapsed="false">
      <c r="P3420" s="1" t="n">
        <v>3417</v>
      </c>
      <c r="Q3420" s="147" t="n">
        <v>76832.3249574353</v>
      </c>
      <c r="R3420" s="147" t="n">
        <v>0.275711602178151</v>
      </c>
      <c r="S3420" s="147" t="n">
        <v>0.100207538527898</v>
      </c>
      <c r="T3420" s="147" t="n">
        <v>0.03772891517428</v>
      </c>
    </row>
    <row r="3421" customFormat="false" ht="12.75" hidden="false" customHeight="true" outlineLevel="0" collapsed="false">
      <c r="P3421" s="1" t="n">
        <v>3418</v>
      </c>
      <c r="Q3421" s="147" t="n">
        <v>76854.7345355863</v>
      </c>
      <c r="R3421" s="147" t="n">
        <v>0.275607355888127</v>
      </c>
      <c r="S3421" s="147" t="n">
        <v>0.101308459769339</v>
      </c>
      <c r="T3421" s="147" t="n">
        <v>0.0378922760706428</v>
      </c>
    </row>
    <row r="3422" customFormat="false" ht="12.75" hidden="false" customHeight="true" outlineLevel="0" collapsed="false">
      <c r="P3422" s="1" t="n">
        <v>3419</v>
      </c>
      <c r="Q3422" s="147" t="n">
        <v>76877.4519099693</v>
      </c>
      <c r="R3422" s="147" t="n">
        <v>0.275100332380429</v>
      </c>
      <c r="S3422" s="147" t="n">
        <v>0.101796819596776</v>
      </c>
      <c r="T3422" s="147" t="n">
        <v>0.0379838499120225</v>
      </c>
    </row>
    <row r="3423" customFormat="false" ht="12.75" hidden="false" customHeight="true" outlineLevel="0" collapsed="false">
      <c r="P3423" s="1" t="n">
        <v>3420</v>
      </c>
      <c r="Q3423" s="147" t="n">
        <v>76900.0646972473</v>
      </c>
      <c r="R3423" s="147" t="n">
        <v>0.275119205193924</v>
      </c>
      <c r="S3423" s="147" t="n">
        <v>0.101390632248107</v>
      </c>
      <c r="T3423" s="147" t="n">
        <v>0.0385012912199982</v>
      </c>
    </row>
    <row r="3424" customFormat="false" ht="12.75" hidden="false" customHeight="true" outlineLevel="0" collapsed="false">
      <c r="P3424" s="1" t="n">
        <v>3421</v>
      </c>
      <c r="Q3424" s="147" t="n">
        <v>76922.5896148713</v>
      </c>
      <c r="R3424" s="147" t="n">
        <v>0.274669654984851</v>
      </c>
      <c r="S3424" s="147" t="n">
        <v>0.101117669614878</v>
      </c>
      <c r="T3424" s="147" t="n">
        <v>0.0389395372918867</v>
      </c>
    </row>
    <row r="3425" customFormat="false" ht="12.75" hidden="false" customHeight="true" outlineLevel="0" collapsed="false">
      <c r="P3425" s="1" t="n">
        <v>3422</v>
      </c>
      <c r="Q3425" s="147" t="n">
        <v>76944.8956144703</v>
      </c>
      <c r="R3425" s="147" t="n">
        <v>0.274322953617324</v>
      </c>
      <c r="S3425" s="147" t="n">
        <v>0.100281689628029</v>
      </c>
      <c r="T3425" s="147" t="n">
        <v>0.0398047589352526</v>
      </c>
    </row>
    <row r="3426" customFormat="false" ht="12.75" hidden="false" customHeight="true" outlineLevel="0" collapsed="false">
      <c r="P3426" s="1" t="n">
        <v>3423</v>
      </c>
      <c r="Q3426" s="147" t="n">
        <v>76967.1225943213</v>
      </c>
      <c r="R3426" s="147" t="n">
        <v>0.273776881408036</v>
      </c>
      <c r="S3426" s="147" t="n">
        <v>0.0996797848429876</v>
      </c>
      <c r="T3426" s="147" t="n">
        <v>0.0407343794454096</v>
      </c>
    </row>
    <row r="3427" customFormat="false" ht="12.75" hidden="false" customHeight="true" outlineLevel="0" collapsed="false">
      <c r="P3427" s="1" t="n">
        <v>3424</v>
      </c>
      <c r="Q3427" s="147" t="n">
        <v>76989.5875247983</v>
      </c>
      <c r="R3427" s="147" t="n">
        <v>0.273116291258759</v>
      </c>
      <c r="S3427" s="147" t="n">
        <v>0.0992668804049547</v>
      </c>
      <c r="T3427" s="147" t="n">
        <v>0.0415476546316446</v>
      </c>
    </row>
    <row r="3428" customFormat="false" ht="12.75" hidden="false" customHeight="true" outlineLevel="0" collapsed="false">
      <c r="P3428" s="1" t="n">
        <v>3425</v>
      </c>
      <c r="Q3428" s="147" t="n">
        <v>77012.1598108893</v>
      </c>
      <c r="R3428" s="147" t="n">
        <v>0.2722748659324</v>
      </c>
      <c r="S3428" s="147" t="n">
        <v>0.0987278514873781</v>
      </c>
      <c r="T3428" s="147" t="n">
        <v>0.041157884603651</v>
      </c>
    </row>
    <row r="3429" customFormat="false" ht="12.75" hidden="false" customHeight="true" outlineLevel="0" collapsed="false">
      <c r="P3429" s="1" t="n">
        <v>3426</v>
      </c>
      <c r="Q3429" s="147" t="n">
        <v>77035.0035650313</v>
      </c>
      <c r="R3429" s="147" t="n">
        <v>0.27182875651416</v>
      </c>
      <c r="S3429" s="147" t="n">
        <v>0.0989225157352349</v>
      </c>
      <c r="T3429" s="147" t="n">
        <v>0.0398552041666703</v>
      </c>
    </row>
    <row r="3430" customFormat="false" ht="12.75" hidden="false" customHeight="true" outlineLevel="0" collapsed="false">
      <c r="P3430" s="1" t="n">
        <v>3427</v>
      </c>
      <c r="Q3430" s="147" t="n">
        <v>77058.1557620843</v>
      </c>
      <c r="R3430" s="147" t="n">
        <v>0.27108594761246</v>
      </c>
      <c r="S3430" s="147" t="n">
        <v>0.100516527504537</v>
      </c>
      <c r="T3430" s="147" t="n">
        <v>0.039508632895851</v>
      </c>
    </row>
    <row r="3431" customFormat="false" ht="12.75" hidden="false" customHeight="true" outlineLevel="0" collapsed="false">
      <c r="P3431" s="1" t="n">
        <v>3428</v>
      </c>
      <c r="Q3431" s="147" t="n">
        <v>77080.7950039943</v>
      </c>
      <c r="R3431" s="147" t="n">
        <v>0.270003717427591</v>
      </c>
      <c r="S3431" s="147" t="n">
        <v>0.101864502055804</v>
      </c>
      <c r="T3431" s="147" t="n">
        <v>0.0378945102184643</v>
      </c>
    </row>
    <row r="3432" customFormat="false" ht="12.75" hidden="false" customHeight="true" outlineLevel="0" collapsed="false">
      <c r="P3432" s="1" t="n">
        <v>3429</v>
      </c>
      <c r="Q3432" s="147" t="n">
        <v>77102.5282171253</v>
      </c>
      <c r="R3432" s="147" t="n">
        <v>0.269019706100898</v>
      </c>
      <c r="S3432" s="147" t="n">
        <v>0.101783261866673</v>
      </c>
      <c r="T3432" s="147" t="n">
        <v>0.0369598466444294</v>
      </c>
    </row>
    <row r="3433" customFormat="false" ht="12.75" hidden="false" customHeight="true" outlineLevel="0" collapsed="false">
      <c r="P3433" s="1" t="n">
        <v>3430</v>
      </c>
      <c r="Q3433" s="147" t="n">
        <v>77125.2186460283</v>
      </c>
      <c r="R3433" s="147" t="n">
        <v>0.267465128153452</v>
      </c>
      <c r="S3433" s="147" t="n">
        <v>0.101588219657423</v>
      </c>
      <c r="T3433" s="147" t="n">
        <v>0.0345964070349201</v>
      </c>
    </row>
    <row r="3434" customFormat="false" ht="12.75" hidden="false" customHeight="true" outlineLevel="0" collapsed="false">
      <c r="P3434" s="1" t="n">
        <v>3431</v>
      </c>
      <c r="Q3434" s="147" t="n">
        <v>77146.9256240753</v>
      </c>
      <c r="R3434" s="147" t="n">
        <v>0.26664124678348</v>
      </c>
      <c r="S3434" s="147" t="n">
        <v>0.0995892481594131</v>
      </c>
      <c r="T3434" s="147" t="n">
        <v>0.03293361108097</v>
      </c>
    </row>
    <row r="3435" customFormat="false" ht="12.75" hidden="false" customHeight="true" outlineLevel="0" collapsed="false">
      <c r="P3435" s="1" t="n">
        <v>3432</v>
      </c>
      <c r="Q3435" s="147" t="n">
        <v>77169.6688363543</v>
      </c>
      <c r="R3435" s="147" t="n">
        <v>0.265771111178925</v>
      </c>
      <c r="S3435" s="147" t="n">
        <v>0.0945694701719085</v>
      </c>
      <c r="T3435" s="147" t="n">
        <v>0.0319367987136238</v>
      </c>
    </row>
    <row r="3436" customFormat="false" ht="12.75" hidden="false" customHeight="true" outlineLevel="0" collapsed="false">
      <c r="P3436" s="1" t="n">
        <v>3433</v>
      </c>
      <c r="Q3436" s="147" t="n">
        <v>77191.7540170793</v>
      </c>
      <c r="R3436" s="147" t="n">
        <v>0.265638205697002</v>
      </c>
      <c r="S3436" s="147" t="n">
        <v>0.0916565902424954</v>
      </c>
      <c r="T3436" s="147" t="n">
        <v>0.0301700699771631</v>
      </c>
    </row>
    <row r="3437" customFormat="false" ht="12.75" hidden="false" customHeight="true" outlineLevel="0" collapsed="false">
      <c r="P3437" s="1" t="n">
        <v>3434</v>
      </c>
      <c r="Q3437" s="147" t="n">
        <v>77214.3562321393</v>
      </c>
      <c r="R3437" s="147" t="n">
        <v>0.266145318759567</v>
      </c>
      <c r="S3437" s="147" t="n">
        <v>0.0833802199976968</v>
      </c>
      <c r="T3437" s="147" t="n">
        <v>0.0298755418118177</v>
      </c>
    </row>
    <row r="3438" customFormat="false" ht="12.75" hidden="false" customHeight="true" outlineLevel="0" collapsed="false">
      <c r="P3438" s="1" t="n">
        <v>3435</v>
      </c>
      <c r="Q3438" s="147" t="n">
        <v>77236.2901743473</v>
      </c>
      <c r="R3438" s="147" t="n">
        <v>0.266547179308364</v>
      </c>
      <c r="S3438" s="147" t="n">
        <v>0.0797009281758186</v>
      </c>
      <c r="T3438" s="147" t="n">
        <v>0.0289066298793219</v>
      </c>
    </row>
    <row r="3439" customFormat="false" ht="12.75" hidden="false" customHeight="true" outlineLevel="0" collapsed="false">
      <c r="P3439" s="1" t="n">
        <v>3436</v>
      </c>
      <c r="Q3439" s="147" t="n">
        <v>77259.2832528243</v>
      </c>
      <c r="R3439" s="147" t="n">
        <v>0.26756712773553</v>
      </c>
      <c r="S3439" s="147" t="n">
        <v>0.067899831829371</v>
      </c>
      <c r="T3439" s="147" t="n">
        <v>0.0300528417489786</v>
      </c>
    </row>
    <row r="3440" customFormat="false" ht="12.75" hidden="false" customHeight="true" outlineLevel="0" collapsed="false">
      <c r="P3440" s="1" t="n">
        <v>3437</v>
      </c>
      <c r="Q3440" s="147" t="n">
        <v>77281.2481213973</v>
      </c>
      <c r="R3440" s="147" t="n">
        <v>0.267977560754288</v>
      </c>
      <c r="S3440" s="147" t="n">
        <v>0.0647803105267679</v>
      </c>
      <c r="T3440" s="147" t="n">
        <v>0.0299378795324602</v>
      </c>
    </row>
    <row r="3441" customFormat="false" ht="12.75" hidden="false" customHeight="true" outlineLevel="0" collapsed="false">
      <c r="P3441" s="1" t="n">
        <v>3438</v>
      </c>
      <c r="Q3441" s="147" t="n">
        <v>77303.7516683173</v>
      </c>
      <c r="R3441" s="147" t="n">
        <v>0.268537259421128</v>
      </c>
      <c r="S3441" s="147" t="n">
        <v>0.0584182635574139</v>
      </c>
      <c r="T3441" s="147" t="n">
        <v>0.0306970621323305</v>
      </c>
    </row>
    <row r="3442" customFormat="false" ht="12.75" hidden="false" customHeight="true" outlineLevel="0" collapsed="false">
      <c r="P3442" s="1" t="n">
        <v>3439</v>
      </c>
      <c r="Q3442" s="147" t="n">
        <v>77325.7946684133</v>
      </c>
      <c r="R3442" s="147" t="n">
        <v>0.268918003514148</v>
      </c>
      <c r="S3442" s="147" t="n">
        <v>0.0567130942312728</v>
      </c>
      <c r="T3442" s="147" t="n">
        <v>0.031897090965735</v>
      </c>
    </row>
    <row r="3443" customFormat="false" ht="12.75" hidden="false" customHeight="true" outlineLevel="0" collapsed="false">
      <c r="P3443" s="1" t="n">
        <v>3440</v>
      </c>
      <c r="Q3443" s="147" t="n">
        <v>77348.3261685483</v>
      </c>
      <c r="R3443" s="147" t="n">
        <v>0.269780593053444</v>
      </c>
      <c r="S3443" s="147" t="n">
        <v>0.0544320856623849</v>
      </c>
      <c r="T3443" s="147" t="n">
        <v>0.032918121357169</v>
      </c>
    </row>
    <row r="3444" customFormat="false" ht="12.75" hidden="false" customHeight="true" outlineLevel="0" collapsed="false">
      <c r="P3444" s="1" t="n">
        <v>3441</v>
      </c>
      <c r="Q3444" s="147" t="n">
        <v>77370.9520832583</v>
      </c>
      <c r="R3444" s="147" t="n">
        <v>0.270146954348632</v>
      </c>
      <c r="S3444" s="147" t="n">
        <v>0.0549233402397832</v>
      </c>
      <c r="T3444" s="147" t="n">
        <v>0.032939074038486</v>
      </c>
    </row>
    <row r="3445" customFormat="false" ht="12.75" hidden="false" customHeight="true" outlineLevel="0" collapsed="false">
      <c r="P3445" s="1" t="n">
        <v>3442</v>
      </c>
      <c r="Q3445" s="147" t="n">
        <v>77393.4495976383</v>
      </c>
      <c r="R3445" s="147" t="n">
        <v>0.27033363726339</v>
      </c>
      <c r="S3445" s="147" t="n">
        <v>0.0578795059613674</v>
      </c>
      <c r="T3445" s="147" t="n">
        <v>0.032694743227688</v>
      </c>
    </row>
    <row r="3446" customFormat="false" ht="12.75" hidden="false" customHeight="true" outlineLevel="0" collapsed="false">
      <c r="P3446" s="1" t="n">
        <v>3443</v>
      </c>
      <c r="Q3446" s="147" t="n">
        <v>77415.8075100073</v>
      </c>
      <c r="R3446" s="147" t="n">
        <v>0.270457785267436</v>
      </c>
      <c r="S3446" s="147" t="n">
        <v>0.0641077120409979</v>
      </c>
      <c r="T3446" s="147" t="n">
        <v>0.0317119979844997</v>
      </c>
    </row>
    <row r="3447" customFormat="false" ht="12.75" hidden="false" customHeight="true" outlineLevel="0" collapsed="false">
      <c r="P3447" s="1" t="n">
        <v>3444</v>
      </c>
      <c r="Q3447" s="147" t="n">
        <v>77438.1228265783</v>
      </c>
      <c r="R3447" s="147" t="n">
        <v>0.270425159590082</v>
      </c>
      <c r="S3447" s="147" t="n">
        <v>0.0710764806413445</v>
      </c>
      <c r="T3447" s="147" t="n">
        <v>0.0307304374795587</v>
      </c>
    </row>
    <row r="3448" customFormat="false" ht="12.75" hidden="false" customHeight="true" outlineLevel="0" collapsed="false">
      <c r="P3448" s="1" t="n">
        <v>3445</v>
      </c>
      <c r="Q3448" s="147" t="n">
        <v>77460.6741175453</v>
      </c>
      <c r="R3448" s="147" t="n">
        <v>0.270249790538901</v>
      </c>
      <c r="S3448" s="147" t="n">
        <v>0.0789331826413101</v>
      </c>
      <c r="T3448" s="147" t="n">
        <v>0.029390630320698</v>
      </c>
    </row>
    <row r="3449" customFormat="false" ht="12.75" hidden="false" customHeight="true" outlineLevel="0" collapsed="false">
      <c r="P3449" s="1" t="n">
        <v>3446</v>
      </c>
      <c r="Q3449" s="147" t="n">
        <v>77483.0259275283</v>
      </c>
      <c r="R3449" s="147" t="n">
        <v>0.269760677358205</v>
      </c>
      <c r="S3449" s="147" t="n">
        <v>0.0850680634603001</v>
      </c>
      <c r="T3449" s="147" t="n">
        <v>0.0280786982199984</v>
      </c>
    </row>
    <row r="3450" customFormat="false" ht="12.75" hidden="false" customHeight="true" outlineLevel="0" collapsed="false">
      <c r="P3450" s="1" t="n">
        <v>3447</v>
      </c>
      <c r="Q3450" s="147" t="n">
        <v>77505.5582588613</v>
      </c>
      <c r="R3450" s="147" t="n">
        <v>0.269105944083649</v>
      </c>
      <c r="S3450" s="147" t="n">
        <v>0.0916217140802517</v>
      </c>
      <c r="T3450" s="147" t="n">
        <v>0.0261803952205791</v>
      </c>
    </row>
    <row r="3451" customFormat="false" ht="12.75" hidden="false" customHeight="true" outlineLevel="0" collapsed="false">
      <c r="P3451" s="1" t="n">
        <v>3448</v>
      </c>
      <c r="Q3451" s="147" t="n">
        <v>77527.6424437773</v>
      </c>
      <c r="R3451" s="147" t="n">
        <v>0.268542415640331</v>
      </c>
      <c r="S3451" s="147" t="n">
        <v>0.0957479377941138</v>
      </c>
      <c r="T3451" s="147" t="n">
        <v>0.024685669032897</v>
      </c>
    </row>
    <row r="3452" customFormat="false" ht="12.75" hidden="false" customHeight="true" outlineLevel="0" collapsed="false">
      <c r="P3452" s="1" t="n">
        <v>3449</v>
      </c>
      <c r="Q3452" s="147" t="n">
        <v>77550.2200611763</v>
      </c>
      <c r="R3452" s="147" t="n">
        <v>0.267705378601602</v>
      </c>
      <c r="S3452" s="147" t="n">
        <v>0.0986395699165305</v>
      </c>
      <c r="T3452" s="147" t="n">
        <v>0.0238209884678711</v>
      </c>
    </row>
    <row r="3453" customFormat="false" ht="12.75" hidden="false" customHeight="true" outlineLevel="0" collapsed="false">
      <c r="P3453" s="1" t="n">
        <v>3450</v>
      </c>
      <c r="Q3453" s="147" t="n">
        <v>77572.8624195543</v>
      </c>
      <c r="R3453" s="147" t="n">
        <v>0.267897051476491</v>
      </c>
      <c r="S3453" s="147" t="n">
        <v>0.0973134717647905</v>
      </c>
      <c r="T3453" s="147" t="n">
        <v>0.0235517911331722</v>
      </c>
    </row>
    <row r="3454" customFormat="false" ht="12.75" hidden="false" customHeight="true" outlineLevel="0" collapsed="false">
      <c r="P3454" s="1" t="n">
        <v>3451</v>
      </c>
      <c r="Q3454" s="147" t="n">
        <v>77595.4319450583</v>
      </c>
      <c r="R3454" s="147" t="n">
        <v>0.268207792224847</v>
      </c>
      <c r="S3454" s="147" t="n">
        <v>0.092639291262374</v>
      </c>
      <c r="T3454" s="147" t="n">
        <v>0.0231506718738083</v>
      </c>
    </row>
    <row r="3455" customFormat="false" ht="12.75" hidden="false" customHeight="true" outlineLevel="0" collapsed="false">
      <c r="P3455" s="1" t="n">
        <v>3452</v>
      </c>
      <c r="Q3455" s="147" t="n">
        <v>77618.1474846403</v>
      </c>
      <c r="R3455" s="147" t="n">
        <v>0.26883782095093</v>
      </c>
      <c r="S3455" s="147" t="n">
        <v>0.0862843697621057</v>
      </c>
      <c r="T3455" s="147" t="n">
        <v>0.0227184022317746</v>
      </c>
    </row>
    <row r="3456" customFormat="false" ht="12.75" hidden="false" customHeight="true" outlineLevel="0" collapsed="false">
      <c r="P3456" s="1" t="n">
        <v>3453</v>
      </c>
      <c r="Q3456" s="147" t="n">
        <v>77640.6264048793</v>
      </c>
      <c r="R3456" s="147" t="n">
        <v>0.269848922191438</v>
      </c>
      <c r="S3456" s="147" t="n">
        <v>0.0828198926605362</v>
      </c>
      <c r="T3456" s="147" t="n">
        <v>0.0224884773623523</v>
      </c>
    </row>
    <row r="3457" customFormat="false" ht="12.75" hidden="false" customHeight="true" outlineLevel="0" collapsed="false">
      <c r="P3457" s="1" t="n">
        <v>3454</v>
      </c>
      <c r="Q3457" s="147" t="n">
        <v>77663.1980149443</v>
      </c>
      <c r="R3457" s="147" t="n">
        <v>0.270447667898019</v>
      </c>
      <c r="S3457" s="147" t="n">
        <v>0.0756384248635717</v>
      </c>
      <c r="T3457" s="147" t="n">
        <v>0.0230633563841212</v>
      </c>
    </row>
    <row r="3458" customFormat="false" ht="12.75" hidden="false" customHeight="true" outlineLevel="0" collapsed="false">
      <c r="P3458" s="1" t="n">
        <v>3455</v>
      </c>
      <c r="Q3458" s="147" t="n">
        <v>77685.0272827103</v>
      </c>
      <c r="R3458" s="147" t="n">
        <v>0.271111155846914</v>
      </c>
      <c r="S3458" s="147" t="n">
        <v>0.0747916213582054</v>
      </c>
      <c r="T3458" s="147" t="n">
        <v>0.023096828514899</v>
      </c>
    </row>
    <row r="3459" customFormat="false" ht="12.75" hidden="false" customHeight="true" outlineLevel="0" collapsed="false">
      <c r="P3459" s="1" t="n">
        <v>3456</v>
      </c>
      <c r="Q3459" s="147" t="n">
        <v>77707.5878926803</v>
      </c>
      <c r="R3459" s="147" t="n">
        <v>0.271959579110648</v>
      </c>
      <c r="S3459" s="147" t="n">
        <v>0.0708291871701253</v>
      </c>
      <c r="T3459" s="147" t="n">
        <v>0.0235768028814248</v>
      </c>
    </row>
    <row r="3460" customFormat="false" ht="12.75" hidden="false" customHeight="true" outlineLevel="0" collapsed="false">
      <c r="P3460" s="1" t="n">
        <v>3457</v>
      </c>
      <c r="Q3460" s="147" t="n">
        <v>77729.3054077183</v>
      </c>
      <c r="R3460" s="147" t="n">
        <v>0.272051031949717</v>
      </c>
      <c r="S3460" s="147" t="n">
        <v>0.0710835608078261</v>
      </c>
      <c r="T3460" s="147" t="n">
        <v>0.0238149011072091</v>
      </c>
    </row>
    <row r="3461" customFormat="false" ht="12.75" hidden="false" customHeight="true" outlineLevel="0" collapsed="false">
      <c r="P3461" s="1" t="n">
        <v>3458</v>
      </c>
      <c r="Q3461" s="147" t="n">
        <v>77752.1253970383</v>
      </c>
      <c r="R3461" s="147" t="n">
        <v>0.27217959582521</v>
      </c>
      <c r="S3461" s="147" t="n">
        <v>0.0720140340925514</v>
      </c>
      <c r="T3461" s="147" t="n">
        <v>0.0243786113157479</v>
      </c>
    </row>
    <row r="3462" customFormat="false" ht="12.75" hidden="false" customHeight="true" outlineLevel="0" collapsed="false">
      <c r="P3462" s="1" t="n">
        <v>3459</v>
      </c>
      <c r="Q3462" s="147" t="n">
        <v>77774.2312580163</v>
      </c>
      <c r="R3462" s="147" t="n">
        <v>0.272385632217392</v>
      </c>
      <c r="S3462" s="147" t="n">
        <v>0.0732951870787741</v>
      </c>
      <c r="T3462" s="147" t="n">
        <v>0.0247792648932255</v>
      </c>
    </row>
    <row r="3463" customFormat="false" ht="12.75" hidden="false" customHeight="true" outlineLevel="0" collapsed="false">
      <c r="P3463" s="1" t="n">
        <v>3460</v>
      </c>
      <c r="Q3463" s="147" t="n">
        <v>77797.3211084733</v>
      </c>
      <c r="R3463" s="147" t="n">
        <v>0.272940923266996</v>
      </c>
      <c r="S3463" s="147" t="n">
        <v>0.0818050217003525</v>
      </c>
      <c r="T3463" s="147" t="n">
        <v>0.0243216676489104</v>
      </c>
    </row>
    <row r="3464" customFormat="false" ht="12.75" hidden="false" customHeight="true" outlineLevel="0" collapsed="false">
      <c r="P3464" s="1" t="n">
        <v>3461</v>
      </c>
      <c r="Q3464" s="147" t="n">
        <v>77819.1471185333</v>
      </c>
      <c r="R3464" s="147" t="n">
        <v>0.273332321451145</v>
      </c>
      <c r="S3464" s="147" t="n">
        <v>0.0829030928347207</v>
      </c>
      <c r="T3464" s="147" t="n">
        <v>0.0257882987675376</v>
      </c>
    </row>
    <row r="3465" customFormat="false" ht="12.75" hidden="false" customHeight="true" outlineLevel="0" collapsed="false">
      <c r="P3465" s="1" t="n">
        <v>3462</v>
      </c>
      <c r="Q3465" s="147" t="n">
        <v>77841.9525252523</v>
      </c>
      <c r="R3465" s="147" t="n">
        <v>0.274506243062708</v>
      </c>
      <c r="S3465" s="147" t="n">
        <v>0.0877370245296456</v>
      </c>
      <c r="T3465" s="147" t="n">
        <v>0.0265836105490568</v>
      </c>
    </row>
    <row r="3466" customFormat="false" ht="12.75" hidden="false" customHeight="true" outlineLevel="0" collapsed="false">
      <c r="P3466" s="1" t="n">
        <v>3463</v>
      </c>
      <c r="Q3466" s="147" t="n">
        <v>77864.1562811743</v>
      </c>
      <c r="R3466" s="147" t="n">
        <v>0.275384185917645</v>
      </c>
      <c r="S3466" s="147" t="n">
        <v>0.0877855120572314</v>
      </c>
      <c r="T3466" s="147" t="n">
        <v>0.0275003351831713</v>
      </c>
    </row>
    <row r="3467" customFormat="false" ht="12.75" hidden="false" customHeight="true" outlineLevel="0" collapsed="false">
      <c r="P3467" s="1" t="n">
        <v>3464</v>
      </c>
      <c r="Q3467" s="147" t="n">
        <v>77887.0428050053</v>
      </c>
      <c r="R3467" s="147" t="n">
        <v>0.276930218498951</v>
      </c>
      <c r="S3467" s="147" t="n">
        <v>0.0884894657412679</v>
      </c>
      <c r="T3467" s="147" t="n">
        <v>0.0277338625968613</v>
      </c>
    </row>
    <row r="3468" customFormat="false" ht="12.75" hidden="false" customHeight="true" outlineLevel="0" collapsed="false">
      <c r="P3468" s="1" t="n">
        <v>3465</v>
      </c>
      <c r="Q3468" s="147" t="n">
        <v>77908.9739139603</v>
      </c>
      <c r="R3468" s="147" t="n">
        <v>0.277784912774717</v>
      </c>
      <c r="S3468" s="147" t="n">
        <v>0.0872091788413486</v>
      </c>
      <c r="T3468" s="147" t="n">
        <v>0.0283366452019698</v>
      </c>
    </row>
    <row r="3469" customFormat="false" ht="12.75" hidden="false" customHeight="true" outlineLevel="0" collapsed="false">
      <c r="P3469" s="1" t="n">
        <v>3466</v>
      </c>
      <c r="Q3469" s="147" t="n">
        <v>77931.7455547853</v>
      </c>
      <c r="R3469" s="147" t="n">
        <v>0.278774110851048</v>
      </c>
      <c r="S3469" s="147" t="n">
        <v>0.0828039430810338</v>
      </c>
      <c r="T3469" s="147" t="n">
        <v>0.0289345619275069</v>
      </c>
    </row>
    <row r="3470" customFormat="false" ht="12.75" hidden="false" customHeight="true" outlineLevel="0" collapsed="false">
      <c r="P3470" s="1" t="n">
        <v>3467</v>
      </c>
      <c r="Q3470" s="147" t="n">
        <v>77953.7088353103</v>
      </c>
      <c r="R3470" s="147" t="n">
        <v>0.278902253523743</v>
      </c>
      <c r="S3470" s="147" t="n">
        <v>0.0802373885184221</v>
      </c>
      <c r="T3470" s="147" t="n">
        <v>0.0285905105862536</v>
      </c>
    </row>
    <row r="3471" customFormat="false" ht="12.75" hidden="false" customHeight="true" outlineLevel="0" collapsed="false">
      <c r="P3471" s="1" t="n">
        <v>3468</v>
      </c>
      <c r="Q3471" s="147" t="n">
        <v>77976.6513593043</v>
      </c>
      <c r="R3471" s="147" t="n">
        <v>0.279214011673622</v>
      </c>
      <c r="S3471" s="147" t="n">
        <v>0.0728341625487938</v>
      </c>
      <c r="T3471" s="147" t="n">
        <v>0.0286369612760285</v>
      </c>
    </row>
    <row r="3472" customFormat="false" ht="12.75" hidden="false" customHeight="true" outlineLevel="0" collapsed="false">
      <c r="P3472" s="1" t="n">
        <v>3469</v>
      </c>
      <c r="Q3472" s="147" t="n">
        <v>77998.5793055223</v>
      </c>
      <c r="R3472" s="147" t="n">
        <v>0.278767632664486</v>
      </c>
      <c r="S3472" s="147" t="n">
        <v>0.0712162808241636</v>
      </c>
      <c r="T3472" s="147" t="n">
        <v>0.0278840221003012</v>
      </c>
    </row>
    <row r="3473" customFormat="false" ht="12.75" hidden="false" customHeight="true" outlineLevel="0" collapsed="false">
      <c r="P3473" s="1" t="n">
        <v>3470</v>
      </c>
      <c r="Q3473" s="147" t="n">
        <v>78021.4259551153</v>
      </c>
      <c r="R3473" s="147" t="n">
        <v>0.278557228826783</v>
      </c>
      <c r="S3473" s="147" t="n">
        <v>0.0682331262626288</v>
      </c>
      <c r="T3473" s="147" t="n">
        <v>0.0275590632558305</v>
      </c>
    </row>
    <row r="3474" customFormat="false" ht="12.75" hidden="false" customHeight="true" outlineLevel="0" collapsed="false">
      <c r="P3474" s="1" t="n">
        <v>3471</v>
      </c>
      <c r="Q3474" s="147" t="n">
        <v>78043.4893320343</v>
      </c>
      <c r="R3474" s="147" t="n">
        <v>0.27798675336918</v>
      </c>
      <c r="S3474" s="147" t="n">
        <v>0.0680222257150092</v>
      </c>
      <c r="T3474" s="147" t="n">
        <v>0.0262209094168068</v>
      </c>
    </row>
    <row r="3475" customFormat="false" ht="12.75" hidden="false" customHeight="true" outlineLevel="0" collapsed="false">
      <c r="P3475" s="1" t="n">
        <v>3472</v>
      </c>
      <c r="Q3475" s="147" t="n">
        <v>78066.1705842363</v>
      </c>
      <c r="R3475" s="147" t="n">
        <v>0.277345842037113</v>
      </c>
      <c r="S3475" s="147" t="n">
        <v>0.0687902476077087</v>
      </c>
      <c r="T3475" s="147" t="n">
        <v>0.0249930145115869</v>
      </c>
    </row>
    <row r="3476" customFormat="false" ht="12.75" hidden="false" customHeight="true" outlineLevel="0" collapsed="false">
      <c r="P3476" s="1" t="n">
        <v>3473</v>
      </c>
      <c r="Q3476" s="147" t="n">
        <v>78088.3687291103</v>
      </c>
      <c r="R3476" s="147" t="n">
        <v>0.276856613728125</v>
      </c>
      <c r="S3476" s="147" t="n">
        <v>0.0695557516884525</v>
      </c>
      <c r="T3476" s="147" t="n">
        <v>0.0235952402931003</v>
      </c>
    </row>
    <row r="3477" customFormat="false" ht="12.75" hidden="false" customHeight="true" outlineLevel="0" collapsed="false">
      <c r="P3477" s="1" t="n">
        <v>3474</v>
      </c>
      <c r="Q3477" s="147" t="n">
        <v>78111.1065623833</v>
      </c>
      <c r="R3477" s="147" t="n">
        <v>0.275853710609258</v>
      </c>
      <c r="S3477" s="147" t="n">
        <v>0.0718054652213498</v>
      </c>
      <c r="T3477" s="147" t="n">
        <v>0.0219198472506307</v>
      </c>
    </row>
    <row r="3478" customFormat="false" ht="12.75" hidden="false" customHeight="true" outlineLevel="0" collapsed="false">
      <c r="P3478" s="1" t="n">
        <v>3475</v>
      </c>
      <c r="Q3478" s="147" t="n">
        <v>78133.3200975553</v>
      </c>
      <c r="R3478" s="147" t="n">
        <v>0.275198024325031</v>
      </c>
      <c r="S3478" s="147" t="n">
        <v>0.0739408945778885</v>
      </c>
      <c r="T3478" s="147" t="n">
        <v>0.020985738099329</v>
      </c>
    </row>
    <row r="3479" customFormat="false" ht="12.75" hidden="false" customHeight="true" outlineLevel="0" collapsed="false">
      <c r="P3479" s="1" t="n">
        <v>3476</v>
      </c>
      <c r="Q3479" s="147" t="n">
        <v>78155.6017995223</v>
      </c>
      <c r="R3479" s="147" t="n">
        <v>0.273982734206368</v>
      </c>
      <c r="S3479" s="147" t="n">
        <v>0.077410187670104</v>
      </c>
      <c r="T3479" s="147" t="n">
        <v>0.0201429771526066</v>
      </c>
    </row>
    <row r="3480" customFormat="false" ht="12.75" hidden="false" customHeight="true" outlineLevel="0" collapsed="false">
      <c r="P3480" s="1" t="n">
        <v>3477</v>
      </c>
      <c r="Q3480" s="147" t="n">
        <v>78177.7882988743</v>
      </c>
      <c r="R3480" s="147" t="n">
        <v>0.272793523433046</v>
      </c>
      <c r="S3480" s="147" t="n">
        <v>0.0809024081683524</v>
      </c>
      <c r="T3480" s="147" t="n">
        <v>0.0199745916159966</v>
      </c>
    </row>
    <row r="3481" customFormat="false" ht="12.75" hidden="false" customHeight="true" outlineLevel="0" collapsed="false">
      <c r="P3481" s="1" t="n">
        <v>3478</v>
      </c>
      <c r="Q3481" s="147" t="n">
        <v>78200.4475479933</v>
      </c>
      <c r="R3481" s="147" t="n">
        <v>0.271724318210856</v>
      </c>
      <c r="S3481" s="147" t="n">
        <v>0.0849504353455259</v>
      </c>
      <c r="T3481" s="147" t="n">
        <v>0.0201748389416299</v>
      </c>
    </row>
    <row r="3482" customFormat="false" ht="12.75" hidden="false" customHeight="true" outlineLevel="0" collapsed="false">
      <c r="P3482" s="1" t="n">
        <v>3479</v>
      </c>
      <c r="Q3482" s="147" t="n">
        <v>78222.9472269863</v>
      </c>
      <c r="R3482" s="147" t="n">
        <v>0.270691225907825</v>
      </c>
      <c r="S3482" s="147" t="n">
        <v>0.0849374004352495</v>
      </c>
      <c r="T3482" s="147" t="n">
        <v>0.0204008504558102</v>
      </c>
    </row>
    <row r="3483" customFormat="false" ht="12.75" hidden="false" customHeight="true" outlineLevel="0" collapsed="false">
      <c r="P3483" s="1" t="n">
        <v>3480</v>
      </c>
      <c r="Q3483" s="147" t="n">
        <v>78245.4732135953</v>
      </c>
      <c r="R3483" s="147" t="n">
        <v>0.269592405686951</v>
      </c>
      <c r="S3483" s="147" t="n">
        <v>0.0834051225616359</v>
      </c>
      <c r="T3483" s="147" t="n">
        <v>0.0208276019603279</v>
      </c>
    </row>
    <row r="3484" customFormat="false" ht="12.75" hidden="false" customHeight="true" outlineLevel="0" collapsed="false">
      <c r="P3484" s="1" t="n">
        <v>3481</v>
      </c>
      <c r="Q3484" s="147" t="n">
        <v>78267.6543818083</v>
      </c>
      <c r="R3484" s="147" t="n">
        <v>0.269278839648155</v>
      </c>
      <c r="S3484" s="147" t="n">
        <v>0.080148520773423</v>
      </c>
      <c r="T3484" s="147" t="n">
        <v>0.0207382659885006</v>
      </c>
    </row>
    <row r="3485" customFormat="false" ht="12.75" hidden="false" customHeight="true" outlineLevel="0" collapsed="false">
      <c r="P3485" s="1" t="n">
        <v>3482</v>
      </c>
      <c r="Q3485" s="147" t="n">
        <v>78290.1287468863</v>
      </c>
      <c r="R3485" s="147" t="n">
        <v>0.268710598032826</v>
      </c>
      <c r="S3485" s="147" t="n">
        <v>0.0731778277919596</v>
      </c>
      <c r="T3485" s="147" t="n">
        <v>0.0221653053037706</v>
      </c>
    </row>
    <row r="3486" customFormat="false" ht="12.75" hidden="false" customHeight="true" outlineLevel="0" collapsed="false">
      <c r="P3486" s="1" t="n">
        <v>3483</v>
      </c>
      <c r="Q3486" s="147" t="n">
        <v>78312.0952624573</v>
      </c>
      <c r="R3486" s="147" t="n">
        <v>0.26870253103572</v>
      </c>
      <c r="S3486" s="147" t="n">
        <v>0.0692327819935383</v>
      </c>
      <c r="T3486" s="147" t="n">
        <v>0.021702032727732</v>
      </c>
    </row>
    <row r="3487" customFormat="false" ht="12.75" hidden="false" customHeight="true" outlineLevel="0" collapsed="false">
      <c r="P3487" s="1" t="n">
        <v>3484</v>
      </c>
      <c r="Q3487" s="147" t="n">
        <v>78334.6677846283</v>
      </c>
      <c r="R3487" s="147" t="n">
        <v>0.268234986081015</v>
      </c>
      <c r="S3487" s="147" t="n">
        <v>0.0626909098048998</v>
      </c>
      <c r="T3487" s="147" t="n">
        <v>0.023653048247852</v>
      </c>
    </row>
    <row r="3488" customFormat="false" ht="12.75" hidden="false" customHeight="true" outlineLevel="0" collapsed="false">
      <c r="P3488" s="1" t="n">
        <v>3485</v>
      </c>
      <c r="Q3488" s="147" t="n">
        <v>78356.5342905543</v>
      </c>
      <c r="R3488" s="147" t="n">
        <v>0.268007929859438</v>
      </c>
      <c r="S3488" s="147" t="n">
        <v>0.0606634817376187</v>
      </c>
      <c r="T3488" s="147" t="n">
        <v>0.0233785944667982</v>
      </c>
    </row>
    <row r="3489" customFormat="false" ht="12.75" hidden="false" customHeight="true" outlineLevel="0" collapsed="false">
      <c r="P3489" s="1" t="n">
        <v>3486</v>
      </c>
      <c r="Q3489" s="147" t="n">
        <v>78378.9246049023</v>
      </c>
      <c r="R3489" s="147" t="n">
        <v>0.267254647259752</v>
      </c>
      <c r="S3489" s="147" t="n">
        <v>0.0612204535265741</v>
      </c>
      <c r="T3489" s="147" t="n">
        <v>0.0257103356688536</v>
      </c>
    </row>
    <row r="3490" customFormat="false" ht="12.75" hidden="false" customHeight="true" outlineLevel="0" collapsed="false">
      <c r="P3490" s="1" t="n">
        <v>3487</v>
      </c>
      <c r="Q3490" s="147" t="n">
        <v>78401.1077738473</v>
      </c>
      <c r="R3490" s="147" t="n">
        <v>0.266859892000111</v>
      </c>
      <c r="S3490" s="147" t="n">
        <v>0.0653019875053742</v>
      </c>
      <c r="T3490" s="147" t="n">
        <v>0.026125741679841</v>
      </c>
    </row>
    <row r="3491" customFormat="false" ht="12.75" hidden="false" customHeight="true" outlineLevel="0" collapsed="false">
      <c r="P3491" s="1" t="n">
        <v>3488</v>
      </c>
      <c r="Q3491" s="147" t="n">
        <v>78423.3563322964</v>
      </c>
      <c r="R3491" s="147" t="n">
        <v>0.266338923154046</v>
      </c>
      <c r="S3491" s="147" t="n">
        <v>0.0706973223917877</v>
      </c>
      <c r="T3491" s="147" t="n">
        <v>0.0266082392346819</v>
      </c>
    </row>
    <row r="3492" customFormat="false" ht="12.75" hidden="false" customHeight="true" outlineLevel="0" collapsed="false">
      <c r="P3492" s="1" t="n">
        <v>3489</v>
      </c>
      <c r="Q3492" s="147" t="n">
        <v>78445.5762331924</v>
      </c>
      <c r="R3492" s="147" t="n">
        <v>0.265982428205118</v>
      </c>
      <c r="S3492" s="147" t="n">
        <v>0.0747640002665801</v>
      </c>
      <c r="T3492" s="147" t="n">
        <v>0.0271541372389581</v>
      </c>
    </row>
    <row r="3493" customFormat="false" ht="12.75" hidden="false" customHeight="true" outlineLevel="0" collapsed="false">
      <c r="P3493" s="1" t="n">
        <v>3490</v>
      </c>
      <c r="Q3493" s="147" t="n">
        <v>78467.8714105783</v>
      </c>
      <c r="R3493" s="147" t="n">
        <v>0.265815022439344</v>
      </c>
      <c r="S3493" s="147" t="n">
        <v>0.077996256135151</v>
      </c>
      <c r="T3493" s="147" t="n">
        <v>0.0275518481713093</v>
      </c>
    </row>
    <row r="3494" customFormat="false" ht="12.75" hidden="false" customHeight="true" outlineLevel="0" collapsed="false">
      <c r="P3494" s="1" t="n">
        <v>3491</v>
      </c>
      <c r="Q3494" s="147" t="n">
        <v>78490.2610184344</v>
      </c>
      <c r="R3494" s="147" t="n">
        <v>0.26586351206165</v>
      </c>
      <c r="S3494" s="147" t="n">
        <v>0.0787253642540719</v>
      </c>
      <c r="T3494" s="147" t="n">
        <v>0.0276142604486577</v>
      </c>
    </row>
    <row r="3495" customFormat="false" ht="12.75" hidden="false" customHeight="true" outlineLevel="0" collapsed="false">
      <c r="P3495" s="1" t="n">
        <v>3492</v>
      </c>
      <c r="Q3495" s="147" t="n">
        <v>78512.4280786864</v>
      </c>
      <c r="R3495" s="147" t="n">
        <v>0.266026053827955</v>
      </c>
      <c r="S3495" s="147" t="n">
        <v>0.0774414667322445</v>
      </c>
      <c r="T3495" s="147" t="n">
        <v>0.027311974392596</v>
      </c>
    </row>
    <row r="3496" customFormat="false" ht="12.75" hidden="false" customHeight="true" outlineLevel="0" collapsed="false">
      <c r="P3496" s="1" t="n">
        <v>3493</v>
      </c>
      <c r="Q3496" s="147" t="n">
        <v>78535.1638038274</v>
      </c>
      <c r="R3496" s="147" t="n">
        <v>0.266194217852903</v>
      </c>
      <c r="S3496" s="147" t="n">
        <v>0.0722771287224677</v>
      </c>
      <c r="T3496" s="147" t="n">
        <v>0.0265963652473084</v>
      </c>
    </row>
    <row r="3497" customFormat="false" ht="12.75" hidden="false" customHeight="true" outlineLevel="0" collapsed="false">
      <c r="P3497" s="1" t="n">
        <v>3494</v>
      </c>
      <c r="Q3497" s="147" t="n">
        <v>78557.8716539714</v>
      </c>
      <c r="R3497" s="147" t="n">
        <v>0.266076876459509</v>
      </c>
      <c r="S3497" s="147" t="n">
        <v>0.0664105961914152</v>
      </c>
      <c r="T3497" s="147" t="n">
        <v>0.026073970460497</v>
      </c>
    </row>
    <row r="3498" customFormat="false" ht="12.75" hidden="false" customHeight="true" outlineLevel="0" collapsed="false">
      <c r="P3498" s="1" t="n">
        <v>3495</v>
      </c>
      <c r="Q3498" s="147" t="n">
        <v>78579.9688947944</v>
      </c>
      <c r="R3498" s="147" t="n">
        <v>0.265707860196258</v>
      </c>
      <c r="S3498" s="147" t="n">
        <v>0.0633486679873877</v>
      </c>
      <c r="T3498" s="147" t="n">
        <v>0.0261016193447021</v>
      </c>
    </row>
    <row r="3499" customFormat="false" ht="12.75" hidden="false" customHeight="true" outlineLevel="0" collapsed="false">
      <c r="P3499" s="1" t="n">
        <v>3496</v>
      </c>
      <c r="Q3499" s="147" t="n">
        <v>78602.8077919204</v>
      </c>
      <c r="R3499" s="147" t="n">
        <v>0.265865602971125</v>
      </c>
      <c r="S3499" s="147" t="n">
        <v>0.0516076431019814</v>
      </c>
      <c r="T3499" s="147" t="n">
        <v>0.0237269890946264</v>
      </c>
    </row>
    <row r="3500" customFormat="false" ht="12.75" hidden="false" customHeight="true" outlineLevel="0" collapsed="false">
      <c r="P3500" s="1" t="n">
        <v>3497</v>
      </c>
      <c r="Q3500" s="147" t="n">
        <v>78624.8951442434</v>
      </c>
      <c r="R3500" s="147" t="n">
        <v>0.265348628068682</v>
      </c>
      <c r="S3500" s="147" t="n">
        <v>0.0491430934489033</v>
      </c>
      <c r="T3500" s="147" t="n">
        <v>0.023525780198</v>
      </c>
    </row>
    <row r="3501" customFormat="false" ht="12.75" hidden="false" customHeight="true" outlineLevel="0" collapsed="false">
      <c r="P3501" s="1" t="n">
        <v>3498</v>
      </c>
      <c r="Q3501" s="147" t="n">
        <v>78646.9249313884</v>
      </c>
      <c r="R3501" s="147" t="n">
        <v>0.265317591297791</v>
      </c>
      <c r="S3501" s="147" t="n">
        <v>0.0460775906640349</v>
      </c>
      <c r="T3501" s="147" t="n">
        <v>0.0233569330676003</v>
      </c>
    </row>
    <row r="3502" customFormat="false" ht="12.75" hidden="false" customHeight="true" outlineLevel="0" collapsed="false">
      <c r="P3502" s="1" t="n">
        <v>3499</v>
      </c>
      <c r="Q3502" s="147" t="n">
        <v>78669.3297043223</v>
      </c>
      <c r="R3502" s="147" t="n">
        <v>0.265306752203933</v>
      </c>
      <c r="S3502" s="147" t="n">
        <v>0.0476990076880218</v>
      </c>
      <c r="T3502" s="147" t="n">
        <v>0.0234143418706634</v>
      </c>
    </row>
    <row r="3503" customFormat="false" ht="12.75" hidden="false" customHeight="true" outlineLevel="0" collapsed="false">
      <c r="P3503" s="1" t="n">
        <v>3500</v>
      </c>
      <c r="Q3503" s="147" t="n">
        <v>78692.0833670214</v>
      </c>
      <c r="R3503" s="147" t="n">
        <v>0.264762670716991</v>
      </c>
      <c r="S3503" s="147" t="n">
        <v>0.0556502818967953</v>
      </c>
      <c r="T3503" s="147" t="n">
        <v>0.0241699083980715</v>
      </c>
    </row>
    <row r="3504" customFormat="false" ht="12.75" hidden="false" customHeight="true" outlineLevel="0" collapsed="false">
      <c r="P3504" s="1" t="n">
        <v>3501</v>
      </c>
      <c r="Q3504" s="147" t="n">
        <v>78714.8206166873</v>
      </c>
      <c r="R3504" s="147" t="n">
        <v>0.26455947698889</v>
      </c>
      <c r="S3504" s="147" t="n">
        <v>0.0683334213361461</v>
      </c>
      <c r="T3504" s="147" t="n">
        <v>0.0251347121231209</v>
      </c>
    </row>
    <row r="3505" customFormat="false" ht="12.75" hidden="false" customHeight="true" outlineLevel="0" collapsed="false">
      <c r="P3505" s="1" t="n">
        <v>3502</v>
      </c>
      <c r="Q3505" s="147" t="n">
        <v>78736.8677609833</v>
      </c>
      <c r="R3505" s="147" t="n">
        <v>0.264643271939443</v>
      </c>
      <c r="S3505" s="147" t="n">
        <v>0.072958841126393</v>
      </c>
      <c r="T3505" s="147" t="n">
        <v>0.0260995451477079</v>
      </c>
    </row>
    <row r="3506" customFormat="false" ht="12.75" hidden="false" customHeight="true" outlineLevel="0" collapsed="false">
      <c r="P3506" s="1" t="n">
        <v>3503</v>
      </c>
      <c r="Q3506" s="147" t="n">
        <v>78759.9919943393</v>
      </c>
      <c r="R3506" s="147" t="n">
        <v>0.265014203016057</v>
      </c>
      <c r="S3506" s="147" t="n">
        <v>0.0896285986476528</v>
      </c>
      <c r="T3506" s="147" t="n">
        <v>0.0297097018615676</v>
      </c>
    </row>
    <row r="3507" customFormat="false" ht="12.75" hidden="false" customHeight="true" outlineLevel="0" collapsed="false">
      <c r="P3507" s="1" t="n">
        <v>3504</v>
      </c>
      <c r="Q3507" s="147" t="n">
        <v>78782.0316635643</v>
      </c>
      <c r="R3507" s="147" t="n">
        <v>0.265149277181863</v>
      </c>
      <c r="S3507" s="147" t="n">
        <v>0.0942927177134801</v>
      </c>
      <c r="T3507" s="147" t="n">
        <v>0.0313764240982309</v>
      </c>
    </row>
    <row r="3508" customFormat="false" ht="12.75" hidden="false" customHeight="true" outlineLevel="0" collapsed="false">
      <c r="P3508" s="1" t="n">
        <v>3505</v>
      </c>
      <c r="Q3508" s="147" t="n">
        <v>78804.0951870743</v>
      </c>
      <c r="R3508" s="147" t="n">
        <v>0.2653559711855</v>
      </c>
      <c r="S3508" s="147" t="n">
        <v>0.099417305376569</v>
      </c>
      <c r="T3508" s="147" t="n">
        <v>0.0330520421023718</v>
      </c>
    </row>
    <row r="3509" customFormat="false" ht="12.75" hidden="false" customHeight="true" outlineLevel="0" collapsed="false">
      <c r="P3509" s="1" t="n">
        <v>3506</v>
      </c>
      <c r="Q3509" s="147" t="n">
        <v>78826.2820186363</v>
      </c>
      <c r="R3509" s="147" t="n">
        <v>0.26513414048279</v>
      </c>
      <c r="S3509" s="147" t="n">
        <v>0.104562347144417</v>
      </c>
      <c r="T3509" s="147" t="n">
        <v>0.0345621767629427</v>
      </c>
    </row>
    <row r="3510" customFormat="false" ht="12.75" hidden="false" customHeight="true" outlineLevel="0" collapsed="false">
      <c r="P3510" s="1" t="n">
        <v>3507</v>
      </c>
      <c r="Q3510" s="147" t="n">
        <v>78848.6637380633</v>
      </c>
      <c r="R3510" s="147" t="n">
        <v>0.264587768132965</v>
      </c>
      <c r="S3510" s="147" t="n">
        <v>0.106279798315794</v>
      </c>
      <c r="T3510" s="147" t="n">
        <v>0.0357002969485598</v>
      </c>
    </row>
    <row r="3511" customFormat="false" ht="12.75" hidden="false" customHeight="true" outlineLevel="0" collapsed="false">
      <c r="P3511" s="1" t="n">
        <v>3508</v>
      </c>
      <c r="Q3511" s="147" t="n">
        <v>78871.3960171263</v>
      </c>
      <c r="R3511" s="147" t="n">
        <v>0.263614716206424</v>
      </c>
      <c r="S3511" s="147" t="n">
        <v>0.103830704589213</v>
      </c>
      <c r="T3511" s="147" t="n">
        <v>0.0350434274739346</v>
      </c>
    </row>
    <row r="3512" customFormat="false" ht="12.75" hidden="false" customHeight="true" outlineLevel="0" collapsed="false">
      <c r="P3512" s="1" t="n">
        <v>3509</v>
      </c>
      <c r="Q3512" s="147" t="n">
        <v>78894.1307507613</v>
      </c>
      <c r="R3512" s="147" t="n">
        <v>0.262825734389466</v>
      </c>
      <c r="S3512" s="147" t="n">
        <v>0.0981520369072012</v>
      </c>
      <c r="T3512" s="147" t="n">
        <v>0.0344967686035043</v>
      </c>
    </row>
    <row r="3513" customFormat="false" ht="12.75" hidden="false" customHeight="true" outlineLevel="0" collapsed="false">
      <c r="P3513" s="1" t="n">
        <v>3510</v>
      </c>
      <c r="Q3513" s="147" t="n">
        <v>78916.3118428873</v>
      </c>
      <c r="R3513" s="147" t="n">
        <v>0.261706388575747</v>
      </c>
      <c r="S3513" s="147" t="n">
        <v>0.0967740614745403</v>
      </c>
      <c r="T3513" s="147" t="n">
        <v>0.0342773599738101</v>
      </c>
    </row>
    <row r="3514" customFormat="false" ht="12.75" hidden="false" customHeight="true" outlineLevel="0" collapsed="false">
      <c r="P3514" s="1" t="n">
        <v>3511</v>
      </c>
      <c r="Q3514" s="147" t="n">
        <v>78939.0007617363</v>
      </c>
      <c r="R3514" s="147" t="n">
        <v>0.260079710755367</v>
      </c>
      <c r="S3514" s="147" t="n">
        <v>0.0913098289952979</v>
      </c>
      <c r="T3514" s="147" t="n">
        <v>0.0318998213221336</v>
      </c>
    </row>
    <row r="3515" customFormat="false" ht="12.75" hidden="false" customHeight="true" outlineLevel="0" collapsed="false">
      <c r="P3515" s="1" t="n">
        <v>3512</v>
      </c>
      <c r="Q3515" s="147" t="n">
        <v>78960.7827945503</v>
      </c>
      <c r="R3515" s="147" t="n">
        <v>0.259078806639567</v>
      </c>
      <c r="S3515" s="147" t="n">
        <v>0.089150328442657</v>
      </c>
      <c r="T3515" s="147" t="n">
        <v>0.0301503492532834</v>
      </c>
    </row>
    <row r="3516" customFormat="false" ht="12.75" hidden="false" customHeight="true" outlineLevel="0" collapsed="false">
      <c r="P3516" s="1" t="n">
        <v>3513</v>
      </c>
      <c r="Q3516" s="147" t="n">
        <v>78983.3204722793</v>
      </c>
      <c r="R3516" s="147" t="n">
        <v>0.258075632760202</v>
      </c>
      <c r="S3516" s="147" t="n">
        <v>0.084823147584131</v>
      </c>
      <c r="T3516" s="147" t="n">
        <v>0.0279624540018113</v>
      </c>
    </row>
    <row r="3517" customFormat="false" ht="12.75" hidden="false" customHeight="true" outlineLevel="0" collapsed="false">
      <c r="P3517" s="1" t="n">
        <v>3514</v>
      </c>
      <c r="Q3517" s="147" t="n">
        <v>79005.9229654773</v>
      </c>
      <c r="R3517" s="147" t="n">
        <v>0.257759217191855</v>
      </c>
      <c r="S3517" s="147" t="n">
        <v>0.0826596033686602</v>
      </c>
      <c r="T3517" s="147" t="n">
        <v>0.0254853144448309</v>
      </c>
    </row>
    <row r="3518" customFormat="false" ht="12.75" hidden="false" customHeight="true" outlineLevel="0" collapsed="false">
      <c r="P3518" s="1" t="n">
        <v>3515</v>
      </c>
      <c r="Q3518" s="147" t="n">
        <v>79028.2218904083</v>
      </c>
      <c r="R3518" s="147" t="n">
        <v>0.258070050986604</v>
      </c>
      <c r="S3518" s="147" t="n">
        <v>0.0819555411191898</v>
      </c>
      <c r="T3518" s="147" t="n">
        <v>0.0242341691138756</v>
      </c>
    </row>
    <row r="3519" customFormat="false" ht="12.75" hidden="false" customHeight="true" outlineLevel="0" collapsed="false">
      <c r="P3519" s="1" t="n">
        <v>3516</v>
      </c>
      <c r="Q3519" s="147" t="n">
        <v>79050.8001823733</v>
      </c>
      <c r="R3519" s="147" t="n">
        <v>0.259146862652117</v>
      </c>
      <c r="S3519" s="147" t="n">
        <v>0.0826072851734317</v>
      </c>
      <c r="T3519" s="147" t="n">
        <v>0.0230131056204763</v>
      </c>
    </row>
    <row r="3520" customFormat="false" ht="12.75" hidden="false" customHeight="true" outlineLevel="0" collapsed="false">
      <c r="P3520" s="1" t="n">
        <v>3517</v>
      </c>
      <c r="Q3520" s="147" t="n">
        <v>79073.3857355183</v>
      </c>
      <c r="R3520" s="147" t="n">
        <v>0.260962016188066</v>
      </c>
      <c r="S3520" s="147" t="n">
        <v>0.0836095085630604</v>
      </c>
      <c r="T3520" s="147" t="n">
        <v>0.0226340471076035</v>
      </c>
    </row>
    <row r="3521" customFormat="false" ht="12.75" hidden="false" customHeight="true" outlineLevel="0" collapsed="false">
      <c r="P3521" s="1" t="n">
        <v>3518</v>
      </c>
      <c r="Q3521" s="147" t="n">
        <v>79095.6996075094</v>
      </c>
      <c r="R3521" s="147" t="n">
        <v>0.263080680738216</v>
      </c>
      <c r="S3521" s="147" t="n">
        <v>0.0843816974761558</v>
      </c>
      <c r="T3521" s="147" t="n">
        <v>0.022533429214579</v>
      </c>
    </row>
    <row r="3522" customFormat="false" ht="12.75" hidden="false" customHeight="true" outlineLevel="0" collapsed="false">
      <c r="P3522" s="1" t="n">
        <v>3519</v>
      </c>
      <c r="Q3522" s="147" t="n">
        <v>79118.0929885293</v>
      </c>
      <c r="R3522" s="147" t="n">
        <v>0.265288968628242</v>
      </c>
      <c r="S3522" s="147" t="n">
        <v>0.0849822541363699</v>
      </c>
      <c r="T3522" s="147" t="n">
        <v>0.023215409715224</v>
      </c>
    </row>
    <row r="3523" customFormat="false" ht="12.75" hidden="false" customHeight="true" outlineLevel="0" collapsed="false">
      <c r="P3523" s="1" t="n">
        <v>3520</v>
      </c>
      <c r="Q3523" s="147" t="n">
        <v>79140.0570563694</v>
      </c>
      <c r="R3523" s="147" t="n">
        <v>0.267062631398614</v>
      </c>
      <c r="S3523" s="147" t="n">
        <v>0.0859487379143759</v>
      </c>
      <c r="T3523" s="147" t="n">
        <v>0.0245565994674893</v>
      </c>
    </row>
    <row r="3524" customFormat="false" ht="12.75" hidden="false" customHeight="true" outlineLevel="0" collapsed="false">
      <c r="P3524" s="1" t="n">
        <v>3521</v>
      </c>
      <c r="Q3524" s="147" t="n">
        <v>79162.3310029614</v>
      </c>
      <c r="R3524" s="147" t="n">
        <v>0.268265444042859</v>
      </c>
      <c r="S3524" s="147" t="n">
        <v>0.0875255113016449</v>
      </c>
      <c r="T3524" s="147" t="n">
        <v>0.0267122544967089</v>
      </c>
    </row>
    <row r="3525" customFormat="false" ht="12.75" hidden="false" customHeight="true" outlineLevel="0" collapsed="false">
      <c r="P3525" s="1" t="n">
        <v>3522</v>
      </c>
      <c r="Q3525" s="147" t="n">
        <v>79184.9812832163</v>
      </c>
      <c r="R3525" s="147" t="n">
        <v>0.268820188280279</v>
      </c>
      <c r="S3525" s="147" t="n">
        <v>0.0895981554791074</v>
      </c>
      <c r="T3525" s="147" t="n">
        <v>0.0285332482417283</v>
      </c>
    </row>
    <row r="3526" customFormat="false" ht="12.75" hidden="false" customHeight="true" outlineLevel="0" collapsed="false">
      <c r="P3526" s="1" t="n">
        <v>3523</v>
      </c>
      <c r="Q3526" s="147" t="n">
        <v>79207.6739404514</v>
      </c>
      <c r="R3526" s="147" t="n">
        <v>0.269125922023808</v>
      </c>
      <c r="S3526" s="147" t="n">
        <v>0.0923182314907891</v>
      </c>
      <c r="T3526" s="147" t="n">
        <v>0.0297824036543321</v>
      </c>
    </row>
    <row r="3527" customFormat="false" ht="12.75" hidden="false" customHeight="true" outlineLevel="0" collapsed="false">
      <c r="P3527" s="1" t="n">
        <v>3524</v>
      </c>
      <c r="Q3527" s="147" t="n">
        <v>79230.4850722984</v>
      </c>
      <c r="R3527" s="147" t="n">
        <v>0.268583565549622</v>
      </c>
      <c r="S3527" s="147" t="n">
        <v>0.0957873795475855</v>
      </c>
      <c r="T3527" s="147" t="n">
        <v>0.0309405519681771</v>
      </c>
    </row>
    <row r="3528" customFormat="false" ht="12.75" hidden="false" customHeight="true" outlineLevel="0" collapsed="false">
      <c r="P3528" s="1" t="n">
        <v>3525</v>
      </c>
      <c r="Q3528" s="147" t="n">
        <v>79253.2462464674</v>
      </c>
      <c r="R3528" s="147" t="n">
        <v>0.268015694095592</v>
      </c>
      <c r="S3528" s="147" t="n">
        <v>0.0976615159484514</v>
      </c>
      <c r="T3528" s="147" t="n">
        <v>0.0321285514731796</v>
      </c>
    </row>
    <row r="3529" customFormat="false" ht="12.75" hidden="false" customHeight="true" outlineLevel="0" collapsed="false">
      <c r="P3529" s="1" t="n">
        <v>3526</v>
      </c>
      <c r="Q3529" s="147" t="n">
        <v>79275.7674613524</v>
      </c>
      <c r="R3529" s="147" t="n">
        <v>0.267260595398986</v>
      </c>
      <c r="S3529" s="147" t="n">
        <v>0.0973565758471067</v>
      </c>
      <c r="T3529" s="147" t="n">
        <v>0.0327053391961921</v>
      </c>
    </row>
    <row r="3530" customFormat="false" ht="12.75" hidden="false" customHeight="true" outlineLevel="0" collapsed="false">
      <c r="P3530" s="1" t="n">
        <v>3527</v>
      </c>
      <c r="Q3530" s="147" t="n">
        <v>79298.4068651124</v>
      </c>
      <c r="R3530" s="147" t="n">
        <v>0.266797733260788</v>
      </c>
      <c r="S3530" s="147" t="n">
        <v>0.0949835364512636</v>
      </c>
      <c r="T3530" s="147" t="n">
        <v>0.0326297076182144</v>
      </c>
    </row>
    <row r="3531" customFormat="false" ht="12.75" hidden="false" customHeight="true" outlineLevel="0" collapsed="false">
      <c r="P3531" s="1" t="n">
        <v>3528</v>
      </c>
      <c r="Q3531" s="147" t="n">
        <v>79320.6699465174</v>
      </c>
      <c r="R3531" s="147" t="n">
        <v>0.266788475283306</v>
      </c>
      <c r="S3531" s="147" t="n">
        <v>0.0911861928919621</v>
      </c>
      <c r="T3531" s="147" t="n">
        <v>0.0319036784849682</v>
      </c>
    </row>
    <row r="3532" customFormat="false" ht="12.75" hidden="false" customHeight="true" outlineLevel="0" collapsed="false">
      <c r="P3532" s="1" t="n">
        <v>3529</v>
      </c>
      <c r="Q3532" s="147" t="n">
        <v>79342.6490320074</v>
      </c>
      <c r="R3532" s="147" t="n">
        <v>0.267161600219967</v>
      </c>
      <c r="S3532" s="147" t="n">
        <v>0.0872577560837678</v>
      </c>
      <c r="T3532" s="147" t="n">
        <v>0.0307491638301447</v>
      </c>
    </row>
    <row r="3533" customFormat="false" ht="12.75" hidden="false" customHeight="true" outlineLevel="0" collapsed="false">
      <c r="P3533" s="1" t="n">
        <v>3530</v>
      </c>
      <c r="Q3533" s="147" t="n">
        <v>79364.7225657864</v>
      </c>
      <c r="R3533" s="147" t="n">
        <v>0.267919191073935</v>
      </c>
      <c r="S3533" s="147" t="n">
        <v>0.0829443854862896</v>
      </c>
      <c r="T3533" s="147" t="n">
        <v>0.029113178697925</v>
      </c>
    </row>
    <row r="3534" customFormat="false" ht="12.75" hidden="false" customHeight="true" outlineLevel="0" collapsed="false">
      <c r="P3534" s="1" t="n">
        <v>3531</v>
      </c>
      <c r="Q3534" s="147" t="n">
        <v>79387.2479800544</v>
      </c>
      <c r="R3534" s="147" t="n">
        <v>0.268963087686478</v>
      </c>
      <c r="S3534" s="147" t="n">
        <v>0.0785749408912271</v>
      </c>
      <c r="T3534" s="147" t="n">
        <v>0.0279418229418102</v>
      </c>
    </row>
    <row r="3535" customFormat="false" ht="12.75" hidden="false" customHeight="true" outlineLevel="0" collapsed="false">
      <c r="P3535" s="1" t="n">
        <v>3532</v>
      </c>
      <c r="Q3535" s="147" t="n">
        <v>79410.0720489804</v>
      </c>
      <c r="R3535" s="147" t="n">
        <v>0.269794873458194</v>
      </c>
      <c r="S3535" s="147" t="n">
        <v>0.074065462162847</v>
      </c>
      <c r="T3535" s="147" t="n">
        <v>0.0272663210752706</v>
      </c>
    </row>
    <row r="3536" customFormat="false" ht="12.75" hidden="false" customHeight="true" outlineLevel="0" collapsed="false">
      <c r="P3536" s="1" t="n">
        <v>3533</v>
      </c>
      <c r="Q3536" s="147" t="n">
        <v>79432.6394638094</v>
      </c>
      <c r="R3536" s="147" t="n">
        <v>0.270616210360569</v>
      </c>
      <c r="S3536" s="147" t="n">
        <v>0.069107160842508</v>
      </c>
      <c r="T3536" s="147" t="n">
        <v>0.0266419273725604</v>
      </c>
    </row>
    <row r="3537" customFormat="false" ht="12.75" hidden="false" customHeight="true" outlineLevel="0" collapsed="false">
      <c r="P3537" s="1" t="n">
        <v>3534</v>
      </c>
      <c r="Q3537" s="147" t="n">
        <v>79454.9262025874</v>
      </c>
      <c r="R3537" s="147" t="n">
        <v>0.271457878739649</v>
      </c>
      <c r="S3537" s="147" t="n">
        <v>0.0624315132718735</v>
      </c>
      <c r="T3537" s="147" t="n">
        <v>0.0264514794773664</v>
      </c>
    </row>
    <row r="3538" customFormat="false" ht="12.75" hidden="false" customHeight="true" outlineLevel="0" collapsed="false">
      <c r="P3538" s="1" t="n">
        <v>3535</v>
      </c>
      <c r="Q3538" s="147" t="n">
        <v>79477.7105276404</v>
      </c>
      <c r="R3538" s="147" t="n">
        <v>0.272304980366824</v>
      </c>
      <c r="S3538" s="147" t="n">
        <v>0.0538492484762539</v>
      </c>
      <c r="T3538" s="147" t="n">
        <v>0.0264053537995342</v>
      </c>
    </row>
    <row r="3539" customFormat="false" ht="12.75" hidden="false" customHeight="true" outlineLevel="0" collapsed="false">
      <c r="P3539" s="1" t="n">
        <v>3536</v>
      </c>
      <c r="Q3539" s="147" t="n">
        <v>79500.8039257024</v>
      </c>
      <c r="R3539" s="147" t="n">
        <v>0.272766574996625</v>
      </c>
      <c r="S3539" s="147" t="n">
        <v>0.0449375507178602</v>
      </c>
      <c r="T3539" s="147" t="n">
        <v>0.0258052478272038</v>
      </c>
    </row>
    <row r="3540" customFormat="false" ht="12.75" hidden="false" customHeight="true" outlineLevel="0" collapsed="false">
      <c r="P3540" s="1" t="n">
        <v>3537</v>
      </c>
      <c r="Q3540" s="147" t="n">
        <v>79523.8147899554</v>
      </c>
      <c r="R3540" s="147" t="n">
        <v>0.273123114261167</v>
      </c>
      <c r="S3540" s="147" t="n">
        <v>0.0378127919272367</v>
      </c>
      <c r="T3540" s="147" t="n">
        <v>0.0253055818646542</v>
      </c>
    </row>
    <row r="3541" customFormat="false" ht="12.75" hidden="false" customHeight="true" outlineLevel="0" collapsed="false">
      <c r="P3541" s="1" t="n">
        <v>3538</v>
      </c>
      <c r="Q3541" s="147" t="n">
        <v>79546.4614285204</v>
      </c>
      <c r="R3541" s="147" t="n">
        <v>0.273097056447369</v>
      </c>
      <c r="S3541" s="147" t="n">
        <v>0.0325535045866353</v>
      </c>
      <c r="T3541" s="147" t="n">
        <v>0.024868292357373</v>
      </c>
    </row>
    <row r="3542" customFormat="false" ht="12.75" hidden="false" customHeight="true" outlineLevel="0" collapsed="false">
      <c r="P3542" s="1" t="n">
        <v>3539</v>
      </c>
      <c r="Q3542" s="147" t="n">
        <v>79568.8864291034</v>
      </c>
      <c r="R3542" s="147" t="n">
        <v>0.272931409757417</v>
      </c>
      <c r="S3542" s="147" t="n">
        <v>0.0296363775138883</v>
      </c>
      <c r="T3542" s="147" t="n">
        <v>0.0243828444153164</v>
      </c>
    </row>
    <row r="3543" customFormat="false" ht="12.75" hidden="false" customHeight="true" outlineLevel="0" collapsed="false">
      <c r="P3543" s="1" t="n">
        <v>3540</v>
      </c>
      <c r="Q3543" s="147" t="n">
        <v>79591.1109244414</v>
      </c>
      <c r="R3543" s="147" t="n">
        <v>0.272709596264716</v>
      </c>
      <c r="S3543" s="147" t="n">
        <v>0.0288015923283396</v>
      </c>
      <c r="T3543" s="147" t="n">
        <v>0.0237150870525343</v>
      </c>
    </row>
    <row r="3544" customFormat="false" ht="12.75" hidden="false" customHeight="true" outlineLevel="0" collapsed="false">
      <c r="P3544" s="1" t="n">
        <v>3541</v>
      </c>
      <c r="Q3544" s="147" t="n">
        <v>79613.3610682254</v>
      </c>
      <c r="R3544" s="147" t="n">
        <v>0.272248853711961</v>
      </c>
      <c r="S3544" s="147" t="n">
        <v>0.0302297592956552</v>
      </c>
      <c r="T3544" s="147" t="n">
        <v>0.0227973364895669</v>
      </c>
    </row>
    <row r="3545" customFormat="false" ht="12.75" hidden="false" customHeight="true" outlineLevel="0" collapsed="false">
      <c r="P3545" s="1" t="n">
        <v>3542</v>
      </c>
      <c r="Q3545" s="147" t="n">
        <v>79635.7517589174</v>
      </c>
      <c r="R3545" s="147" t="n">
        <v>0.271837154501692</v>
      </c>
      <c r="S3545" s="147" t="n">
        <v>0.0338914699184948</v>
      </c>
      <c r="T3545" s="147" t="n">
        <v>0.0216635313372171</v>
      </c>
    </row>
    <row r="3546" customFormat="false" ht="12.75" hidden="false" customHeight="true" outlineLevel="0" collapsed="false">
      <c r="P3546" s="1" t="n">
        <v>3543</v>
      </c>
      <c r="Q3546" s="147" t="n">
        <v>79658.1678688274</v>
      </c>
      <c r="R3546" s="147" t="n">
        <v>0.271092697520104</v>
      </c>
      <c r="S3546" s="147" t="n">
        <v>0.0390220003518146</v>
      </c>
      <c r="T3546" s="147" t="n">
        <v>0.0208639115302653</v>
      </c>
    </row>
    <row r="3547" customFormat="false" ht="12.75" hidden="false" customHeight="true" outlineLevel="0" collapsed="false">
      <c r="P3547" s="1" t="n">
        <v>3544</v>
      </c>
      <c r="Q3547" s="147" t="n">
        <v>79680.7433695374</v>
      </c>
      <c r="R3547" s="147" t="n">
        <v>0.270300823524589</v>
      </c>
      <c r="S3547" s="147" t="n">
        <v>0.0452471668413683</v>
      </c>
      <c r="T3547" s="147" t="n">
        <v>0.0201416914861043</v>
      </c>
    </row>
    <row r="3548" customFormat="false" ht="12.75" hidden="false" customHeight="true" outlineLevel="0" collapsed="false">
      <c r="P3548" s="1" t="n">
        <v>3545</v>
      </c>
      <c r="Q3548" s="147" t="n">
        <v>79703.4080851483</v>
      </c>
      <c r="R3548" s="147" t="n">
        <v>0.269483726033409</v>
      </c>
      <c r="S3548" s="147" t="n">
        <v>0.0519653758433119</v>
      </c>
      <c r="T3548" s="147" t="n">
        <v>0.0196050274948108</v>
      </c>
    </row>
    <row r="3549" customFormat="false" ht="12.75" hidden="false" customHeight="true" outlineLevel="0" collapsed="false">
      <c r="P3549" s="1" t="n">
        <v>3546</v>
      </c>
      <c r="Q3549" s="147" t="n">
        <v>79725.7042465894</v>
      </c>
      <c r="R3549" s="147" t="n">
        <v>0.268583020575653</v>
      </c>
      <c r="S3549" s="147" t="n">
        <v>0.0588330507872729</v>
      </c>
      <c r="T3549" s="147" t="n">
        <v>0.0190953992060477</v>
      </c>
    </row>
    <row r="3550" customFormat="false" ht="12.75" hidden="false" customHeight="true" outlineLevel="0" collapsed="false">
      <c r="P3550" s="1" t="n">
        <v>3547</v>
      </c>
      <c r="Q3550" s="147" t="n">
        <v>79748.2222405893</v>
      </c>
      <c r="R3550" s="147" t="n">
        <v>0.267791305501644</v>
      </c>
      <c r="S3550" s="147" t="n">
        <v>0.0646997120571052</v>
      </c>
      <c r="T3550" s="147" t="n">
        <v>0.0188654356018384</v>
      </c>
    </row>
    <row r="3551" customFormat="false" ht="12.75" hidden="false" customHeight="true" outlineLevel="0" collapsed="false">
      <c r="P3551" s="1" t="n">
        <v>3548</v>
      </c>
      <c r="Q3551" s="147" t="n">
        <v>79770.3907891013</v>
      </c>
      <c r="R3551" s="147" t="n">
        <v>0.267194913212071</v>
      </c>
      <c r="S3551" s="147" t="n">
        <v>0.0680149521219089</v>
      </c>
      <c r="T3551" s="147" t="n">
        <v>0.0189559387392796</v>
      </c>
    </row>
    <row r="3552" customFormat="false" ht="12.75" hidden="false" customHeight="true" outlineLevel="0" collapsed="false">
      <c r="P3552" s="1" t="n">
        <v>3549</v>
      </c>
      <c r="Q3552" s="147" t="n">
        <v>79792.8567121603</v>
      </c>
      <c r="R3552" s="147" t="n">
        <v>0.26684285800608</v>
      </c>
      <c r="S3552" s="147" t="n">
        <v>0.0678208387979533</v>
      </c>
      <c r="T3552" s="147" t="n">
        <v>0.0192288104507493</v>
      </c>
    </row>
    <row r="3553" customFormat="false" ht="12.75" hidden="false" customHeight="true" outlineLevel="0" collapsed="false">
      <c r="P3553" s="1" t="n">
        <v>3550</v>
      </c>
      <c r="Q3553" s="147" t="n">
        <v>79815.1027714023</v>
      </c>
      <c r="R3553" s="147" t="n">
        <v>0.266215576639912</v>
      </c>
      <c r="S3553" s="147" t="n">
        <v>0.0641231043987452</v>
      </c>
      <c r="T3553" s="147" t="n">
        <v>0.0197469479069547</v>
      </c>
    </row>
    <row r="3554" customFormat="false" ht="12.75" hidden="false" customHeight="true" outlineLevel="0" collapsed="false">
      <c r="P3554" s="1" t="n">
        <v>3551</v>
      </c>
      <c r="Q3554" s="147" t="n">
        <v>79837.7693178863</v>
      </c>
      <c r="R3554" s="147" t="n">
        <v>0.265736077913088</v>
      </c>
      <c r="S3554" s="147" t="n">
        <v>0.0584393670710088</v>
      </c>
      <c r="T3554" s="147" t="n">
        <v>0.0205538666160953</v>
      </c>
    </row>
    <row r="3555" customFormat="false" ht="12.75" hidden="false" customHeight="true" outlineLevel="0" collapsed="false">
      <c r="P3555" s="1" t="n">
        <v>3552</v>
      </c>
      <c r="Q3555" s="147" t="n">
        <v>79860.3277266243</v>
      </c>
      <c r="R3555" s="147" t="n">
        <v>0.265113950043452</v>
      </c>
      <c r="S3555" s="147" t="n">
        <v>0.0529517412566345</v>
      </c>
      <c r="T3555" s="147" t="n">
        <v>0.021481970106355</v>
      </c>
    </row>
    <row r="3556" customFormat="false" ht="12.75" hidden="false" customHeight="true" outlineLevel="0" collapsed="false">
      <c r="P3556" s="1" t="n">
        <v>3553</v>
      </c>
      <c r="Q3556" s="147" t="n">
        <v>79882.4852889013</v>
      </c>
      <c r="R3556" s="147" t="n">
        <v>0.264387368345605</v>
      </c>
      <c r="S3556" s="147" t="n">
        <v>0.0497838775960122</v>
      </c>
      <c r="T3556" s="147" t="n">
        <v>0.0223881717470859</v>
      </c>
    </row>
    <row r="3557" customFormat="false" ht="12.75" hidden="false" customHeight="true" outlineLevel="0" collapsed="false">
      <c r="P3557" s="1" t="n">
        <v>3554</v>
      </c>
      <c r="Q3557" s="147" t="n">
        <v>79905.0981593613</v>
      </c>
      <c r="R3557" s="147" t="n">
        <v>0.263558875215887</v>
      </c>
      <c r="S3557" s="147" t="n">
        <v>0.0475599249553866</v>
      </c>
      <c r="T3557" s="147" t="n">
        <v>0.0242212852860535</v>
      </c>
    </row>
    <row r="3558" customFormat="false" ht="12.75" hidden="false" customHeight="true" outlineLevel="0" collapsed="false">
      <c r="P3558" s="1" t="n">
        <v>3555</v>
      </c>
      <c r="Q3558" s="147" t="n">
        <v>79926.5848108493</v>
      </c>
      <c r="R3558" s="147" t="n">
        <v>0.262928275341396</v>
      </c>
      <c r="S3558" s="147" t="n">
        <v>0.0475915160901399</v>
      </c>
      <c r="T3558" s="147" t="n">
        <v>0.0252077946702675</v>
      </c>
    </row>
    <row r="3559" customFormat="false" ht="12.75" hidden="false" customHeight="true" outlineLevel="0" collapsed="false">
      <c r="P3559" s="1" t="n">
        <v>3556</v>
      </c>
      <c r="Q3559" s="147" t="n">
        <v>79948.6211344713</v>
      </c>
      <c r="R3559" s="147" t="n">
        <v>0.261705309205331</v>
      </c>
      <c r="S3559" s="147" t="n">
        <v>0.0487777923648426</v>
      </c>
      <c r="T3559" s="147" t="n">
        <v>0.0271657970873514</v>
      </c>
    </row>
    <row r="3560" customFormat="false" ht="12.75" hidden="false" customHeight="true" outlineLevel="0" collapsed="false">
      <c r="P3560" s="1" t="n">
        <v>3557</v>
      </c>
      <c r="Q3560" s="147" t="n">
        <v>79971.0097622903</v>
      </c>
      <c r="R3560" s="147" t="n">
        <v>0.260616817406727</v>
      </c>
      <c r="S3560" s="147" t="n">
        <v>0.0524188285078222</v>
      </c>
      <c r="T3560" s="147" t="n">
        <v>0.027884455197572</v>
      </c>
    </row>
    <row r="3561" customFormat="false" ht="12.75" hidden="false" customHeight="true" outlineLevel="0" collapsed="false">
      <c r="P3561" s="1" t="n">
        <v>3558</v>
      </c>
      <c r="Q3561" s="147" t="n">
        <v>79993.2838014093</v>
      </c>
      <c r="R3561" s="147" t="n">
        <v>0.259786401488985</v>
      </c>
      <c r="S3561" s="147" t="n">
        <v>0.0557962139999424</v>
      </c>
      <c r="T3561" s="147" t="n">
        <v>0.0279829024554584</v>
      </c>
    </row>
    <row r="3562" customFormat="false" ht="12.75" hidden="false" customHeight="true" outlineLevel="0" collapsed="false">
      <c r="P3562" s="1" t="n">
        <v>3559</v>
      </c>
      <c r="Q3562" s="147" t="n">
        <v>80015.8596239984</v>
      </c>
      <c r="R3562" s="147" t="n">
        <v>0.259193311181302</v>
      </c>
      <c r="S3562" s="147" t="n">
        <v>0.0569408551038757</v>
      </c>
      <c r="T3562" s="147" t="n">
        <v>0.0275004515845802</v>
      </c>
    </row>
    <row r="3563" customFormat="false" ht="12.75" hidden="false" customHeight="true" outlineLevel="0" collapsed="false">
      <c r="P3563" s="1" t="n">
        <v>3560</v>
      </c>
      <c r="Q3563" s="147" t="n">
        <v>80038.3086919844</v>
      </c>
      <c r="R3563" s="147" t="n">
        <v>0.259024528345003</v>
      </c>
      <c r="S3563" s="147" t="n">
        <v>0.0558837452841001</v>
      </c>
      <c r="T3563" s="147" t="n">
        <v>0.0263983227850989</v>
      </c>
    </row>
    <row r="3564" customFormat="false" ht="12.75" hidden="false" customHeight="true" outlineLevel="0" collapsed="false">
      <c r="P3564" s="1" t="n">
        <v>3561</v>
      </c>
      <c r="Q3564" s="147" t="n">
        <v>80060.8974853614</v>
      </c>
      <c r="R3564" s="147" t="n">
        <v>0.259242689359173</v>
      </c>
      <c r="S3564" s="147" t="n">
        <v>0.0541218974705485</v>
      </c>
      <c r="T3564" s="147" t="n">
        <v>0.0252630438551238</v>
      </c>
    </row>
    <row r="3565" customFormat="false" ht="12.75" hidden="false" customHeight="true" outlineLevel="0" collapsed="false">
      <c r="P3565" s="1" t="n">
        <v>3562</v>
      </c>
      <c r="Q3565" s="147" t="n">
        <v>80083.4846048043</v>
      </c>
      <c r="R3565" s="147" t="n">
        <v>0.25939228519042</v>
      </c>
      <c r="S3565" s="147" t="n">
        <v>0.0531567706665081</v>
      </c>
      <c r="T3565" s="147" t="n">
        <v>0.0236915357047358</v>
      </c>
    </row>
    <row r="3566" customFormat="false" ht="12.75" hidden="false" customHeight="true" outlineLevel="0" collapsed="false">
      <c r="P3566" s="1" t="n">
        <v>3563</v>
      </c>
      <c r="Q3566" s="147" t="n">
        <v>80105.8779187543</v>
      </c>
      <c r="R3566" s="147" t="n">
        <v>0.259375388880609</v>
      </c>
      <c r="S3566" s="147" t="n">
        <v>0.0533916732850416</v>
      </c>
      <c r="T3566" s="147" t="n">
        <v>0.0218937987388755</v>
      </c>
    </row>
    <row r="3567" customFormat="false" ht="12.75" hidden="false" customHeight="true" outlineLevel="0" collapsed="false">
      <c r="P3567" s="1" t="n">
        <v>3564</v>
      </c>
      <c r="Q3567" s="147" t="n">
        <v>80128.2751300294</v>
      </c>
      <c r="R3567" s="147" t="n">
        <v>0.258909639614413</v>
      </c>
      <c r="S3567" s="147" t="n">
        <v>0.0554303432140315</v>
      </c>
      <c r="T3567" s="147" t="n">
        <v>0.020191139529898</v>
      </c>
    </row>
    <row r="3568" customFormat="false" ht="12.75" hidden="false" customHeight="true" outlineLevel="0" collapsed="false">
      <c r="P3568" s="1" t="n">
        <v>3565</v>
      </c>
      <c r="Q3568" s="147" t="n">
        <v>80151.1820961393</v>
      </c>
      <c r="R3568" s="147" t="n">
        <v>0.258397119024649</v>
      </c>
      <c r="S3568" s="147" t="n">
        <v>0.0602266820151054</v>
      </c>
      <c r="T3568" s="147" t="n">
        <v>0.0191852726599216</v>
      </c>
    </row>
    <row r="3569" customFormat="false" ht="12.75" hidden="false" customHeight="true" outlineLevel="0" collapsed="false">
      <c r="P3569" s="1" t="n">
        <v>3566</v>
      </c>
      <c r="Q3569" s="147" t="n">
        <v>80173.7968698813</v>
      </c>
      <c r="R3569" s="147" t="n">
        <v>0.257720158679586</v>
      </c>
      <c r="S3569" s="147" t="n">
        <v>0.0668317416947191</v>
      </c>
      <c r="T3569" s="147" t="n">
        <v>0.0187013647846619</v>
      </c>
    </row>
    <row r="3570" customFormat="false" ht="12.75" hidden="false" customHeight="true" outlineLevel="0" collapsed="false">
      <c r="P3570" s="1" t="n">
        <v>3567</v>
      </c>
      <c r="Q3570" s="147" t="n">
        <v>80196.5348588893</v>
      </c>
      <c r="R3570" s="147" t="n">
        <v>0.257269598848505</v>
      </c>
      <c r="S3570" s="147" t="n">
        <v>0.0723153698171727</v>
      </c>
      <c r="T3570" s="147" t="n">
        <v>0.0184754579997847</v>
      </c>
    </row>
    <row r="3571" customFormat="false" ht="12.75" hidden="false" customHeight="true" outlineLevel="0" collapsed="false">
      <c r="P3571" s="1" t="n">
        <v>3568</v>
      </c>
      <c r="Q3571" s="147" t="n">
        <v>80219.1212326253</v>
      </c>
      <c r="R3571" s="147" t="n">
        <v>0.257114534826427</v>
      </c>
      <c r="S3571" s="147" t="n">
        <v>0.0780255754525766</v>
      </c>
      <c r="T3571" s="147" t="n">
        <v>0.0195985841895651</v>
      </c>
    </row>
    <row r="3572" customFormat="false" ht="12.75" hidden="false" customHeight="true" outlineLevel="0" collapsed="false">
      <c r="P3572" s="1" t="n">
        <v>3569</v>
      </c>
      <c r="Q3572" s="147" t="n">
        <v>80241.8584071974</v>
      </c>
      <c r="R3572" s="147" t="n">
        <v>0.257230413183474</v>
      </c>
      <c r="S3572" s="147" t="n">
        <v>0.0828160677334041</v>
      </c>
      <c r="T3572" s="147" t="n">
        <v>0.0207645209232128</v>
      </c>
    </row>
    <row r="3573" customFormat="false" ht="12.75" hidden="false" customHeight="true" outlineLevel="0" collapsed="false">
      <c r="P3573" s="1" t="n">
        <v>3570</v>
      </c>
      <c r="Q3573" s="147" t="n">
        <v>80264.2627248834</v>
      </c>
      <c r="R3573" s="147" t="n">
        <v>0.257794601698578</v>
      </c>
      <c r="S3573" s="147" t="n">
        <v>0.0862096883606535</v>
      </c>
      <c r="T3573" s="147" t="n">
        <v>0.022579676161513</v>
      </c>
    </row>
    <row r="3574" customFormat="false" ht="12.75" hidden="false" customHeight="true" outlineLevel="0" collapsed="false">
      <c r="P3574" s="1" t="n">
        <v>3571</v>
      </c>
      <c r="Q3574" s="147" t="n">
        <v>80286.4508633764</v>
      </c>
      <c r="R3574" s="147" t="n">
        <v>0.258741543749472</v>
      </c>
      <c r="S3574" s="147" t="n">
        <v>0.0879920814102628</v>
      </c>
      <c r="T3574" s="147" t="n">
        <v>0.024299189168925</v>
      </c>
    </row>
    <row r="3575" customFormat="false" ht="12.75" hidden="false" customHeight="true" outlineLevel="0" collapsed="false">
      <c r="P3575" s="1" t="n">
        <v>3572</v>
      </c>
      <c r="Q3575" s="147" t="n">
        <v>80308.8348058044</v>
      </c>
      <c r="R3575" s="147" t="n">
        <v>0.259706762703981</v>
      </c>
      <c r="S3575" s="147" t="n">
        <v>0.088075539186769</v>
      </c>
      <c r="T3575" s="147" t="n">
        <v>0.0262734238227311</v>
      </c>
    </row>
    <row r="3576" customFormat="false" ht="12.75" hidden="false" customHeight="true" outlineLevel="0" collapsed="false">
      <c r="P3576" s="1" t="n">
        <v>3573</v>
      </c>
      <c r="Q3576" s="147" t="n">
        <v>80331.1870611704</v>
      </c>
      <c r="R3576" s="147" t="n">
        <v>0.260754055738789</v>
      </c>
      <c r="S3576" s="147" t="n">
        <v>0.0869961710555752</v>
      </c>
      <c r="T3576" s="147" t="n">
        <v>0.0279345364136748</v>
      </c>
    </row>
    <row r="3577" customFormat="false" ht="12.75" hidden="false" customHeight="true" outlineLevel="0" collapsed="false">
      <c r="P3577" s="1" t="n">
        <v>3574</v>
      </c>
      <c r="Q3577" s="147" t="n">
        <v>80353.8633671453</v>
      </c>
      <c r="R3577" s="147" t="n">
        <v>0.261704700306665</v>
      </c>
      <c r="S3577" s="147" t="n">
        <v>0.0849401889303694</v>
      </c>
      <c r="T3577" s="147" t="n">
        <v>0.0291137549552272</v>
      </c>
    </row>
    <row r="3578" customFormat="false" ht="12.75" hidden="false" customHeight="true" outlineLevel="0" collapsed="false">
      <c r="P3578" s="1" t="n">
        <v>3575</v>
      </c>
      <c r="Q3578" s="147" t="n">
        <v>80376.4089181354</v>
      </c>
      <c r="R3578" s="147" t="n">
        <v>0.262462477750055</v>
      </c>
      <c r="S3578" s="147" t="n">
        <v>0.0832871790195833</v>
      </c>
      <c r="T3578" s="147" t="n">
        <v>0.0303168975056848</v>
      </c>
    </row>
    <row r="3579" customFormat="false" ht="12.75" hidden="false" customHeight="true" outlineLevel="0" collapsed="false">
      <c r="P3579" s="1" t="n">
        <v>3576</v>
      </c>
      <c r="Q3579" s="147" t="n">
        <v>80398.5136526834</v>
      </c>
      <c r="R3579" s="147" t="n">
        <v>0.263102266851891</v>
      </c>
      <c r="S3579" s="147" t="n">
        <v>0.081461055131193</v>
      </c>
      <c r="T3579" s="147" t="n">
        <v>0.0308763913744874</v>
      </c>
    </row>
    <row r="3580" customFormat="false" ht="12.75" hidden="false" customHeight="true" outlineLevel="0" collapsed="false">
      <c r="P3580" s="1" t="n">
        <v>3577</v>
      </c>
      <c r="Q3580" s="147" t="n">
        <v>80420.7388301384</v>
      </c>
      <c r="R3580" s="147" t="n">
        <v>0.263333775593334</v>
      </c>
      <c r="S3580" s="147" t="n">
        <v>0.0796573561104663</v>
      </c>
      <c r="T3580" s="147" t="n">
        <v>0.0319677618564131</v>
      </c>
    </row>
    <row r="3581" customFormat="false" ht="12.75" hidden="false" customHeight="true" outlineLevel="0" collapsed="false">
      <c r="P3581" s="1" t="n">
        <v>3578</v>
      </c>
      <c r="Q3581" s="147" t="n">
        <v>80443.0774586384</v>
      </c>
      <c r="R3581" s="147" t="n">
        <v>0.263244253040472</v>
      </c>
      <c r="S3581" s="147" t="n">
        <v>0.0783258246080565</v>
      </c>
      <c r="T3581" s="147" t="n">
        <v>0.0325494621136122</v>
      </c>
    </row>
    <row r="3582" customFormat="false" ht="12.75" hidden="false" customHeight="true" outlineLevel="0" collapsed="false">
      <c r="P3582" s="1" t="n">
        <v>3579</v>
      </c>
      <c r="Q3582" s="147" t="n">
        <v>80465.5299352114</v>
      </c>
      <c r="R3582" s="147" t="n">
        <v>0.262949908740857</v>
      </c>
      <c r="S3582" s="147" t="n">
        <v>0.0774100307088511</v>
      </c>
      <c r="T3582" s="147" t="n">
        <v>0.0333616436559581</v>
      </c>
    </row>
    <row r="3583" customFormat="false" ht="12.75" hidden="false" customHeight="true" outlineLevel="0" collapsed="false">
      <c r="P3583" s="1" t="n">
        <v>3580</v>
      </c>
      <c r="Q3583" s="147" t="n">
        <v>80487.6840372114</v>
      </c>
      <c r="R3583" s="147" t="n">
        <v>0.26257418127161</v>
      </c>
      <c r="S3583" s="147" t="n">
        <v>0.0782282477933765</v>
      </c>
      <c r="T3583" s="147" t="n">
        <v>0.0341898866634232</v>
      </c>
    </row>
    <row r="3584" customFormat="false" ht="12.75" hidden="false" customHeight="true" outlineLevel="0" collapsed="false">
      <c r="P3584" s="1" t="n">
        <v>3581</v>
      </c>
      <c r="Q3584" s="147" t="n">
        <v>80510.2023861054</v>
      </c>
      <c r="R3584" s="147" t="n">
        <v>0.262223371078657</v>
      </c>
      <c r="S3584" s="147" t="n">
        <v>0.081620387484644</v>
      </c>
      <c r="T3584" s="147" t="n">
        <v>0.0349168417964078</v>
      </c>
    </row>
    <row r="3585" customFormat="false" ht="12.75" hidden="false" customHeight="true" outlineLevel="0" collapsed="false">
      <c r="P3585" s="1" t="n">
        <v>3582</v>
      </c>
      <c r="Q3585" s="147" t="n">
        <v>80532.6285034123</v>
      </c>
      <c r="R3585" s="147" t="n">
        <v>0.262160041889748</v>
      </c>
      <c r="S3585" s="147" t="n">
        <v>0.0879316466623837</v>
      </c>
      <c r="T3585" s="147" t="n">
        <v>0.0361343049808529</v>
      </c>
    </row>
    <row r="3586" customFormat="false" ht="12.75" hidden="false" customHeight="true" outlineLevel="0" collapsed="false">
      <c r="P3586" s="1" t="n">
        <v>3583</v>
      </c>
      <c r="Q3586" s="147" t="n">
        <v>80554.5198078563</v>
      </c>
      <c r="R3586" s="147" t="n">
        <v>0.262600269207826</v>
      </c>
      <c r="S3586" s="147" t="n">
        <v>0.0885875128680016</v>
      </c>
      <c r="T3586" s="147" t="n">
        <v>0.0359021654763852</v>
      </c>
    </row>
    <row r="3587" customFormat="false" ht="12.75" hidden="false" customHeight="true" outlineLevel="0" collapsed="false">
      <c r="P3587" s="1" t="n">
        <v>3584</v>
      </c>
      <c r="Q3587" s="147" t="n">
        <v>80577.0869900073</v>
      </c>
      <c r="R3587" s="147" t="n">
        <v>0.263396960222683</v>
      </c>
      <c r="S3587" s="147" t="n">
        <v>0.0919807100187912</v>
      </c>
      <c r="T3587" s="147" t="n">
        <v>0.0374382372317313</v>
      </c>
    </row>
    <row r="3588" customFormat="false" ht="12.75" hidden="false" customHeight="true" outlineLevel="0" collapsed="false">
      <c r="P3588" s="1" t="n">
        <v>3585</v>
      </c>
      <c r="Q3588" s="147" t="n">
        <v>80599.2087603764</v>
      </c>
      <c r="R3588" s="147" t="n">
        <v>0.264478980842458</v>
      </c>
      <c r="S3588" s="147" t="n">
        <v>0.0921836540661051</v>
      </c>
      <c r="T3588" s="147" t="n">
        <v>0.0364507912504366</v>
      </c>
    </row>
    <row r="3589" customFormat="false" ht="12.75" hidden="false" customHeight="true" outlineLevel="0" collapsed="false">
      <c r="P3589" s="1" t="n">
        <v>3586</v>
      </c>
      <c r="Q3589" s="147" t="n">
        <v>80621.8749515204</v>
      </c>
      <c r="R3589" s="147" t="n">
        <v>0.266573627856949</v>
      </c>
      <c r="S3589" s="147" t="n">
        <v>0.0903619414461152</v>
      </c>
      <c r="T3589" s="147" t="n">
        <v>0.0367814897748151</v>
      </c>
    </row>
    <row r="3590" customFormat="false" ht="12.75" hidden="false" customHeight="true" outlineLevel="0" collapsed="false">
      <c r="P3590" s="1" t="n">
        <v>3587</v>
      </c>
      <c r="Q3590" s="147" t="n">
        <v>80644.7231053854</v>
      </c>
      <c r="R3590" s="147" t="n">
        <v>0.268198170651822</v>
      </c>
      <c r="S3590" s="147" t="n">
        <v>0.0879983282521487</v>
      </c>
      <c r="T3590" s="147" t="n">
        <v>0.0366132129522808</v>
      </c>
    </row>
    <row r="3591" customFormat="false" ht="12.75" hidden="false" customHeight="true" outlineLevel="0" collapsed="false">
      <c r="P3591" s="1" t="n">
        <v>3588</v>
      </c>
      <c r="Q3591" s="147" t="n">
        <v>80667.4480144044</v>
      </c>
      <c r="R3591" s="147" t="n">
        <v>0.269884445717394</v>
      </c>
      <c r="S3591" s="147" t="n">
        <v>0.0854508392807749</v>
      </c>
      <c r="T3591" s="147" t="n">
        <v>0.0360320606894088</v>
      </c>
    </row>
    <row r="3592" customFormat="false" ht="12.75" hidden="false" customHeight="true" outlineLevel="0" collapsed="false">
      <c r="P3592" s="1" t="n">
        <v>3589</v>
      </c>
      <c r="Q3592" s="147" t="n">
        <v>80689.8818465514</v>
      </c>
      <c r="R3592" s="147" t="n">
        <v>0.270921731203308</v>
      </c>
      <c r="S3592" s="147" t="n">
        <v>0.0838616216809118</v>
      </c>
      <c r="T3592" s="147" t="n">
        <v>0.0357536695493858</v>
      </c>
    </row>
    <row r="3593" customFormat="false" ht="12.75" hidden="false" customHeight="true" outlineLevel="0" collapsed="false">
      <c r="P3593" s="1" t="n">
        <v>3590</v>
      </c>
      <c r="Q3593" s="147" t="n">
        <v>80712.3896266014</v>
      </c>
      <c r="R3593" s="147" t="n">
        <v>0.271359513659276</v>
      </c>
      <c r="S3593" s="147" t="n">
        <v>0.0843031809352849</v>
      </c>
      <c r="T3593" s="147" t="n">
        <v>0.0347270499299984</v>
      </c>
    </row>
    <row r="3594" customFormat="false" ht="12.75" hidden="false" customHeight="true" outlineLevel="0" collapsed="false">
      <c r="P3594" s="1" t="n">
        <v>3591</v>
      </c>
      <c r="Q3594" s="147" t="n">
        <v>80734.7600686323</v>
      </c>
      <c r="R3594" s="147" t="n">
        <v>0.271242966826297</v>
      </c>
      <c r="S3594" s="147" t="n">
        <v>0.0856335439581068</v>
      </c>
      <c r="T3594" s="147" t="n">
        <v>0.0332532046039478</v>
      </c>
    </row>
    <row r="3595" customFormat="false" ht="12.75" hidden="false" customHeight="true" outlineLevel="0" collapsed="false">
      <c r="P3595" s="1" t="n">
        <v>3592</v>
      </c>
      <c r="Q3595" s="147" t="n">
        <v>80756.9365467413</v>
      </c>
      <c r="R3595" s="147" t="n">
        <v>0.270808258006229</v>
      </c>
      <c r="S3595" s="147" t="n">
        <v>0.0879543961428165</v>
      </c>
      <c r="T3595" s="147" t="n">
        <v>0.0311776055808598</v>
      </c>
    </row>
    <row r="3596" customFormat="false" ht="12.75" hidden="false" customHeight="true" outlineLevel="0" collapsed="false">
      <c r="P3596" s="1" t="n">
        <v>3593</v>
      </c>
      <c r="Q3596" s="147" t="n">
        <v>80779.1564513863</v>
      </c>
      <c r="R3596" s="147" t="n">
        <v>0.270037492250481</v>
      </c>
      <c r="S3596" s="147" t="n">
        <v>0.0894313601587541</v>
      </c>
      <c r="T3596" s="147" t="n">
        <v>0.0288175255203383</v>
      </c>
    </row>
    <row r="3597" customFormat="false" ht="12.75" hidden="false" customHeight="true" outlineLevel="0" collapsed="false">
      <c r="P3597" s="1" t="n">
        <v>3594</v>
      </c>
      <c r="Q3597" s="147" t="n">
        <v>80801.6314866384</v>
      </c>
      <c r="R3597" s="147" t="n">
        <v>0.269129443314533</v>
      </c>
      <c r="S3597" s="147" t="n">
        <v>0.0894865605299465</v>
      </c>
      <c r="T3597" s="147" t="n">
        <v>0.026226804450251</v>
      </c>
    </row>
    <row r="3598" customFormat="false" ht="12.75" hidden="false" customHeight="true" outlineLevel="0" collapsed="false">
      <c r="P3598" s="1" t="n">
        <v>3595</v>
      </c>
      <c r="Q3598" s="147" t="n">
        <v>80824.4080729894</v>
      </c>
      <c r="R3598" s="147" t="n">
        <v>0.267917622455385</v>
      </c>
      <c r="S3598" s="147" t="n">
        <v>0.0872709407003284</v>
      </c>
      <c r="T3598" s="147" t="n">
        <v>0.0241043382689014</v>
      </c>
    </row>
    <row r="3599" customFormat="false" ht="12.75" hidden="false" customHeight="true" outlineLevel="0" collapsed="false">
      <c r="P3599" s="1" t="n">
        <v>3596</v>
      </c>
      <c r="Q3599" s="147" t="n">
        <v>80846.9037861383</v>
      </c>
      <c r="R3599" s="147" t="n">
        <v>0.266424158598033</v>
      </c>
      <c r="S3599" s="147" t="n">
        <v>0.0847631593737619</v>
      </c>
      <c r="T3599" s="147" t="n">
        <v>0.0227909987367728</v>
      </c>
    </row>
    <row r="3600" customFormat="false" ht="12.75" hidden="false" customHeight="true" outlineLevel="0" collapsed="false">
      <c r="P3600" s="1" t="n">
        <v>3597</v>
      </c>
      <c r="Q3600" s="147" t="n">
        <v>80869.2466334203</v>
      </c>
      <c r="R3600" s="147" t="n">
        <v>0.264617088947113</v>
      </c>
      <c r="S3600" s="147" t="n">
        <v>0.083846541661433</v>
      </c>
      <c r="T3600" s="147" t="n">
        <v>0.0221006594305337</v>
      </c>
    </row>
    <row r="3601" customFormat="false" ht="12.75" hidden="false" customHeight="true" outlineLevel="0" collapsed="false">
      <c r="P3601" s="1" t="n">
        <v>3598</v>
      </c>
      <c r="Q3601" s="147" t="n">
        <v>80891.7347600693</v>
      </c>
      <c r="R3601" s="147" t="n">
        <v>0.262832910404349</v>
      </c>
      <c r="S3601" s="147" t="n">
        <v>0.0848497737077791</v>
      </c>
      <c r="T3601" s="147" t="n">
        <v>0.0222657246671213</v>
      </c>
    </row>
    <row r="3602" customFormat="false" ht="12.75" hidden="false" customHeight="true" outlineLevel="0" collapsed="false">
      <c r="P3602" s="1" t="n">
        <v>3599</v>
      </c>
      <c r="Q3602" s="147" t="n">
        <v>80914.8018644753</v>
      </c>
      <c r="R3602" s="147" t="n">
        <v>0.261377502108722</v>
      </c>
      <c r="S3602" s="147" t="n">
        <v>0.0890880788600832</v>
      </c>
      <c r="T3602" s="147" t="n">
        <v>0.0231516048874718</v>
      </c>
    </row>
    <row r="3603" customFormat="false" ht="12.75" hidden="false" customHeight="true" outlineLevel="0" collapsed="false">
      <c r="P3603" s="1" t="n">
        <v>3600</v>
      </c>
      <c r="Q3603" s="147" t="n">
        <v>80937.0735785323</v>
      </c>
      <c r="R3603" s="147" t="n">
        <v>0.260341289491558</v>
      </c>
      <c r="S3603" s="147" t="n">
        <v>0.0918758141027273</v>
      </c>
      <c r="T3603" s="147" t="n">
        <v>0.0243103383417375</v>
      </c>
    </row>
    <row r="3604" customFormat="false" ht="12.75" hidden="false" customHeight="true" outlineLevel="0" collapsed="false">
      <c r="P3604" s="1" t="n">
        <v>3601</v>
      </c>
      <c r="Q3604" s="147" t="n">
        <v>80959.8148949353</v>
      </c>
      <c r="R3604" s="147" t="n">
        <v>0.260930096269872</v>
      </c>
      <c r="S3604" s="147" t="n">
        <v>0.0988401931326411</v>
      </c>
      <c r="T3604" s="147" t="n">
        <v>0.0259643313049906</v>
      </c>
    </row>
    <row r="3605" customFormat="false" ht="12.75" hidden="false" customHeight="true" outlineLevel="0" collapsed="false">
      <c r="P3605" s="1" t="n">
        <v>3602</v>
      </c>
      <c r="Q3605" s="147" t="n">
        <v>80981.8725115413</v>
      </c>
      <c r="R3605" s="147" t="n">
        <v>0.261452650134407</v>
      </c>
      <c r="S3605" s="147" t="n">
        <v>0.0988118901087506</v>
      </c>
      <c r="T3605" s="147" t="n">
        <v>0.0259005060918809</v>
      </c>
    </row>
    <row r="3606" customFormat="false" ht="12.75" hidden="false" customHeight="true" outlineLevel="0" collapsed="false">
      <c r="P3606" s="1" t="n">
        <v>3603</v>
      </c>
      <c r="Q3606" s="147" t="n">
        <v>81004.6223378703</v>
      </c>
      <c r="R3606" s="147" t="n">
        <v>0.263803387736822</v>
      </c>
      <c r="S3606" s="147" t="n">
        <v>0.0972621292282657</v>
      </c>
      <c r="T3606" s="147" t="n">
        <v>0.026111439119629</v>
      </c>
    </row>
    <row r="3607" customFormat="false" ht="12.75" hidden="false" customHeight="true" outlineLevel="0" collapsed="false">
      <c r="P3607" s="1" t="n">
        <v>3604</v>
      </c>
      <c r="Q3607" s="147" t="n">
        <v>81027.0030266303</v>
      </c>
      <c r="R3607" s="147" t="n">
        <v>0.266188972070773</v>
      </c>
      <c r="S3607" s="147" t="n">
        <v>0.0935109406585717</v>
      </c>
      <c r="T3607" s="147" t="n">
        <v>0.0260317136067153</v>
      </c>
    </row>
    <row r="3608" customFormat="false" ht="12.75" hidden="false" customHeight="true" outlineLevel="0" collapsed="false">
      <c r="P3608" s="1" t="n">
        <v>3605</v>
      </c>
      <c r="Q3608" s="147" t="n">
        <v>81049.6766410653</v>
      </c>
      <c r="R3608" s="147" t="n">
        <v>0.269025258074509</v>
      </c>
      <c r="S3608" s="147" t="n">
        <v>0.0864563726864822</v>
      </c>
      <c r="T3608" s="147" t="n">
        <v>0.025704065913339</v>
      </c>
    </row>
    <row r="3609" customFormat="false" ht="12.75" hidden="false" customHeight="true" outlineLevel="0" collapsed="false">
      <c r="P3609" s="1" t="n">
        <v>3606</v>
      </c>
      <c r="Q3609" s="147" t="n">
        <v>81072.1556284613</v>
      </c>
      <c r="R3609" s="147" t="n">
        <v>0.271059400820266</v>
      </c>
      <c r="S3609" s="147" t="n">
        <v>0.0769702307248199</v>
      </c>
      <c r="T3609" s="147" t="n">
        <v>0.0250095212075332</v>
      </c>
    </row>
    <row r="3610" customFormat="false" ht="12.75" hidden="false" customHeight="true" outlineLevel="0" collapsed="false">
      <c r="P3610" s="1" t="n">
        <v>3607</v>
      </c>
      <c r="Q3610" s="147" t="n">
        <v>81094.3808345353</v>
      </c>
      <c r="R3610" s="147" t="n">
        <v>0.272039998599897</v>
      </c>
      <c r="S3610" s="147" t="n">
        <v>0.0712095427208905</v>
      </c>
      <c r="T3610" s="147" t="n">
        <v>0.0236847281294518</v>
      </c>
    </row>
    <row r="3611" customFormat="false" ht="12.75" hidden="false" customHeight="true" outlineLevel="0" collapsed="false">
      <c r="P3611" s="1" t="n">
        <v>3608</v>
      </c>
      <c r="Q3611" s="147" t="n">
        <v>81117.1484114333</v>
      </c>
      <c r="R3611" s="147" t="n">
        <v>0.272631327687186</v>
      </c>
      <c r="S3611" s="147" t="n">
        <v>0.0612800359897288</v>
      </c>
      <c r="T3611" s="147" t="n">
        <v>0.0230156480741791</v>
      </c>
    </row>
    <row r="3612" customFormat="false" ht="12.75" hidden="false" customHeight="true" outlineLevel="0" collapsed="false">
      <c r="P3612" s="1" t="n">
        <v>3609</v>
      </c>
      <c r="Q3612" s="147" t="n">
        <v>81139.1856638613</v>
      </c>
      <c r="R3612" s="147" t="n">
        <v>0.272392772118366</v>
      </c>
      <c r="S3612" s="147" t="n">
        <v>0.0580918568267792</v>
      </c>
      <c r="T3612" s="147" t="n">
        <v>0.0228224787908283</v>
      </c>
    </row>
    <row r="3613" customFormat="false" ht="12.75" hidden="false" customHeight="true" outlineLevel="0" collapsed="false">
      <c r="P3613" s="1" t="n">
        <v>3610</v>
      </c>
      <c r="Q3613" s="147" t="n">
        <v>81161.9807343383</v>
      </c>
      <c r="R3613" s="147" t="n">
        <v>0.271438919933911</v>
      </c>
      <c r="S3613" s="147" t="n">
        <v>0.0562633767063593</v>
      </c>
      <c r="T3613" s="147" t="n">
        <v>0.022633806021579</v>
      </c>
    </row>
    <row r="3614" customFormat="false" ht="12.75" hidden="false" customHeight="true" outlineLevel="0" collapsed="false">
      <c r="P3614" s="1" t="n">
        <v>3611</v>
      </c>
      <c r="Q3614" s="147" t="n">
        <v>81184.3551747133</v>
      </c>
      <c r="R3614" s="147" t="n">
        <v>0.270528292894678</v>
      </c>
      <c r="S3614" s="147" t="n">
        <v>0.0572645273411159</v>
      </c>
      <c r="T3614" s="147" t="n">
        <v>0.0233445380847094</v>
      </c>
    </row>
    <row r="3615" customFormat="false" ht="12.75" hidden="false" customHeight="true" outlineLevel="0" collapsed="false">
      <c r="P3615" s="1" t="n">
        <v>3612</v>
      </c>
      <c r="Q3615" s="147" t="n">
        <v>81206.6785644713</v>
      </c>
      <c r="R3615" s="147" t="n">
        <v>0.269338624918421</v>
      </c>
      <c r="S3615" s="147" t="n">
        <v>0.0611807230503073</v>
      </c>
      <c r="T3615" s="147" t="n">
        <v>0.0243382127573207</v>
      </c>
    </row>
    <row r="3616" customFormat="false" ht="12.75" hidden="false" customHeight="true" outlineLevel="0" collapsed="false">
      <c r="P3616" s="1" t="n">
        <v>3613</v>
      </c>
      <c r="Q3616" s="147" t="n">
        <v>81228.9782619963</v>
      </c>
      <c r="R3616" s="147" t="n">
        <v>0.268268620689792</v>
      </c>
      <c r="S3616" s="147" t="n">
        <v>0.0659612727441398</v>
      </c>
      <c r="T3616" s="147" t="n">
        <v>0.0255347516756523</v>
      </c>
    </row>
    <row r="3617" customFormat="false" ht="12.75" hidden="false" customHeight="true" outlineLevel="0" collapsed="false">
      <c r="P3617" s="1" t="n">
        <v>3614</v>
      </c>
      <c r="Q3617" s="147" t="n">
        <v>81251.2564848573</v>
      </c>
      <c r="R3617" s="147" t="n">
        <v>0.267491338845879</v>
      </c>
      <c r="S3617" s="147" t="n">
        <v>0.0702955689258663</v>
      </c>
      <c r="T3617" s="147" t="n">
        <v>0.026740871501252</v>
      </c>
    </row>
    <row r="3618" customFormat="false" ht="12.75" hidden="false" customHeight="true" outlineLevel="0" collapsed="false">
      <c r="P3618" s="1" t="n">
        <v>3615</v>
      </c>
      <c r="Q3618" s="147" t="n">
        <v>81273.6796327874</v>
      </c>
      <c r="R3618" s="147" t="n">
        <v>0.266944524313878</v>
      </c>
      <c r="S3618" s="147" t="n">
        <v>0.0731203470152326</v>
      </c>
      <c r="T3618" s="147" t="n">
        <v>0.0274680262763217</v>
      </c>
    </row>
    <row r="3619" customFormat="false" ht="12.75" hidden="false" customHeight="true" outlineLevel="0" collapsed="false">
      <c r="P3619" s="1" t="n">
        <v>3616</v>
      </c>
      <c r="Q3619" s="147" t="n">
        <v>81296.0703653073</v>
      </c>
      <c r="R3619" s="147" t="n">
        <v>0.266712314013398</v>
      </c>
      <c r="S3619" s="147" t="n">
        <v>0.0748031974338817</v>
      </c>
      <c r="T3619" s="147" t="n">
        <v>0.0277745192107472</v>
      </c>
    </row>
    <row r="3620" customFormat="false" ht="12.75" hidden="false" customHeight="true" outlineLevel="0" collapsed="false">
      <c r="P3620" s="1" t="n">
        <v>3617</v>
      </c>
      <c r="Q3620" s="147" t="n">
        <v>81318.3978530803</v>
      </c>
      <c r="R3620" s="147" t="n">
        <v>0.266755117567464</v>
      </c>
      <c r="S3620" s="147" t="n">
        <v>0.0745268706899224</v>
      </c>
      <c r="T3620" s="147" t="n">
        <v>0.0275070161382125</v>
      </c>
    </row>
    <row r="3621" customFormat="false" ht="12.75" hidden="false" customHeight="true" outlineLevel="0" collapsed="false">
      <c r="P3621" s="1" t="n">
        <v>3618</v>
      </c>
      <c r="Q3621" s="147" t="n">
        <v>81341.2165397933</v>
      </c>
      <c r="R3621" s="147" t="n">
        <v>0.267403504836449</v>
      </c>
      <c r="S3621" s="147" t="n">
        <v>0.070974645080966</v>
      </c>
      <c r="T3621" s="147" t="n">
        <v>0.0270502240259912</v>
      </c>
    </row>
    <row r="3622" customFormat="false" ht="12.75" hidden="false" customHeight="true" outlineLevel="0" collapsed="false">
      <c r="P3622" s="1" t="n">
        <v>3619</v>
      </c>
      <c r="Q3622" s="147" t="n">
        <v>81363.5945092543</v>
      </c>
      <c r="R3622" s="147" t="n">
        <v>0.267697987752587</v>
      </c>
      <c r="S3622" s="147" t="n">
        <v>0.0675695950901414</v>
      </c>
      <c r="T3622" s="147" t="n">
        <v>0.0259229256961655</v>
      </c>
    </row>
    <row r="3623" customFormat="false" ht="12.75" hidden="false" customHeight="true" outlineLevel="0" collapsed="false">
      <c r="P3623" s="1" t="n">
        <v>3620</v>
      </c>
      <c r="Q3623" s="147" t="n">
        <v>81385.9830063223</v>
      </c>
      <c r="R3623" s="147" t="n">
        <v>0.268862472639467</v>
      </c>
      <c r="S3623" s="147" t="n">
        <v>0.0647791608790828</v>
      </c>
      <c r="T3623" s="147" t="n">
        <v>0.025179412707043</v>
      </c>
    </row>
    <row r="3624" customFormat="false" ht="12.75" hidden="false" customHeight="true" outlineLevel="0" collapsed="false">
      <c r="P3624" s="1" t="n">
        <v>3621</v>
      </c>
      <c r="Q3624" s="147" t="n">
        <v>81408.5749896753</v>
      </c>
      <c r="R3624" s="147" t="n">
        <v>0.269823124044137</v>
      </c>
      <c r="S3624" s="147" t="n">
        <v>0.0634010440509407</v>
      </c>
      <c r="T3624" s="147" t="n">
        <v>0.0243102853321988</v>
      </c>
    </row>
    <row r="3625" customFormat="false" ht="12.75" hidden="false" customHeight="true" outlineLevel="0" collapsed="false">
      <c r="P3625" s="1" t="n">
        <v>3622</v>
      </c>
      <c r="Q3625" s="147" t="n">
        <v>81431.1703199943</v>
      </c>
      <c r="R3625" s="147" t="n">
        <v>0.27104556685923</v>
      </c>
      <c r="S3625" s="147" t="n">
        <v>0.0634961890641422</v>
      </c>
      <c r="T3625" s="147" t="n">
        <v>0.0238203498967894</v>
      </c>
    </row>
    <row r="3626" customFormat="false" ht="12.75" hidden="false" customHeight="true" outlineLevel="0" collapsed="false">
      <c r="P3626" s="1" t="n">
        <v>3623</v>
      </c>
      <c r="Q3626" s="147" t="n">
        <v>81453.7034435624</v>
      </c>
      <c r="R3626" s="147" t="n">
        <v>0.27210284688415</v>
      </c>
      <c r="S3626" s="147" t="n">
        <v>0.06501034721693</v>
      </c>
      <c r="T3626" s="147" t="n">
        <v>0.0238955350389385</v>
      </c>
    </row>
    <row r="3627" customFormat="false" ht="12.75" hidden="false" customHeight="true" outlineLevel="0" collapsed="false">
      <c r="P3627" s="1" t="n">
        <v>3624</v>
      </c>
      <c r="Q3627" s="147" t="n">
        <v>81476.6246280944</v>
      </c>
      <c r="R3627" s="147" t="n">
        <v>0.273113589272836</v>
      </c>
      <c r="S3627" s="147" t="n">
        <v>0.0675456743426626</v>
      </c>
      <c r="T3627" s="147" t="n">
        <v>0.0242869389627737</v>
      </c>
    </row>
    <row r="3628" customFormat="false" ht="12.75" hidden="false" customHeight="true" outlineLevel="0" collapsed="false">
      <c r="P3628" s="1" t="n">
        <v>3625</v>
      </c>
      <c r="Q3628" s="147" t="n">
        <v>81499.3087969564</v>
      </c>
      <c r="R3628" s="147" t="n">
        <v>0.273515725708802</v>
      </c>
      <c r="S3628" s="147" t="n">
        <v>0.0711669322091676</v>
      </c>
      <c r="T3628" s="147" t="n">
        <v>0.0249493947494892</v>
      </c>
    </row>
    <row r="3629" customFormat="false" ht="12.75" hidden="false" customHeight="true" outlineLevel="0" collapsed="false">
      <c r="P3629" s="1" t="n">
        <v>3626</v>
      </c>
      <c r="Q3629" s="147" t="n">
        <v>81522.0604156784</v>
      </c>
      <c r="R3629" s="147" t="n">
        <v>0.273437766076945</v>
      </c>
      <c r="S3629" s="147" t="n">
        <v>0.0757676506340767</v>
      </c>
      <c r="T3629" s="147" t="n">
        <v>0.0254379241587689</v>
      </c>
    </row>
    <row r="3630" customFormat="false" ht="12.75" hidden="false" customHeight="true" outlineLevel="0" collapsed="false">
      <c r="P3630" s="1" t="n">
        <v>3627</v>
      </c>
      <c r="Q3630" s="147" t="n">
        <v>81545.0554757944</v>
      </c>
      <c r="R3630" s="147" t="n">
        <v>0.272864237030357</v>
      </c>
      <c r="S3630" s="147" t="n">
        <v>0.0805768290976157</v>
      </c>
      <c r="T3630" s="147" t="n">
        <v>0.0256860990947772</v>
      </c>
    </row>
    <row r="3631" customFormat="false" ht="12.75" hidden="false" customHeight="true" outlineLevel="0" collapsed="false">
      <c r="P3631" s="1" t="n">
        <v>3628</v>
      </c>
      <c r="Q3631" s="147" t="n">
        <v>81567.9489943264</v>
      </c>
      <c r="R3631" s="147" t="n">
        <v>0.272082825787074</v>
      </c>
      <c r="S3631" s="147" t="n">
        <v>0.0862348033376044</v>
      </c>
      <c r="T3631" s="147" t="n">
        <v>0.0254866928790145</v>
      </c>
    </row>
    <row r="3632" customFormat="false" ht="12.75" hidden="false" customHeight="true" outlineLevel="0" collapsed="false">
      <c r="P3632" s="1" t="n">
        <v>3629</v>
      </c>
      <c r="Q3632" s="147" t="n">
        <v>81590.6439946623</v>
      </c>
      <c r="R3632" s="147" t="n">
        <v>0.271328842294049</v>
      </c>
      <c r="S3632" s="147" t="n">
        <v>0.0913791436916038</v>
      </c>
      <c r="T3632" s="147" t="n">
        <v>0.025113323922394</v>
      </c>
    </row>
    <row r="3633" customFormat="false" ht="12.75" hidden="false" customHeight="true" outlineLevel="0" collapsed="false">
      <c r="P3633" s="1" t="n">
        <v>3630</v>
      </c>
      <c r="Q3633" s="147" t="n">
        <v>81613.5328877324</v>
      </c>
      <c r="R3633" s="147" t="n">
        <v>0.270682789094855</v>
      </c>
      <c r="S3633" s="147" t="n">
        <v>0.0954075930580658</v>
      </c>
      <c r="T3633" s="147" t="n">
        <v>0.0247775878449189</v>
      </c>
    </row>
    <row r="3634" customFormat="false" ht="12.75" hidden="false" customHeight="true" outlineLevel="0" collapsed="false">
      <c r="P3634" s="1" t="n">
        <v>3631</v>
      </c>
      <c r="Q3634" s="147" t="n">
        <v>81635.8977659874</v>
      </c>
      <c r="R3634" s="147" t="n">
        <v>0.270230998896758</v>
      </c>
      <c r="S3634" s="147" t="n">
        <v>0.0977229676412759</v>
      </c>
      <c r="T3634" s="147" t="n">
        <v>0.0245992859423053</v>
      </c>
    </row>
    <row r="3635" customFormat="false" ht="12.75" hidden="false" customHeight="true" outlineLevel="0" collapsed="false">
      <c r="P3635" s="1" t="n">
        <v>3632</v>
      </c>
      <c r="Q3635" s="147" t="n">
        <v>81658.4983595404</v>
      </c>
      <c r="R3635" s="147" t="n">
        <v>0.270054975767032</v>
      </c>
      <c r="S3635" s="147" t="n">
        <v>0.0978820353356874</v>
      </c>
      <c r="T3635" s="147" t="n">
        <v>0.0246624885448226</v>
      </c>
    </row>
    <row r="3636" customFormat="false" ht="12.75" hidden="false" customHeight="true" outlineLevel="0" collapsed="false">
      <c r="P3636" s="1" t="n">
        <v>3633</v>
      </c>
      <c r="Q3636" s="147" t="n">
        <v>81681.1573351093</v>
      </c>
      <c r="R3636" s="147" t="n">
        <v>0.270033606035006</v>
      </c>
      <c r="S3636" s="147" t="n">
        <v>0.0966886784446946</v>
      </c>
      <c r="T3636" s="147" t="n">
        <v>0.0250584643436487</v>
      </c>
    </row>
    <row r="3637" customFormat="false" ht="12.75" hidden="false" customHeight="true" outlineLevel="0" collapsed="false">
      <c r="P3637" s="1" t="n">
        <v>3634</v>
      </c>
      <c r="Q3637" s="147" t="n">
        <v>81703.8265155473</v>
      </c>
      <c r="R3637" s="147" t="n">
        <v>0.270353643201759</v>
      </c>
      <c r="S3637" s="147" t="n">
        <v>0.0930147106885031</v>
      </c>
      <c r="T3637" s="147" t="n">
        <v>0.0255344805032146</v>
      </c>
    </row>
    <row r="3638" customFormat="false" ht="12.75" hidden="false" customHeight="true" outlineLevel="0" collapsed="false">
      <c r="P3638" s="1" t="n">
        <v>3635</v>
      </c>
      <c r="Q3638" s="147" t="n">
        <v>81725.6167955673</v>
      </c>
      <c r="R3638" s="147" t="n">
        <v>0.270532416652727</v>
      </c>
      <c r="S3638" s="147" t="n">
        <v>0.0923542445791241</v>
      </c>
      <c r="T3638" s="147" t="n">
        <v>0.0264814136437438</v>
      </c>
    </row>
    <row r="3639" customFormat="false" ht="12.75" hidden="false" customHeight="true" outlineLevel="0" collapsed="false">
      <c r="P3639" s="1" t="n">
        <v>3636</v>
      </c>
      <c r="Q3639" s="147" t="n">
        <v>81748.4740510653</v>
      </c>
      <c r="R3639" s="147" t="n">
        <v>0.271150935271038</v>
      </c>
      <c r="S3639" s="147" t="n">
        <v>0.0855739627997259</v>
      </c>
      <c r="T3639" s="147" t="n">
        <v>0.0271289513715192</v>
      </c>
    </row>
    <row r="3640" customFormat="false" ht="12.75" hidden="false" customHeight="true" outlineLevel="0" collapsed="false">
      <c r="P3640" s="1" t="n">
        <v>3637</v>
      </c>
      <c r="Q3640" s="147" t="n">
        <v>81770.3853890213</v>
      </c>
      <c r="R3640" s="147" t="n">
        <v>0.271464308626699</v>
      </c>
      <c r="S3640" s="147" t="n">
        <v>0.0847837845086581</v>
      </c>
      <c r="T3640" s="147" t="n">
        <v>0.0277623990093462</v>
      </c>
    </row>
    <row r="3641" customFormat="false" ht="12.75" hidden="false" customHeight="true" outlineLevel="0" collapsed="false">
      <c r="P3641" s="1" t="n">
        <v>3638</v>
      </c>
      <c r="Q3641" s="147" t="n">
        <v>81792.9506659253</v>
      </c>
      <c r="R3641" s="147" t="n">
        <v>0.272395889311326</v>
      </c>
      <c r="S3641" s="147" t="n">
        <v>0.0812140736567153</v>
      </c>
      <c r="T3641" s="147" t="n">
        <v>0.0287378117252411</v>
      </c>
    </row>
    <row r="3642" customFormat="false" ht="12.75" hidden="false" customHeight="true" outlineLevel="0" collapsed="false">
      <c r="P3642" s="1" t="n">
        <v>3639</v>
      </c>
      <c r="Q3642" s="147" t="n">
        <v>81815.5703861413</v>
      </c>
      <c r="R3642" s="147" t="n">
        <v>0.273413692262627</v>
      </c>
      <c r="S3642" s="147" t="n">
        <v>0.0796316847887341</v>
      </c>
      <c r="T3642" s="147" t="n">
        <v>0.0291253264408864</v>
      </c>
    </row>
    <row r="3643" customFormat="false" ht="12.75" hidden="false" customHeight="true" outlineLevel="0" collapsed="false">
      <c r="P3643" s="1" t="n">
        <v>3640</v>
      </c>
      <c r="Q3643" s="147" t="n">
        <v>81838.1665016013</v>
      </c>
      <c r="R3643" s="147" t="n">
        <v>0.274635888633228</v>
      </c>
      <c r="S3643" s="147" t="n">
        <v>0.0768078137960347</v>
      </c>
      <c r="T3643" s="147" t="n">
        <v>0.0296064316344718</v>
      </c>
    </row>
    <row r="3644" customFormat="false" ht="12.75" hidden="false" customHeight="true" outlineLevel="0" collapsed="false">
      <c r="P3644" s="1" t="n">
        <v>3641</v>
      </c>
      <c r="Q3644" s="147" t="n">
        <v>81860.0835898253</v>
      </c>
      <c r="R3644" s="147" t="n">
        <v>0.275677276600547</v>
      </c>
      <c r="S3644" s="147" t="n">
        <v>0.0757384396741603</v>
      </c>
      <c r="T3644" s="147" t="n">
        <v>0.0297378838569525</v>
      </c>
    </row>
    <row r="3645" customFormat="false" ht="12.75" hidden="false" customHeight="true" outlineLevel="0" collapsed="false">
      <c r="P3645" s="1" t="n">
        <v>3642</v>
      </c>
      <c r="Q3645" s="147" t="n">
        <v>81882.8400771953</v>
      </c>
      <c r="R3645" s="147" t="n">
        <v>0.276210941525535</v>
      </c>
      <c r="S3645" s="147" t="n">
        <v>0.0757129414930826</v>
      </c>
      <c r="T3645" s="147" t="n">
        <v>0.0311195170641439</v>
      </c>
    </row>
    <row r="3646" customFormat="false" ht="12.75" hidden="false" customHeight="true" outlineLevel="0" collapsed="false">
      <c r="P3646" s="1" t="n">
        <v>3643</v>
      </c>
      <c r="Q3646" s="147" t="n">
        <v>81905.0339270223</v>
      </c>
      <c r="R3646" s="147" t="n">
        <v>0.276793535520318</v>
      </c>
      <c r="S3646" s="147" t="n">
        <v>0.0773487798932815</v>
      </c>
      <c r="T3646" s="147" t="n">
        <v>0.0307764414315565</v>
      </c>
    </row>
    <row r="3647" customFormat="false" ht="12.75" hidden="false" customHeight="true" outlineLevel="0" collapsed="false">
      <c r="P3647" s="1" t="n">
        <v>3644</v>
      </c>
      <c r="Q3647" s="147" t="n">
        <v>81927.5608115593</v>
      </c>
      <c r="R3647" s="147" t="n">
        <v>0.276483472731416</v>
      </c>
      <c r="S3647" s="147" t="n">
        <v>0.082535690759793</v>
      </c>
      <c r="T3647" s="147" t="n">
        <v>0.0308424629218304</v>
      </c>
    </row>
    <row r="3648" customFormat="false" ht="12.75" hidden="false" customHeight="true" outlineLevel="0" collapsed="false">
      <c r="P3648" s="1" t="n">
        <v>3645</v>
      </c>
      <c r="Q3648" s="147" t="n">
        <v>81949.8536058223</v>
      </c>
      <c r="R3648" s="147" t="n">
        <v>0.276331079657232</v>
      </c>
      <c r="S3648" s="147" t="n">
        <v>0.0875787893497428</v>
      </c>
      <c r="T3648" s="147" t="n">
        <v>0.0308343338546188</v>
      </c>
    </row>
    <row r="3649" customFormat="false" ht="12.75" hidden="false" customHeight="true" outlineLevel="0" collapsed="false">
      <c r="P3649" s="1" t="n">
        <v>3646</v>
      </c>
      <c r="Q3649" s="147" t="n">
        <v>81972.5145038333</v>
      </c>
      <c r="R3649" s="147" t="n">
        <v>0.275432962076784</v>
      </c>
      <c r="S3649" s="147" t="n">
        <v>0.0964793007790435</v>
      </c>
      <c r="T3649" s="147" t="n">
        <v>0.0309151663628996</v>
      </c>
    </row>
    <row r="3650" customFormat="false" ht="12.75" hidden="false" customHeight="true" outlineLevel="0" collapsed="false">
      <c r="P3650" s="1" t="n">
        <v>3647</v>
      </c>
      <c r="Q3650" s="147" t="n">
        <v>81994.7262002804</v>
      </c>
      <c r="R3650" s="147" t="n">
        <v>0.274483427793522</v>
      </c>
      <c r="S3650" s="147" t="n">
        <v>0.102188193530649</v>
      </c>
      <c r="T3650" s="147" t="n">
        <v>0.0318399421527555</v>
      </c>
    </row>
    <row r="3651" customFormat="false" ht="12.75" hidden="false" customHeight="true" outlineLevel="0" collapsed="false">
      <c r="P3651" s="1" t="n">
        <v>3648</v>
      </c>
      <c r="Q3651" s="147" t="n">
        <v>82017.1980132373</v>
      </c>
      <c r="R3651" s="147" t="n">
        <v>0.273355741301925</v>
      </c>
      <c r="S3651" s="147" t="n">
        <v>0.108192812530965</v>
      </c>
      <c r="T3651" s="147" t="n">
        <v>0.0323577612667061</v>
      </c>
    </row>
    <row r="3652" customFormat="false" ht="12.75" hidden="false" customHeight="true" outlineLevel="0" collapsed="false">
      <c r="P3652" s="1" t="n">
        <v>3649</v>
      </c>
      <c r="Q3652" s="147" t="n">
        <v>82039.6616968774</v>
      </c>
      <c r="R3652" s="147" t="n">
        <v>0.272216132506058</v>
      </c>
      <c r="S3652" s="147" t="n">
        <v>0.110560083014423</v>
      </c>
      <c r="T3652" s="147" t="n">
        <v>0.0333254158854195</v>
      </c>
    </row>
    <row r="3653" customFormat="false" ht="12.75" hidden="false" customHeight="true" outlineLevel="0" collapsed="false">
      <c r="P3653" s="1" t="n">
        <v>3650</v>
      </c>
      <c r="Q3653" s="147" t="n">
        <v>82062.0847578484</v>
      </c>
      <c r="R3653" s="147" t="n">
        <v>0.271138224884459</v>
      </c>
      <c r="S3653" s="147" t="n">
        <v>0.110710603518678</v>
      </c>
      <c r="T3653" s="147" t="n">
        <v>0.0337282227936812</v>
      </c>
    </row>
    <row r="3654" customFormat="false" ht="12.75" hidden="false" customHeight="true" outlineLevel="0" collapsed="false">
      <c r="P3654" s="1" t="n">
        <v>3651</v>
      </c>
      <c r="Q3654" s="147" t="n">
        <v>82084.7791250764</v>
      </c>
      <c r="R3654" s="147" t="n">
        <v>0.270224061507565</v>
      </c>
      <c r="S3654" s="147" t="n">
        <v>0.107064693567199</v>
      </c>
      <c r="T3654" s="147" t="n">
        <v>0.034551526722007</v>
      </c>
    </row>
    <row r="3655" customFormat="false" ht="12.75" hidden="false" customHeight="true" outlineLevel="0" collapsed="false">
      <c r="P3655" s="1" t="n">
        <v>3652</v>
      </c>
      <c r="Q3655" s="147" t="n">
        <v>82107.1146690084</v>
      </c>
      <c r="R3655" s="147" t="n">
        <v>0.269365183110938</v>
      </c>
      <c r="S3655" s="147" t="n">
        <v>0.105350865902814</v>
      </c>
      <c r="T3655" s="147" t="n">
        <v>0.0360615730256768</v>
      </c>
    </row>
    <row r="3656" customFormat="false" ht="12.75" hidden="false" customHeight="true" outlineLevel="0" collapsed="false">
      <c r="P3656" s="1" t="n">
        <v>3653</v>
      </c>
      <c r="Q3656" s="147" t="n">
        <v>82130.1877409134</v>
      </c>
      <c r="R3656" s="147" t="n">
        <v>0.26868107752866</v>
      </c>
      <c r="S3656" s="147" t="n">
        <v>0.101726001162604</v>
      </c>
      <c r="T3656" s="147" t="n">
        <v>0.035875504345248</v>
      </c>
    </row>
    <row r="3657" customFormat="false" ht="12.75" hidden="false" customHeight="true" outlineLevel="0" collapsed="false">
      <c r="P3657" s="1" t="n">
        <v>3654</v>
      </c>
      <c r="Q3657" s="147" t="n">
        <v>82151.7551992534</v>
      </c>
      <c r="R3657" s="147" t="n">
        <v>0.26813034532115</v>
      </c>
      <c r="S3657" s="147" t="n">
        <v>0.0996722639309327</v>
      </c>
      <c r="T3657" s="147" t="n">
        <v>0.0360443157234877</v>
      </c>
    </row>
    <row r="3658" customFormat="false" ht="12.75" hidden="false" customHeight="true" outlineLevel="0" collapsed="false">
      <c r="P3658" s="1" t="n">
        <v>3655</v>
      </c>
      <c r="Q3658" s="147" t="n">
        <v>82174.4518140724</v>
      </c>
      <c r="R3658" s="147" t="n">
        <v>0.267946115453971</v>
      </c>
      <c r="S3658" s="147" t="n">
        <v>0.0978502572383409</v>
      </c>
      <c r="T3658" s="147" t="n">
        <v>0.0366489304287243</v>
      </c>
    </row>
    <row r="3659" customFormat="false" ht="12.75" hidden="false" customHeight="true" outlineLevel="0" collapsed="false">
      <c r="P3659" s="1" t="n">
        <v>3656</v>
      </c>
      <c r="Q3659" s="147" t="n">
        <v>82196.3214150254</v>
      </c>
      <c r="R3659" s="147" t="n">
        <v>0.268006339023011</v>
      </c>
      <c r="S3659" s="147" t="n">
        <v>0.0971334183474201</v>
      </c>
      <c r="T3659" s="147" t="n">
        <v>0.0360177629551599</v>
      </c>
    </row>
    <row r="3660" customFormat="false" ht="12.75" hidden="false" customHeight="true" outlineLevel="0" collapsed="false">
      <c r="P3660" s="1" t="n">
        <v>3657</v>
      </c>
      <c r="Q3660" s="147" t="n">
        <v>82218.7075138154</v>
      </c>
      <c r="R3660" s="147" t="n">
        <v>0.268164520817991</v>
      </c>
      <c r="S3660" s="147" t="n">
        <v>0.0979341528391648</v>
      </c>
      <c r="T3660" s="147" t="n">
        <v>0.036975285583902</v>
      </c>
    </row>
    <row r="3661" customFormat="false" ht="12.75" hidden="false" customHeight="true" outlineLevel="0" collapsed="false">
      <c r="P3661" s="1" t="n">
        <v>3658</v>
      </c>
      <c r="Q3661" s="147" t="n">
        <v>82241.1945461913</v>
      </c>
      <c r="R3661" s="147" t="n">
        <v>0.268630607856656</v>
      </c>
      <c r="S3661" s="147" t="n">
        <v>0.0997517012354789</v>
      </c>
      <c r="T3661" s="147" t="n">
        <v>0.0370570489539085</v>
      </c>
    </row>
    <row r="3662" customFormat="false" ht="12.75" hidden="false" customHeight="true" outlineLevel="0" collapsed="false">
      <c r="P3662" s="1" t="n">
        <v>3659</v>
      </c>
      <c r="Q3662" s="147" t="n">
        <v>82263.8079253634</v>
      </c>
      <c r="R3662" s="147" t="n">
        <v>0.268543277114662</v>
      </c>
      <c r="S3662" s="147" t="n">
        <v>0.101769024820182</v>
      </c>
      <c r="T3662" s="147" t="n">
        <v>0.0374111367947804</v>
      </c>
    </row>
    <row r="3663" customFormat="false" ht="12.75" hidden="false" customHeight="true" outlineLevel="0" collapsed="false">
      <c r="P3663" s="1" t="n">
        <v>3660</v>
      </c>
      <c r="Q3663" s="147" t="n">
        <v>82286.0870700893</v>
      </c>
      <c r="R3663" s="147" t="n">
        <v>0.268760979717014</v>
      </c>
      <c r="S3663" s="147" t="n">
        <v>0.103984762329326</v>
      </c>
      <c r="T3663" s="147" t="n">
        <v>0.0376169137146029</v>
      </c>
    </row>
    <row r="3664" customFormat="false" ht="12.75" hidden="false" customHeight="true" outlineLevel="0" collapsed="false">
      <c r="P3664" s="1" t="n">
        <v>3661</v>
      </c>
      <c r="Q3664" s="147" t="n">
        <v>82308.7810932093</v>
      </c>
      <c r="R3664" s="147" t="n">
        <v>0.268592212696342</v>
      </c>
      <c r="S3664" s="147" t="n">
        <v>0.106025188898041</v>
      </c>
      <c r="T3664" s="147" t="n">
        <v>0.0379974842935015</v>
      </c>
    </row>
    <row r="3665" customFormat="false" ht="12.75" hidden="false" customHeight="true" outlineLevel="0" collapsed="false">
      <c r="P3665" s="1" t="n">
        <v>3662</v>
      </c>
      <c r="Q3665" s="147" t="n">
        <v>82331.5082416963</v>
      </c>
      <c r="R3665" s="147" t="n">
        <v>0.268470248378098</v>
      </c>
      <c r="S3665" s="147" t="n">
        <v>0.107755163816618</v>
      </c>
      <c r="T3665" s="147" t="n">
        <v>0.0378303774915947</v>
      </c>
    </row>
    <row r="3666" customFormat="false" ht="12.75" hidden="false" customHeight="true" outlineLevel="0" collapsed="false">
      <c r="P3666" s="1" t="n">
        <v>3663</v>
      </c>
      <c r="Q3666" s="147" t="n">
        <v>82353.9825951133</v>
      </c>
      <c r="R3666" s="147" t="n">
        <v>0.268201970660057</v>
      </c>
      <c r="S3666" s="147" t="n">
        <v>0.109499217116941</v>
      </c>
      <c r="T3666" s="147" t="n">
        <v>0.0378272172999536</v>
      </c>
    </row>
    <row r="3667" customFormat="false" ht="12.75" hidden="false" customHeight="true" outlineLevel="0" collapsed="false">
      <c r="P3667" s="1" t="n">
        <v>3664</v>
      </c>
      <c r="Q3667" s="147" t="n">
        <v>82376.5484063153</v>
      </c>
      <c r="R3667" s="147" t="n">
        <v>0.267892732615558</v>
      </c>
      <c r="S3667" s="147" t="n">
        <v>0.110551447061099</v>
      </c>
      <c r="T3667" s="147" t="n">
        <v>0.0378036080290238</v>
      </c>
    </row>
    <row r="3668" customFormat="false" ht="12.75" hidden="false" customHeight="true" outlineLevel="0" collapsed="false">
      <c r="P3668" s="1" t="n">
        <v>3665</v>
      </c>
      <c r="Q3668" s="147" t="n">
        <v>82399.0643603063</v>
      </c>
      <c r="R3668" s="147" t="n">
        <v>0.267607255185285</v>
      </c>
      <c r="S3668" s="147" t="n">
        <v>0.11234510753992</v>
      </c>
      <c r="T3668" s="147" t="n">
        <v>0.037988915286162</v>
      </c>
    </row>
    <row r="3669" customFormat="false" ht="12.75" hidden="false" customHeight="true" outlineLevel="0" collapsed="false">
      <c r="P3669" s="1" t="n">
        <v>3666</v>
      </c>
      <c r="Q3669" s="147" t="n">
        <v>82421.2981159143</v>
      </c>
      <c r="R3669" s="147" t="n">
        <v>0.267521646979737</v>
      </c>
      <c r="S3669" s="147" t="n">
        <v>0.113899352008304</v>
      </c>
      <c r="T3669" s="147" t="n">
        <v>0.0379858648043729</v>
      </c>
    </row>
    <row r="3670" customFormat="false" ht="12.75" hidden="false" customHeight="true" outlineLevel="0" collapsed="false">
      <c r="P3670" s="1" t="n">
        <v>3667</v>
      </c>
      <c r="Q3670" s="147" t="n">
        <v>82443.8255144893</v>
      </c>
      <c r="R3670" s="147" t="n">
        <v>0.267559632644127</v>
      </c>
      <c r="S3670" s="147" t="n">
        <v>0.114877463678041</v>
      </c>
      <c r="T3670" s="147" t="n">
        <v>0.0376964070281469</v>
      </c>
    </row>
    <row r="3671" customFormat="false" ht="12.75" hidden="false" customHeight="true" outlineLevel="0" collapsed="false">
      <c r="P3671" s="1" t="n">
        <v>3668</v>
      </c>
      <c r="Q3671" s="147" t="n">
        <v>82466.0063789193</v>
      </c>
      <c r="R3671" s="147" t="n">
        <v>0.267707105650477</v>
      </c>
      <c r="S3671" s="147" t="n">
        <v>0.114284550620753</v>
      </c>
      <c r="T3671" s="147" t="n">
        <v>0.0375324408198881</v>
      </c>
    </row>
    <row r="3672" customFormat="false" ht="12.75" hidden="false" customHeight="true" outlineLevel="0" collapsed="false">
      <c r="P3672" s="1" t="n">
        <v>3669</v>
      </c>
      <c r="Q3672" s="147" t="n">
        <v>82488.2640161013</v>
      </c>
      <c r="R3672" s="147" t="n">
        <v>0.268654728496754</v>
      </c>
      <c r="S3672" s="147" t="n">
        <v>0.112849596198297</v>
      </c>
      <c r="T3672" s="147" t="n">
        <v>0.036515457180607</v>
      </c>
    </row>
    <row r="3673" customFormat="false" ht="12.75" hidden="false" customHeight="true" outlineLevel="0" collapsed="false">
      <c r="P3673" s="1" t="n">
        <v>3670</v>
      </c>
      <c r="Q3673" s="147" t="n">
        <v>82509.9153361374</v>
      </c>
      <c r="R3673" s="147" t="n">
        <v>0.269380484480271</v>
      </c>
      <c r="S3673" s="147" t="n">
        <v>0.110977889141272</v>
      </c>
      <c r="T3673" s="147" t="n">
        <v>0.0358675415276439</v>
      </c>
    </row>
    <row r="3674" customFormat="false" ht="12.75" hidden="false" customHeight="true" outlineLevel="0" collapsed="false">
      <c r="P3674" s="1" t="n">
        <v>3671</v>
      </c>
      <c r="Q3674" s="147" t="n">
        <v>82532.4770342853</v>
      </c>
      <c r="R3674" s="147" t="n">
        <v>0.270912747771494</v>
      </c>
      <c r="S3674" s="147" t="n">
        <v>0.107141113866208</v>
      </c>
      <c r="T3674" s="147" t="n">
        <v>0.0353185834007917</v>
      </c>
    </row>
    <row r="3675" customFormat="false" ht="12.75" hidden="false" customHeight="true" outlineLevel="0" collapsed="false">
      <c r="P3675" s="1" t="n">
        <v>3672</v>
      </c>
      <c r="Q3675" s="147" t="n">
        <v>82554.6252487753</v>
      </c>
      <c r="R3675" s="147" t="n">
        <v>0.272137048621406</v>
      </c>
      <c r="S3675" s="147" t="n">
        <v>0.104397622338205</v>
      </c>
      <c r="T3675" s="147" t="n">
        <v>0.0353696332339143</v>
      </c>
    </row>
    <row r="3676" customFormat="false" ht="12.75" hidden="false" customHeight="true" outlineLevel="0" collapsed="false">
      <c r="P3676" s="1" t="n">
        <v>3673</v>
      </c>
      <c r="Q3676" s="147" t="n">
        <v>82577.3325188213</v>
      </c>
      <c r="R3676" s="147" t="n">
        <v>0.273721893892912</v>
      </c>
      <c r="S3676" s="147" t="n">
        <v>0.100300143589996</v>
      </c>
      <c r="T3676" s="147" t="n">
        <v>0.035877642085807</v>
      </c>
    </row>
    <row r="3677" customFormat="false" ht="12.75" hidden="false" customHeight="true" outlineLevel="0" collapsed="false">
      <c r="P3677" s="1" t="n">
        <v>3674</v>
      </c>
      <c r="Q3677" s="147" t="n">
        <v>82599.9391133483</v>
      </c>
      <c r="R3677" s="147" t="n">
        <v>0.275151891139809</v>
      </c>
      <c r="S3677" s="147" t="n">
        <v>0.0979874676485479</v>
      </c>
      <c r="T3677" s="147" t="n">
        <v>0.0362990737377993</v>
      </c>
    </row>
    <row r="3678" customFormat="false" ht="12.75" hidden="false" customHeight="true" outlineLevel="0" collapsed="false">
      <c r="P3678" s="1" t="n">
        <v>3675</v>
      </c>
      <c r="Q3678" s="147" t="n">
        <v>82622.0985055093</v>
      </c>
      <c r="R3678" s="147" t="n">
        <v>0.276459257124523</v>
      </c>
      <c r="S3678" s="147" t="n">
        <v>0.0967770142384904</v>
      </c>
      <c r="T3678" s="147" t="n">
        <v>0.0366902076542838</v>
      </c>
    </row>
    <row r="3679" customFormat="false" ht="12.75" hidden="false" customHeight="true" outlineLevel="0" collapsed="false">
      <c r="P3679" s="1" t="n">
        <v>3676</v>
      </c>
      <c r="Q3679" s="147" t="n">
        <v>82644.7188506633</v>
      </c>
      <c r="R3679" s="147" t="n">
        <v>0.277231284138586</v>
      </c>
      <c r="S3679" s="147" t="n">
        <v>0.0971099210360132</v>
      </c>
      <c r="T3679" s="147" t="n">
        <v>0.0372517776595815</v>
      </c>
    </row>
    <row r="3680" customFormat="false" ht="12.75" hidden="false" customHeight="true" outlineLevel="0" collapsed="false">
      <c r="P3680" s="1" t="n">
        <v>3677</v>
      </c>
      <c r="Q3680" s="147" t="n">
        <v>82666.9016261613</v>
      </c>
      <c r="R3680" s="147" t="n">
        <v>0.277487007119947</v>
      </c>
      <c r="S3680" s="147" t="n">
        <v>0.0983404972618691</v>
      </c>
      <c r="T3680" s="147" t="n">
        <v>0.0376696094798641</v>
      </c>
    </row>
    <row r="3681" customFormat="false" ht="12.75" hidden="false" customHeight="true" outlineLevel="0" collapsed="false">
      <c r="P3681" s="1" t="n">
        <v>3678</v>
      </c>
      <c r="Q3681" s="147" t="n">
        <v>82689.0885397423</v>
      </c>
      <c r="R3681" s="147" t="n">
        <v>0.277240220413094</v>
      </c>
      <c r="S3681" s="147" t="n">
        <v>0.100471529849006</v>
      </c>
      <c r="T3681" s="147" t="n">
        <v>0.0377010487114004</v>
      </c>
    </row>
    <row r="3682" customFormat="false" ht="12.75" hidden="false" customHeight="true" outlineLevel="0" collapsed="false">
      <c r="P3682" s="1" t="n">
        <v>3679</v>
      </c>
      <c r="Q3682" s="147" t="n">
        <v>82711.2596197563</v>
      </c>
      <c r="R3682" s="147" t="n">
        <v>0.276582568412954</v>
      </c>
      <c r="S3682" s="147" t="n">
        <v>0.103215816497237</v>
      </c>
      <c r="T3682" s="147" t="n">
        <v>0.0373081384705447</v>
      </c>
    </row>
    <row r="3683" customFormat="false" ht="12.75" hidden="false" customHeight="true" outlineLevel="0" collapsed="false">
      <c r="P3683" s="1" t="n">
        <v>3680</v>
      </c>
      <c r="Q3683" s="147" t="n">
        <v>82733.5694147673</v>
      </c>
      <c r="R3683" s="147" t="n">
        <v>0.275686486341999</v>
      </c>
      <c r="S3683" s="147" t="n">
        <v>0.105130124894531</v>
      </c>
      <c r="T3683" s="147" t="n">
        <v>0.0363882658732421</v>
      </c>
    </row>
    <row r="3684" customFormat="false" ht="12.75" hidden="false" customHeight="true" outlineLevel="0" collapsed="false">
      <c r="P3684" s="1" t="n">
        <v>3681</v>
      </c>
      <c r="Q3684" s="147" t="n">
        <v>82755.9588183223</v>
      </c>
      <c r="R3684" s="147" t="n">
        <v>0.274568044749694</v>
      </c>
      <c r="S3684" s="147" t="n">
        <v>0.106085985006137</v>
      </c>
      <c r="T3684" s="147" t="n">
        <v>0.0358318071046712</v>
      </c>
    </row>
    <row r="3685" customFormat="false" ht="12.75" hidden="false" customHeight="true" outlineLevel="0" collapsed="false">
      <c r="P3685" s="1" t="n">
        <v>3682</v>
      </c>
      <c r="Q3685" s="147" t="n">
        <v>82778.4353846683</v>
      </c>
      <c r="R3685" s="147" t="n">
        <v>0.273664174198508</v>
      </c>
      <c r="S3685" s="147" t="n">
        <v>0.10486854328424</v>
      </c>
      <c r="T3685" s="147" t="n">
        <v>0.0353344093198207</v>
      </c>
    </row>
    <row r="3686" customFormat="false" ht="12.75" hidden="false" customHeight="true" outlineLevel="0" collapsed="false">
      <c r="P3686" s="1" t="n">
        <v>3683</v>
      </c>
      <c r="Q3686" s="147" t="n">
        <v>82801.0959152723</v>
      </c>
      <c r="R3686" s="147" t="n">
        <v>0.272901053173306</v>
      </c>
      <c r="S3686" s="147" t="n">
        <v>0.101823964806309</v>
      </c>
      <c r="T3686" s="147" t="n">
        <v>0.0348695490184939</v>
      </c>
    </row>
    <row r="3687" customFormat="false" ht="12.75" hidden="false" customHeight="true" outlineLevel="0" collapsed="false">
      <c r="P3687" s="1" t="n">
        <v>3684</v>
      </c>
      <c r="Q3687" s="147" t="n">
        <v>82823.3787425413</v>
      </c>
      <c r="R3687" s="147" t="n">
        <v>0.272619305071816</v>
      </c>
      <c r="S3687" s="147" t="n">
        <v>0.09697537629283</v>
      </c>
      <c r="T3687" s="147" t="n">
        <v>0.034272549735851</v>
      </c>
    </row>
    <row r="3688" customFormat="false" ht="12.75" hidden="false" customHeight="true" outlineLevel="0" collapsed="false">
      <c r="P3688" s="1" t="n">
        <v>3685</v>
      </c>
      <c r="Q3688" s="147" t="n">
        <v>82845.5837369303</v>
      </c>
      <c r="R3688" s="147" t="n">
        <v>0.27275817795039</v>
      </c>
      <c r="S3688" s="147" t="n">
        <v>0.0903694975739058</v>
      </c>
      <c r="T3688" s="147" t="n">
        <v>0.0337259952746916</v>
      </c>
    </row>
    <row r="3689" customFormat="false" ht="12.75" hidden="false" customHeight="true" outlineLevel="0" collapsed="false">
      <c r="P3689" s="1" t="n">
        <v>3686</v>
      </c>
      <c r="Q3689" s="147" t="n">
        <v>82868.0957745953</v>
      </c>
      <c r="R3689" s="147" t="n">
        <v>0.273415279197616</v>
      </c>
      <c r="S3689" s="147" t="n">
        <v>0.0822789920965217</v>
      </c>
      <c r="T3689" s="147" t="n">
        <v>0.0335349888189807</v>
      </c>
    </row>
    <row r="3690" customFormat="false" ht="12.75" hidden="false" customHeight="true" outlineLevel="0" collapsed="false">
      <c r="P3690" s="1" t="n">
        <v>3687</v>
      </c>
      <c r="Q3690" s="147" t="n">
        <v>82890.8836998423</v>
      </c>
      <c r="R3690" s="147" t="n">
        <v>0.273829866771347</v>
      </c>
      <c r="S3690" s="147" t="n">
        <v>0.0768589320471999</v>
      </c>
      <c r="T3690" s="147" t="n">
        <v>0.0340187128866066</v>
      </c>
    </row>
    <row r="3691" customFormat="false" ht="12.75" hidden="false" customHeight="true" outlineLevel="0" collapsed="false">
      <c r="P3691" s="1" t="n">
        <v>3688</v>
      </c>
      <c r="Q3691" s="147" t="n">
        <v>82913.4769762143</v>
      </c>
      <c r="R3691" s="147" t="n">
        <v>0.275022938078409</v>
      </c>
      <c r="S3691" s="147" t="n">
        <v>0.0740339749932384</v>
      </c>
      <c r="T3691" s="147" t="n">
        <v>0.0352172431660261</v>
      </c>
    </row>
    <row r="3692" customFormat="false" ht="12.75" hidden="false" customHeight="true" outlineLevel="0" collapsed="false">
      <c r="P3692" s="1" t="n">
        <v>3689</v>
      </c>
      <c r="Q3692" s="147" t="n">
        <v>82936.0339506303</v>
      </c>
      <c r="R3692" s="147" t="n">
        <v>0.276109790136831</v>
      </c>
      <c r="S3692" s="147" t="n">
        <v>0.0747240930011216</v>
      </c>
      <c r="T3692" s="147" t="n">
        <v>0.0361966601965931</v>
      </c>
    </row>
    <row r="3693" customFormat="false" ht="12.75" hidden="false" customHeight="true" outlineLevel="0" collapsed="false">
      <c r="P3693" s="1" t="n">
        <v>3690</v>
      </c>
      <c r="Q3693" s="147" t="n">
        <v>82959.0625407073</v>
      </c>
      <c r="R3693" s="147" t="n">
        <v>0.277311415474013</v>
      </c>
      <c r="S3693" s="147" t="n">
        <v>0.0779116140031348</v>
      </c>
      <c r="T3693" s="147" t="n">
        <v>0.0373405763968624</v>
      </c>
    </row>
    <row r="3694" customFormat="false" ht="12.75" hidden="false" customHeight="true" outlineLevel="0" collapsed="false">
      <c r="P3694" s="1" t="n">
        <v>3691</v>
      </c>
      <c r="Q3694" s="147" t="n">
        <v>82981.5736633863</v>
      </c>
      <c r="R3694" s="147" t="n">
        <v>0.278509796724031</v>
      </c>
      <c r="S3694" s="147" t="n">
        <v>0.08201583244738</v>
      </c>
      <c r="T3694" s="147" t="n">
        <v>0.038155833672279</v>
      </c>
    </row>
    <row r="3695" customFormat="false" ht="12.75" hidden="false" customHeight="true" outlineLevel="0" collapsed="false">
      <c r="P3695" s="1" t="n">
        <v>3692</v>
      </c>
      <c r="Q3695" s="147" t="n">
        <v>83004.3462427043</v>
      </c>
      <c r="R3695" s="147" t="n">
        <v>0.279727303392391</v>
      </c>
      <c r="S3695" s="147" t="n">
        <v>0.0860058153445628</v>
      </c>
      <c r="T3695" s="147" t="n">
        <v>0.039023661625646</v>
      </c>
    </row>
    <row r="3696" customFormat="false" ht="12.75" hidden="false" customHeight="true" outlineLevel="0" collapsed="false">
      <c r="P3696" s="1" t="n">
        <v>3693</v>
      </c>
      <c r="Q3696" s="147" t="n">
        <v>83026.4939447124</v>
      </c>
      <c r="R3696" s="147" t="n">
        <v>0.281037970585725</v>
      </c>
      <c r="S3696" s="147" t="n">
        <v>0.0893937253116835</v>
      </c>
      <c r="T3696" s="147" t="n">
        <v>0.0395062614525332</v>
      </c>
    </row>
    <row r="3697" customFormat="false" ht="12.75" hidden="false" customHeight="true" outlineLevel="0" collapsed="false">
      <c r="P3697" s="1" t="n">
        <v>3694</v>
      </c>
      <c r="Q3697" s="147" t="n">
        <v>83048.8927149393</v>
      </c>
      <c r="R3697" s="147" t="n">
        <v>0.281385311260333</v>
      </c>
      <c r="S3697" s="147" t="n">
        <v>0.0939564110953347</v>
      </c>
      <c r="T3697" s="147" t="n">
        <v>0.04064455304199</v>
      </c>
    </row>
    <row r="3698" customFormat="false" ht="12.75" hidden="false" customHeight="true" outlineLevel="0" collapsed="false">
      <c r="P3698" s="1" t="n">
        <v>3695</v>
      </c>
      <c r="Q3698" s="147" t="n">
        <v>83071.1400151493</v>
      </c>
      <c r="R3698" s="147" t="n">
        <v>0.282108191225913</v>
      </c>
      <c r="S3698" s="147" t="n">
        <v>0.0975663610354997</v>
      </c>
      <c r="T3698" s="147" t="n">
        <v>0.0404921121841747</v>
      </c>
    </row>
    <row r="3699" customFormat="false" ht="12.75" hidden="false" customHeight="true" outlineLevel="0" collapsed="false">
      <c r="P3699" s="1" t="n">
        <v>3696</v>
      </c>
      <c r="Q3699" s="147" t="n">
        <v>83093.8603548944</v>
      </c>
      <c r="R3699" s="147" t="n">
        <v>0.281720095184561</v>
      </c>
      <c r="S3699" s="147" t="n">
        <v>0.104342152925769</v>
      </c>
      <c r="T3699" s="147" t="n">
        <v>0.0403954468944514</v>
      </c>
    </row>
    <row r="3700" customFormat="false" ht="12.75" hidden="false" customHeight="true" outlineLevel="0" collapsed="false">
      <c r="P3700" s="1" t="n">
        <v>3697</v>
      </c>
      <c r="Q3700" s="147" t="n">
        <v>83116.6126302224</v>
      </c>
      <c r="R3700" s="147" t="n">
        <v>0.281374047405917</v>
      </c>
      <c r="S3700" s="147" t="n">
        <v>0.110365025958285</v>
      </c>
      <c r="T3700" s="147" t="n">
        <v>0.0396986633677961</v>
      </c>
    </row>
    <row r="3701" customFormat="false" ht="12.75" hidden="false" customHeight="true" outlineLevel="0" collapsed="false">
      <c r="P3701" s="1" t="n">
        <v>3698</v>
      </c>
      <c r="Q3701" s="147" t="n">
        <v>83139.1181034944</v>
      </c>
      <c r="R3701" s="147" t="n">
        <v>0.2808209257626</v>
      </c>
      <c r="S3701" s="147" t="n">
        <v>0.11516533343827</v>
      </c>
      <c r="T3701" s="147" t="n">
        <v>0.0389733414795643</v>
      </c>
    </row>
    <row r="3702" customFormat="false" ht="12.75" hidden="false" customHeight="true" outlineLevel="0" collapsed="false">
      <c r="P3702" s="1" t="n">
        <v>3699</v>
      </c>
      <c r="Q3702" s="147" t="n">
        <v>83161.9330066834</v>
      </c>
      <c r="R3702" s="147" t="n">
        <v>0.279797886524581</v>
      </c>
      <c r="S3702" s="147" t="n">
        <v>0.11935732295697</v>
      </c>
      <c r="T3702" s="147" t="n">
        <v>0.0375760199202749</v>
      </c>
    </row>
    <row r="3703" customFormat="false" ht="12.75" hidden="false" customHeight="true" outlineLevel="0" collapsed="false">
      <c r="P3703" s="1" t="n">
        <v>3700</v>
      </c>
      <c r="Q3703" s="147" t="n">
        <v>83184.2487396104</v>
      </c>
      <c r="R3703" s="147" t="n">
        <v>0.279062423023648</v>
      </c>
      <c r="S3703" s="147" t="n">
        <v>0.121011521338975</v>
      </c>
      <c r="T3703" s="147" t="n">
        <v>0.0365791318920618</v>
      </c>
    </row>
    <row r="3704" customFormat="false" ht="12.75" hidden="false" customHeight="true" outlineLevel="0" collapsed="false">
      <c r="P3704" s="1" t="n">
        <v>3701</v>
      </c>
      <c r="Q3704" s="147" t="n">
        <v>83206.8034314764</v>
      </c>
      <c r="R3704" s="147" t="n">
        <v>0.278268993962438</v>
      </c>
      <c r="S3704" s="147" t="n">
        <v>0.12072780150323</v>
      </c>
      <c r="T3704" s="147" t="n">
        <v>0.0351442316015117</v>
      </c>
    </row>
    <row r="3705" customFormat="false" ht="12.75" hidden="false" customHeight="true" outlineLevel="0" collapsed="false">
      <c r="P3705" s="1" t="n">
        <v>3702</v>
      </c>
      <c r="Q3705" s="147" t="n">
        <v>83229.0874834104</v>
      </c>
      <c r="R3705" s="147" t="n">
        <v>0.277795343458537</v>
      </c>
      <c r="S3705" s="147" t="n">
        <v>0.117862658631869</v>
      </c>
      <c r="T3705" s="147" t="n">
        <v>0.0340267048220541</v>
      </c>
    </row>
    <row r="3706" customFormat="false" ht="12.75" hidden="false" customHeight="true" outlineLevel="0" collapsed="false">
      <c r="P3706" s="1" t="n">
        <v>3703</v>
      </c>
      <c r="Q3706" s="147" t="n">
        <v>83251.3012442344</v>
      </c>
      <c r="R3706" s="147" t="n">
        <v>0.277652586736243</v>
      </c>
      <c r="S3706" s="147" t="n">
        <v>0.112342914676715</v>
      </c>
      <c r="T3706" s="147" t="n">
        <v>0.0336333272085845</v>
      </c>
    </row>
    <row r="3707" customFormat="false" ht="12.75" hidden="false" customHeight="true" outlineLevel="0" collapsed="false">
      <c r="P3707" s="1" t="n">
        <v>3704</v>
      </c>
      <c r="Q3707" s="147" t="n">
        <v>83273.4294014294</v>
      </c>
      <c r="R3707" s="147" t="n">
        <v>0.277808701175989</v>
      </c>
      <c r="S3707" s="147" t="n">
        <v>0.106251772698532</v>
      </c>
      <c r="T3707" s="147" t="n">
        <v>0.034028505629484</v>
      </c>
    </row>
    <row r="3708" customFormat="false" ht="12.75" hidden="false" customHeight="true" outlineLevel="0" collapsed="false">
      <c r="P3708" s="1" t="n">
        <v>3705</v>
      </c>
      <c r="Q3708" s="147" t="n">
        <v>83295.6930008054</v>
      </c>
      <c r="R3708" s="147" t="n">
        <v>0.278247975295424</v>
      </c>
      <c r="S3708" s="147" t="n">
        <v>0.101242171414016</v>
      </c>
      <c r="T3708" s="147" t="n">
        <v>0.034964840315956</v>
      </c>
    </row>
    <row r="3709" customFormat="false" ht="12.75" hidden="false" customHeight="true" outlineLevel="0" collapsed="false">
      <c r="P3709" s="1" t="n">
        <v>3706</v>
      </c>
      <c r="Q3709" s="147" t="n">
        <v>83317.9171636774</v>
      </c>
      <c r="R3709" s="147" t="n">
        <v>0.278770396325705</v>
      </c>
      <c r="S3709" s="147" t="n">
        <v>0.0976225717451826</v>
      </c>
      <c r="T3709" s="147" t="n">
        <v>0.0362922308897373</v>
      </c>
    </row>
    <row r="3710" customFormat="false" ht="12.75" hidden="false" customHeight="true" outlineLevel="0" collapsed="false">
      <c r="P3710" s="1" t="n">
        <v>3707</v>
      </c>
      <c r="Q3710" s="147" t="n">
        <v>83340.0895392364</v>
      </c>
      <c r="R3710" s="147" t="n">
        <v>0.279256651251106</v>
      </c>
      <c r="S3710" s="147" t="n">
        <v>0.0962337330918383</v>
      </c>
      <c r="T3710" s="147" t="n">
        <v>0.0374750876684686</v>
      </c>
    </row>
    <row r="3711" customFormat="false" ht="12.75" hidden="false" customHeight="true" outlineLevel="0" collapsed="false">
      <c r="P3711" s="1" t="n">
        <v>3708</v>
      </c>
      <c r="Q3711" s="147" t="n">
        <v>83362.7912678764</v>
      </c>
      <c r="R3711" s="147" t="n">
        <v>0.279493827480045</v>
      </c>
      <c r="S3711" s="147" t="n">
        <v>0.0961723285516339</v>
      </c>
      <c r="T3711" s="147" t="n">
        <v>0.0388512418877242</v>
      </c>
    </row>
    <row r="3712" customFormat="false" ht="12.75" hidden="false" customHeight="true" outlineLevel="0" collapsed="false">
      <c r="P3712" s="1" t="n">
        <v>3709</v>
      </c>
      <c r="Q3712" s="147" t="n">
        <v>83385.1984807394</v>
      </c>
      <c r="R3712" s="147" t="n">
        <v>0.279396329857968</v>
      </c>
      <c r="S3712" s="147" t="n">
        <v>0.0975535307876297</v>
      </c>
      <c r="T3712" s="147" t="n">
        <v>0.0397207298997409</v>
      </c>
    </row>
    <row r="3713" customFormat="false" ht="12.75" hidden="false" customHeight="true" outlineLevel="0" collapsed="false">
      <c r="P3713" s="1" t="n">
        <v>3710</v>
      </c>
      <c r="Q3713" s="147" t="n">
        <v>83407.6386337314</v>
      </c>
      <c r="R3713" s="147" t="n">
        <v>0.278705712443134</v>
      </c>
      <c r="S3713" s="147" t="n">
        <v>0.099576863641682</v>
      </c>
      <c r="T3713" s="147" t="n">
        <v>0.0401709802674521</v>
      </c>
    </row>
    <row r="3714" customFormat="false" ht="12.75" hidden="false" customHeight="true" outlineLevel="0" collapsed="false">
      <c r="P3714" s="1" t="n">
        <v>3711</v>
      </c>
      <c r="Q3714" s="147" t="n">
        <v>83429.9266064894</v>
      </c>
      <c r="R3714" s="147" t="n">
        <v>0.277517319188041</v>
      </c>
      <c r="S3714" s="147" t="n">
        <v>0.101681845774297</v>
      </c>
      <c r="T3714" s="147" t="n">
        <v>0.0402985376648801</v>
      </c>
    </row>
    <row r="3715" customFormat="false" ht="12.75" hidden="false" customHeight="true" outlineLevel="0" collapsed="false">
      <c r="P3715" s="1" t="n">
        <v>3712</v>
      </c>
      <c r="Q3715" s="147" t="n">
        <v>83452.1270436764</v>
      </c>
      <c r="R3715" s="147" t="n">
        <v>0.275995655192113</v>
      </c>
      <c r="S3715" s="147" t="n">
        <v>0.103898125740262</v>
      </c>
      <c r="T3715" s="147" t="n">
        <v>0.0400719978536499</v>
      </c>
    </row>
    <row r="3716" customFormat="false" ht="12.75" hidden="false" customHeight="true" outlineLevel="0" collapsed="false">
      <c r="P3716" s="1" t="n">
        <v>3713</v>
      </c>
      <c r="Q3716" s="147" t="n">
        <v>83474.5325262174</v>
      </c>
      <c r="R3716" s="147" t="n">
        <v>0.274530668927203</v>
      </c>
      <c r="S3716" s="147" t="n">
        <v>0.105516653170786</v>
      </c>
      <c r="T3716" s="147" t="n">
        <v>0.0402928292528825</v>
      </c>
    </row>
    <row r="3717" customFormat="false" ht="12.75" hidden="false" customHeight="true" outlineLevel="0" collapsed="false">
      <c r="P3717" s="1" t="n">
        <v>3714</v>
      </c>
      <c r="Q3717" s="147" t="n">
        <v>83496.6650832054</v>
      </c>
      <c r="R3717" s="147" t="n">
        <v>0.273187372561139</v>
      </c>
      <c r="S3717" s="147" t="n">
        <v>0.106420867125073</v>
      </c>
      <c r="T3717" s="147" t="n">
        <v>0.0405435420001752</v>
      </c>
    </row>
    <row r="3718" customFormat="false" ht="12.75" hidden="false" customHeight="true" outlineLevel="0" collapsed="false">
      <c r="P3718" s="1" t="n">
        <v>3715</v>
      </c>
      <c r="Q3718" s="147" t="n">
        <v>83518.8690549484</v>
      </c>
      <c r="R3718" s="147" t="n">
        <v>0.272243071495941</v>
      </c>
      <c r="S3718" s="147" t="n">
        <v>0.106514734126545</v>
      </c>
      <c r="T3718" s="147" t="n">
        <v>0.0409398639802951</v>
      </c>
    </row>
    <row r="3719" customFormat="false" ht="12.75" hidden="false" customHeight="true" outlineLevel="0" collapsed="false">
      <c r="P3719" s="1" t="n">
        <v>3716</v>
      </c>
      <c r="Q3719" s="147" t="n">
        <v>83541.2810488924</v>
      </c>
      <c r="R3719" s="147" t="n">
        <v>0.271832961270124</v>
      </c>
      <c r="S3719" s="147" t="n">
        <v>0.105456203717989</v>
      </c>
      <c r="T3719" s="147" t="n">
        <v>0.0411245836847111</v>
      </c>
    </row>
    <row r="3720" customFormat="false" ht="12.75" hidden="false" customHeight="true" outlineLevel="0" collapsed="false">
      <c r="P3720" s="1" t="n">
        <v>3717</v>
      </c>
      <c r="Q3720" s="147" t="n">
        <v>83563.9711809594</v>
      </c>
      <c r="R3720" s="147" t="n">
        <v>0.271547742300836</v>
      </c>
      <c r="S3720" s="147" t="n">
        <v>0.103668499598977</v>
      </c>
      <c r="T3720" s="147" t="n">
        <v>0.0413401580333893</v>
      </c>
    </row>
    <row r="3721" customFormat="false" ht="12.75" hidden="false" customHeight="true" outlineLevel="0" collapsed="false">
      <c r="P3721" s="1" t="n">
        <v>3718</v>
      </c>
      <c r="Q3721" s="147" t="n">
        <v>83586.4754940154</v>
      </c>
      <c r="R3721" s="147" t="n">
        <v>0.271513769538821</v>
      </c>
      <c r="S3721" s="147" t="n">
        <v>0.101091666891927</v>
      </c>
      <c r="T3721" s="147" t="n">
        <v>0.0419305051985038</v>
      </c>
    </row>
    <row r="3722" customFormat="false" ht="12.75" hidden="false" customHeight="true" outlineLevel="0" collapsed="false">
      <c r="P3722" s="1" t="n">
        <v>3719</v>
      </c>
      <c r="Q3722" s="147" t="n">
        <v>83609.2000218944</v>
      </c>
      <c r="R3722" s="147" t="n">
        <v>0.27190123984842</v>
      </c>
      <c r="S3722" s="147" t="n">
        <v>0.0977684001615603</v>
      </c>
      <c r="T3722" s="147" t="n">
        <v>0.0423671432764215</v>
      </c>
    </row>
    <row r="3723" customFormat="false" ht="12.75" hidden="false" customHeight="true" outlineLevel="0" collapsed="false">
      <c r="P3723" s="1" t="n">
        <v>3720</v>
      </c>
      <c r="Q3723" s="147" t="n">
        <v>83631.7811713674</v>
      </c>
      <c r="R3723" s="147" t="n">
        <v>0.272350898156056</v>
      </c>
      <c r="S3723" s="147" t="n">
        <v>0.0939972005972288</v>
      </c>
      <c r="T3723" s="147" t="n">
        <v>0.043199379155642</v>
      </c>
    </row>
    <row r="3724" customFormat="false" ht="12.75" hidden="false" customHeight="true" outlineLevel="0" collapsed="false">
      <c r="P3724" s="1" t="n">
        <v>3721</v>
      </c>
      <c r="Q3724" s="147" t="n">
        <v>83653.7896933994</v>
      </c>
      <c r="R3724" s="147" t="n">
        <v>0.272740764275766</v>
      </c>
      <c r="S3724" s="147" t="n">
        <v>0.0912547213932005</v>
      </c>
      <c r="T3724" s="147" t="n">
        <v>0.0442089459869706</v>
      </c>
    </row>
    <row r="3725" customFormat="false" ht="12.75" hidden="false" customHeight="true" outlineLevel="0" collapsed="false">
      <c r="P3725" s="1" t="n">
        <v>3722</v>
      </c>
      <c r="Q3725" s="147" t="n">
        <v>83676.4149491874</v>
      </c>
      <c r="R3725" s="147" t="n">
        <v>0.273179800572904</v>
      </c>
      <c r="S3725" s="147" t="n">
        <v>0.0885199922559097</v>
      </c>
      <c r="T3725" s="147" t="n">
        <v>0.0455627662202601</v>
      </c>
    </row>
    <row r="3726" customFormat="false" ht="12.75" hidden="false" customHeight="true" outlineLevel="0" collapsed="false">
      <c r="P3726" s="1" t="n">
        <v>3723</v>
      </c>
      <c r="Q3726" s="147" t="n">
        <v>83698.8539001694</v>
      </c>
      <c r="R3726" s="147" t="n">
        <v>0.273507082410889</v>
      </c>
      <c r="S3726" s="147" t="n">
        <v>0.0875975064652188</v>
      </c>
      <c r="T3726" s="147" t="n">
        <v>0.0465217556409145</v>
      </c>
    </row>
    <row r="3727" customFormat="false" ht="12.75" hidden="false" customHeight="true" outlineLevel="0" collapsed="false">
      <c r="P3727" s="1" t="n">
        <v>3724</v>
      </c>
      <c r="Q3727" s="147" t="n">
        <v>83721.4500197134</v>
      </c>
      <c r="R3727" s="147" t="n">
        <v>0.273812153798891</v>
      </c>
      <c r="S3727" s="147" t="n">
        <v>0.0881863087501766</v>
      </c>
      <c r="T3727" s="147" t="n">
        <v>0.0488191955900763</v>
      </c>
    </row>
    <row r="3728" customFormat="false" ht="12.75" hidden="false" customHeight="true" outlineLevel="0" collapsed="false">
      <c r="P3728" s="1" t="n">
        <v>3725</v>
      </c>
      <c r="Q3728" s="147" t="n">
        <v>83743.9903892004</v>
      </c>
      <c r="R3728" s="147" t="n">
        <v>0.274192545995141</v>
      </c>
      <c r="S3728" s="147" t="n">
        <v>0.090782701711397</v>
      </c>
      <c r="T3728" s="147" t="n">
        <v>0.0495180358820462</v>
      </c>
    </row>
    <row r="3729" customFormat="false" ht="12.75" hidden="false" customHeight="true" outlineLevel="0" collapsed="false">
      <c r="P3729" s="1" t="n">
        <v>3726</v>
      </c>
      <c r="Q3729" s="147" t="n">
        <v>83766.8846470924</v>
      </c>
      <c r="R3729" s="147" t="n">
        <v>0.274514809977165</v>
      </c>
      <c r="S3729" s="147" t="n">
        <v>0.0943739390215883</v>
      </c>
      <c r="T3729" s="147" t="n">
        <v>0.0502883470798593</v>
      </c>
    </row>
    <row r="3730" customFormat="false" ht="12.75" hidden="false" customHeight="true" outlineLevel="0" collapsed="false">
      <c r="P3730" s="1" t="n">
        <v>3727</v>
      </c>
      <c r="Q3730" s="147" t="n">
        <v>83789.2549766084</v>
      </c>
      <c r="R3730" s="147" t="n">
        <v>0.274698968700332</v>
      </c>
      <c r="S3730" s="147" t="n">
        <v>0.0968632039353932</v>
      </c>
      <c r="T3730" s="147" t="n">
        <v>0.0504286238290871</v>
      </c>
    </row>
    <row r="3731" customFormat="false" ht="12.75" hidden="false" customHeight="true" outlineLevel="0" collapsed="false">
      <c r="P3731" s="1" t="n">
        <v>3728</v>
      </c>
      <c r="Q3731" s="147" t="n">
        <v>83811.9038635614</v>
      </c>
      <c r="R3731" s="147" t="n">
        <v>0.27469542698119</v>
      </c>
      <c r="S3731" s="147" t="n">
        <v>0.0972416853323176</v>
      </c>
      <c r="T3731" s="147" t="n">
        <v>0.0502173191829363</v>
      </c>
    </row>
    <row r="3732" customFormat="false" ht="12.75" hidden="false" customHeight="true" outlineLevel="0" collapsed="false">
      <c r="P3732" s="1" t="n">
        <v>3729</v>
      </c>
      <c r="Q3732" s="147" t="n">
        <v>83834.4607006524</v>
      </c>
      <c r="R3732" s="147" t="n">
        <v>0.274586573069755</v>
      </c>
      <c r="S3732" s="147" t="n">
        <v>0.0955995436997501</v>
      </c>
      <c r="T3732" s="147" t="n">
        <v>0.0499582848826113</v>
      </c>
    </row>
    <row r="3733" customFormat="false" ht="12.75" hidden="false" customHeight="true" outlineLevel="0" collapsed="false">
      <c r="P3733" s="1" t="n">
        <v>3730</v>
      </c>
      <c r="Q3733" s="147" t="n">
        <v>83856.6487166074</v>
      </c>
      <c r="R3733" s="147" t="n">
        <v>0.27421792986632</v>
      </c>
      <c r="S3733" s="147" t="n">
        <v>0.0927684646225817</v>
      </c>
      <c r="T3733" s="147" t="n">
        <v>0.0492783286044187</v>
      </c>
    </row>
    <row r="3734" customFormat="false" ht="12.75" hidden="false" customHeight="true" outlineLevel="0" collapsed="false">
      <c r="P3734" s="1" t="n">
        <v>3731</v>
      </c>
      <c r="Q3734" s="147" t="n">
        <v>83878.7727290984</v>
      </c>
      <c r="R3734" s="147" t="n">
        <v>0.273943656171248</v>
      </c>
      <c r="S3734" s="147" t="n">
        <v>0.0888177270774143</v>
      </c>
      <c r="T3734" s="147" t="n">
        <v>0.0487825130025941</v>
      </c>
    </row>
    <row r="3735" customFormat="false" ht="12.75" hidden="false" customHeight="true" outlineLevel="0" collapsed="false">
      <c r="P3735" s="1" t="n">
        <v>3732</v>
      </c>
      <c r="Q3735" s="147" t="n">
        <v>83901.2694705094</v>
      </c>
      <c r="R3735" s="147" t="n">
        <v>0.273769222710897</v>
      </c>
      <c r="S3735" s="147" t="n">
        <v>0.0825901618728767</v>
      </c>
      <c r="T3735" s="147" t="n">
        <v>0.0479259950503679</v>
      </c>
    </row>
    <row r="3736" customFormat="false" ht="12.75" hidden="false" customHeight="true" outlineLevel="0" collapsed="false">
      <c r="P3736" s="1" t="n">
        <v>3733</v>
      </c>
      <c r="Q3736" s="147" t="n">
        <v>83923.6033872714</v>
      </c>
      <c r="R3736" s="147" t="n">
        <v>0.273935658088697</v>
      </c>
      <c r="S3736" s="147" t="n">
        <v>0.0754438587155711</v>
      </c>
      <c r="T3736" s="147" t="n">
        <v>0.0457904433097106</v>
      </c>
    </row>
    <row r="3737" customFormat="false" ht="12.75" hidden="false" customHeight="true" outlineLevel="0" collapsed="false">
      <c r="P3737" s="1" t="n">
        <v>3734</v>
      </c>
      <c r="Q3737" s="147" t="n">
        <v>83946.1389243474</v>
      </c>
      <c r="R3737" s="147" t="n">
        <v>0.273605422328431</v>
      </c>
      <c r="S3737" s="147" t="n">
        <v>0.0719028220281776</v>
      </c>
      <c r="T3737" s="147" t="n">
        <v>0.0456965268370052</v>
      </c>
    </row>
    <row r="3738" customFormat="false" ht="12.75" hidden="false" customHeight="true" outlineLevel="0" collapsed="false">
      <c r="P3738" s="1" t="n">
        <v>3735</v>
      </c>
      <c r="Q3738" s="147" t="n">
        <v>83968.8292516244</v>
      </c>
      <c r="R3738" s="147" t="n">
        <v>0.274063033638078</v>
      </c>
      <c r="S3738" s="147" t="n">
        <v>0.0704038482527208</v>
      </c>
      <c r="T3738" s="147" t="n">
        <v>0.0443352604872515</v>
      </c>
    </row>
    <row r="3739" customFormat="false" ht="12.75" hidden="false" customHeight="true" outlineLevel="0" collapsed="false">
      <c r="P3739" s="1" t="n">
        <v>3736</v>
      </c>
      <c r="Q3739" s="147" t="n">
        <v>83991.4249571204</v>
      </c>
      <c r="R3739" s="147" t="n">
        <v>0.274222345188138</v>
      </c>
      <c r="S3739" s="147" t="n">
        <v>0.0694596439476781</v>
      </c>
      <c r="T3739" s="147" t="n">
        <v>0.0444644657870232</v>
      </c>
    </row>
    <row r="3740" customFormat="false" ht="12.75" hidden="false" customHeight="true" outlineLevel="0" collapsed="false">
      <c r="P3740" s="1" t="n">
        <v>3737</v>
      </c>
      <c r="Q3740" s="147" t="n">
        <v>84013.8893503704</v>
      </c>
      <c r="R3740" s="147" t="n">
        <v>0.275027575400614</v>
      </c>
      <c r="S3740" s="147" t="n">
        <v>0.068897757826494</v>
      </c>
      <c r="T3740" s="147" t="n">
        <v>0.0449339090761633</v>
      </c>
    </row>
    <row r="3741" customFormat="false" ht="12.75" hidden="false" customHeight="true" outlineLevel="0" collapsed="false">
      <c r="P3741" s="1" t="n">
        <v>3738</v>
      </c>
      <c r="Q3741" s="147" t="n">
        <v>84036.4109183724</v>
      </c>
      <c r="R3741" s="147" t="n">
        <v>0.275644563640553</v>
      </c>
      <c r="S3741" s="147" t="n">
        <v>0.0680854823289073</v>
      </c>
      <c r="T3741" s="147" t="n">
        <v>0.0455388344242303</v>
      </c>
    </row>
    <row r="3742" customFormat="false" ht="12.75" hidden="false" customHeight="true" outlineLevel="0" collapsed="false">
      <c r="P3742" s="1" t="n">
        <v>3739</v>
      </c>
      <c r="Q3742" s="147" t="n">
        <v>84058.5660170284</v>
      </c>
      <c r="R3742" s="147" t="n">
        <v>0.27636835111431</v>
      </c>
      <c r="S3742" s="147" t="n">
        <v>0.0670964415867571</v>
      </c>
      <c r="T3742" s="147" t="n">
        <v>0.0468588958101547</v>
      </c>
    </row>
    <row r="3743" customFormat="false" ht="12.75" hidden="false" customHeight="true" outlineLevel="0" collapsed="false">
      <c r="P3743" s="1" t="n">
        <v>3740</v>
      </c>
      <c r="Q3743" s="147" t="n">
        <v>84080.8774263204</v>
      </c>
      <c r="R3743" s="147" t="n">
        <v>0.276975601418361</v>
      </c>
      <c r="S3743" s="147" t="n">
        <v>0.0662971246710721</v>
      </c>
      <c r="T3743" s="147" t="n">
        <v>0.0482396908994411</v>
      </c>
    </row>
    <row r="3744" customFormat="false" ht="12.75" hidden="false" customHeight="true" outlineLevel="0" collapsed="false">
      <c r="P3744" s="1" t="n">
        <v>3741</v>
      </c>
      <c r="Q3744" s="147" t="n">
        <v>84103.0472041684</v>
      </c>
      <c r="R3744" s="147" t="n">
        <v>0.277499900068887</v>
      </c>
      <c r="S3744" s="147" t="n">
        <v>0.066344688955593</v>
      </c>
      <c r="T3744" s="147" t="n">
        <v>0.0495929044333968</v>
      </c>
    </row>
    <row r="3745" customFormat="false" ht="12.75" hidden="false" customHeight="true" outlineLevel="0" collapsed="false">
      <c r="P3745" s="1" t="n">
        <v>3742</v>
      </c>
      <c r="Q3745" s="147" t="n">
        <v>84124.7555688404</v>
      </c>
      <c r="R3745" s="147" t="n">
        <v>0.277814998427267</v>
      </c>
      <c r="S3745" s="147" t="n">
        <v>0.0674464579128103</v>
      </c>
      <c r="T3745" s="147" t="n">
        <v>0.0507097231391727</v>
      </c>
    </row>
    <row r="3746" customFormat="false" ht="12.75" hidden="false" customHeight="true" outlineLevel="0" collapsed="false">
      <c r="P3746" s="1" t="n">
        <v>3743</v>
      </c>
      <c r="Q3746" s="147" t="n">
        <v>84146.6511912034</v>
      </c>
      <c r="R3746" s="147" t="n">
        <v>0.277950964430947</v>
      </c>
      <c r="S3746" s="147" t="n">
        <v>0.0701083395200006</v>
      </c>
      <c r="T3746" s="147" t="n">
        <v>0.0516533885093594</v>
      </c>
    </row>
    <row r="3747" customFormat="false" ht="12.75" hidden="false" customHeight="true" outlineLevel="0" collapsed="false">
      <c r="P3747" s="1" t="n">
        <v>3744</v>
      </c>
      <c r="Q3747" s="147" t="n">
        <v>84168.8662971104</v>
      </c>
      <c r="R3747" s="147" t="n">
        <v>0.27783498096441</v>
      </c>
      <c r="S3747" s="147" t="n">
        <v>0.0751126453610975</v>
      </c>
      <c r="T3747" s="147" t="n">
        <v>0.0539592564717479</v>
      </c>
    </row>
    <row r="3748" customFormat="false" ht="12.75" hidden="false" customHeight="true" outlineLevel="0" collapsed="false">
      <c r="P3748" s="1" t="n">
        <v>3745</v>
      </c>
      <c r="Q3748" s="147" t="n">
        <v>84190.8840926054</v>
      </c>
      <c r="R3748" s="147" t="n">
        <v>0.277767978586203</v>
      </c>
      <c r="S3748" s="147" t="n">
        <v>0.0801259530253565</v>
      </c>
      <c r="T3748" s="147" t="n">
        <v>0.0538077083596913</v>
      </c>
    </row>
    <row r="3749" customFormat="false" ht="12.75" hidden="false" customHeight="true" outlineLevel="0" collapsed="false">
      <c r="P3749" s="1" t="n">
        <v>3746</v>
      </c>
      <c r="Q3749" s="147" t="n">
        <v>84213.1746258404</v>
      </c>
      <c r="R3749" s="147" t="n">
        <v>0.277298775140067</v>
      </c>
      <c r="S3749" s="147" t="n">
        <v>0.0843787838868929</v>
      </c>
      <c r="T3749" s="147" t="n">
        <v>0.0540076338162334</v>
      </c>
    </row>
    <row r="3750" customFormat="false" ht="12.75" hidden="false" customHeight="true" outlineLevel="0" collapsed="false">
      <c r="P3750" s="1" t="n">
        <v>3747</v>
      </c>
      <c r="Q3750" s="147" t="n">
        <v>84235.4743693884</v>
      </c>
      <c r="R3750" s="147" t="n">
        <v>0.276707784460218</v>
      </c>
      <c r="S3750" s="147" t="n">
        <v>0.0867351606564113</v>
      </c>
      <c r="T3750" s="147" t="n">
        <v>0.0534797645943929</v>
      </c>
    </row>
    <row r="3751" customFormat="false" ht="12.75" hidden="false" customHeight="true" outlineLevel="0" collapsed="false">
      <c r="P3751" s="1" t="n">
        <v>3748</v>
      </c>
      <c r="Q3751" s="147" t="n">
        <v>84257.3953650704</v>
      </c>
      <c r="R3751" s="147" t="n">
        <v>0.275971027984192</v>
      </c>
      <c r="S3751" s="147" t="n">
        <v>0.0876705020507783</v>
      </c>
      <c r="T3751" s="147" t="n">
        <v>0.0525697835417668</v>
      </c>
    </row>
    <row r="3752" customFormat="false" ht="12.75" hidden="false" customHeight="true" outlineLevel="0" collapsed="false">
      <c r="P3752" s="1" t="n">
        <v>3749</v>
      </c>
      <c r="Q3752" s="147" t="n">
        <v>84279.4858178154</v>
      </c>
      <c r="R3752" s="147" t="n">
        <v>0.275433992090102</v>
      </c>
      <c r="S3752" s="147" t="n">
        <v>0.0873218265310607</v>
      </c>
      <c r="T3752" s="147" t="n">
        <v>0.0518457917697012</v>
      </c>
    </row>
    <row r="3753" customFormat="false" ht="12.75" hidden="false" customHeight="true" outlineLevel="0" collapsed="false">
      <c r="P3753" s="1" t="n">
        <v>3750</v>
      </c>
      <c r="Q3753" s="147" t="n">
        <v>84301.3579831324</v>
      </c>
      <c r="R3753" s="147" t="n">
        <v>0.275144379240268</v>
      </c>
      <c r="S3753" s="147" t="n">
        <v>0.0860722752189835</v>
      </c>
      <c r="T3753" s="147" t="n">
        <v>0.0508413104424055</v>
      </c>
    </row>
    <row r="3754" customFormat="false" ht="12.75" hidden="false" customHeight="true" outlineLevel="0" collapsed="false">
      <c r="P3754" s="1" t="n">
        <v>3751</v>
      </c>
      <c r="Q3754" s="147" t="n">
        <v>84323.5507560584</v>
      </c>
      <c r="R3754" s="147" t="n">
        <v>0.275033765928501</v>
      </c>
      <c r="S3754" s="147" t="n">
        <v>0.0840606277222941</v>
      </c>
      <c r="T3754" s="147" t="n">
        <v>0.0507036914613621</v>
      </c>
    </row>
    <row r="3755" customFormat="false" ht="12.75" hidden="false" customHeight="true" outlineLevel="0" collapsed="false">
      <c r="P3755" s="1" t="n">
        <v>3752</v>
      </c>
      <c r="Q3755" s="147" t="n">
        <v>84345.2597524684</v>
      </c>
      <c r="R3755" s="147" t="n">
        <v>0.274991054055709</v>
      </c>
      <c r="S3755" s="147" t="n">
        <v>0.0822296043901175</v>
      </c>
      <c r="T3755" s="147" t="n">
        <v>0.0494842280188844</v>
      </c>
    </row>
    <row r="3756" customFormat="false" ht="12.75" hidden="false" customHeight="true" outlineLevel="0" collapsed="false">
      <c r="P3756" s="1" t="n">
        <v>3753</v>
      </c>
      <c r="Q3756" s="147" t="n">
        <v>84367.7277473744</v>
      </c>
      <c r="R3756" s="147" t="n">
        <v>0.275026222016408</v>
      </c>
      <c r="S3756" s="147" t="n">
        <v>0.0787207589554873</v>
      </c>
      <c r="T3756" s="147" t="n">
        <v>0.0476258011901159</v>
      </c>
    </row>
    <row r="3757" customFormat="false" ht="12.75" hidden="false" customHeight="true" outlineLevel="0" collapsed="false">
      <c r="P3757" s="1" t="n">
        <v>3754</v>
      </c>
      <c r="Q3757" s="147" t="n">
        <v>84389.3662041754</v>
      </c>
      <c r="R3757" s="147" t="n">
        <v>0.275350945931027</v>
      </c>
      <c r="S3757" s="147" t="n">
        <v>0.0778203472322584</v>
      </c>
      <c r="T3757" s="147" t="n">
        <v>0.0473639274337045</v>
      </c>
    </row>
    <row r="3758" customFormat="false" ht="12.75" hidden="false" customHeight="true" outlineLevel="0" collapsed="false">
      <c r="P3758" s="1" t="n">
        <v>3755</v>
      </c>
      <c r="Q3758" s="147" t="n">
        <v>84411.6030463854</v>
      </c>
      <c r="R3758" s="147" t="n">
        <v>0.275506754199546</v>
      </c>
      <c r="S3758" s="147" t="n">
        <v>0.0787664944347222</v>
      </c>
      <c r="T3758" s="147" t="n">
        <v>0.046129733606391</v>
      </c>
    </row>
    <row r="3759" customFormat="false" ht="12.75" hidden="false" customHeight="true" outlineLevel="0" collapsed="false">
      <c r="P3759" s="1" t="n">
        <v>3756</v>
      </c>
      <c r="Q3759" s="147" t="n">
        <v>84433.7735514504</v>
      </c>
      <c r="R3759" s="147" t="n">
        <v>0.275857245121655</v>
      </c>
      <c r="S3759" s="147" t="n">
        <v>0.0804918123415349</v>
      </c>
      <c r="T3759" s="147" t="n">
        <v>0.0465688972461149</v>
      </c>
    </row>
    <row r="3760" customFormat="false" ht="12.75" hidden="false" customHeight="true" outlineLevel="0" collapsed="false">
      <c r="P3760" s="1" t="n">
        <v>3757</v>
      </c>
      <c r="Q3760" s="147" t="n">
        <v>84455.9961218764</v>
      </c>
      <c r="R3760" s="147" t="n">
        <v>0.275540035244249</v>
      </c>
      <c r="S3760" s="147" t="n">
        <v>0.0866403778567735</v>
      </c>
      <c r="T3760" s="147" t="n">
        <v>0.0460282673493549</v>
      </c>
    </row>
    <row r="3761" customFormat="false" ht="12.75" hidden="false" customHeight="true" outlineLevel="0" collapsed="false">
      <c r="P3761" s="1" t="n">
        <v>3758</v>
      </c>
      <c r="Q3761" s="147" t="n">
        <v>84478.2618518914</v>
      </c>
      <c r="R3761" s="147" t="n">
        <v>0.275575773524384</v>
      </c>
      <c r="S3761" s="147" t="n">
        <v>0.0901308176490708</v>
      </c>
      <c r="T3761" s="147" t="n">
        <v>0.0470673251656491</v>
      </c>
    </row>
    <row r="3762" customFormat="false" ht="12.75" hidden="false" customHeight="true" outlineLevel="0" collapsed="false">
      <c r="P3762" s="1" t="n">
        <v>3759</v>
      </c>
      <c r="Q3762" s="147" t="n">
        <v>84501.5732119064</v>
      </c>
      <c r="R3762" s="147" t="n">
        <v>0.274760576746184</v>
      </c>
      <c r="S3762" s="147" t="n">
        <v>0.0978882335121025</v>
      </c>
      <c r="T3762" s="147" t="n">
        <v>0.0480020870493747</v>
      </c>
    </row>
    <row r="3763" customFormat="false" ht="12.75" hidden="false" customHeight="true" outlineLevel="0" collapsed="false">
      <c r="P3763" s="1" t="n">
        <v>3760</v>
      </c>
      <c r="Q3763" s="147" t="n">
        <v>84523.1153845324</v>
      </c>
      <c r="R3763" s="147" t="n">
        <v>0.274625678739206</v>
      </c>
      <c r="S3763" s="147" t="n">
        <v>0.0997291592716999</v>
      </c>
      <c r="T3763" s="147" t="n">
        <v>0.0493088473467865</v>
      </c>
    </row>
    <row r="3764" customFormat="false" ht="12.75" hidden="false" customHeight="true" outlineLevel="0" collapsed="false">
      <c r="P3764" s="1" t="n">
        <v>3761</v>
      </c>
      <c r="Q3764" s="147" t="n">
        <v>84545.7659964184</v>
      </c>
      <c r="R3764" s="147" t="n">
        <v>0.273828504597847</v>
      </c>
      <c r="S3764" s="147" t="n">
        <v>0.103190162379251</v>
      </c>
      <c r="T3764" s="147" t="n">
        <v>0.0505189244249815</v>
      </c>
    </row>
    <row r="3765" customFormat="false" ht="12.75" hidden="false" customHeight="true" outlineLevel="0" collapsed="false">
      <c r="P3765" s="1" t="n">
        <v>3762</v>
      </c>
      <c r="Q3765" s="147" t="n">
        <v>84568.5246446634</v>
      </c>
      <c r="R3765" s="147" t="n">
        <v>0.273436099282226</v>
      </c>
      <c r="S3765" s="147" t="n">
        <v>0.105983255560072</v>
      </c>
      <c r="T3765" s="147" t="n">
        <v>0.0513121820329385</v>
      </c>
    </row>
    <row r="3766" customFormat="false" ht="12.75" hidden="false" customHeight="true" outlineLevel="0" collapsed="false">
      <c r="P3766" s="1" t="n">
        <v>3763</v>
      </c>
      <c r="Q3766" s="147" t="n">
        <v>84590.9811081654</v>
      </c>
      <c r="R3766" s="147" t="n">
        <v>0.272853009853941</v>
      </c>
      <c r="S3766" s="147" t="n">
        <v>0.1085050166882</v>
      </c>
      <c r="T3766" s="147" t="n">
        <v>0.0513493241984734</v>
      </c>
    </row>
    <row r="3767" customFormat="false" ht="12.75" hidden="false" customHeight="true" outlineLevel="0" collapsed="false">
      <c r="P3767" s="1" t="n">
        <v>3764</v>
      </c>
      <c r="Q3767" s="147" t="n">
        <v>84613.5862372334</v>
      </c>
      <c r="R3767" s="147" t="n">
        <v>0.272658435976681</v>
      </c>
      <c r="S3767" s="147" t="n">
        <v>0.110499199278847</v>
      </c>
      <c r="T3767" s="147" t="n">
        <v>0.0513527582046525</v>
      </c>
    </row>
    <row r="3768" customFormat="false" ht="12.75" hidden="false" customHeight="true" outlineLevel="0" collapsed="false">
      <c r="P3768" s="1" t="n">
        <v>3765</v>
      </c>
      <c r="Q3768" s="147" t="n">
        <v>84635.8587202214</v>
      </c>
      <c r="R3768" s="147" t="n">
        <v>0.272398174220131</v>
      </c>
      <c r="S3768" s="147" t="n">
        <v>0.11129723152147</v>
      </c>
      <c r="T3768" s="147" t="n">
        <v>0.0503249700888185</v>
      </c>
    </row>
    <row r="3769" customFormat="false" ht="12.75" hidden="false" customHeight="true" outlineLevel="0" collapsed="false">
      <c r="P3769" s="1" t="n">
        <v>3766</v>
      </c>
      <c r="Q3769" s="147" t="n">
        <v>84658.4719753094</v>
      </c>
      <c r="R3769" s="147" t="n">
        <v>0.272839804571809</v>
      </c>
      <c r="S3769" s="147" t="n">
        <v>0.110775279066502</v>
      </c>
      <c r="T3769" s="147" t="n">
        <v>0.0501592558049617</v>
      </c>
    </row>
    <row r="3770" customFormat="false" ht="12.75" hidden="false" customHeight="true" outlineLevel="0" collapsed="false">
      <c r="P3770" s="1" t="n">
        <v>3767</v>
      </c>
      <c r="Q3770" s="147" t="n">
        <v>84680.7778022784</v>
      </c>
      <c r="R3770" s="147" t="n">
        <v>0.273361175439461</v>
      </c>
      <c r="S3770" s="147" t="n">
        <v>0.109432809135258</v>
      </c>
      <c r="T3770" s="147" t="n">
        <v>0.0496177052275471</v>
      </c>
    </row>
    <row r="3771" customFormat="false" ht="12.75" hidden="false" customHeight="true" outlineLevel="0" collapsed="false">
      <c r="P3771" s="1" t="n">
        <v>3768</v>
      </c>
      <c r="Q3771" s="147" t="n">
        <v>84703.0923662224</v>
      </c>
      <c r="R3771" s="147" t="n">
        <v>0.274291833141445</v>
      </c>
      <c r="S3771" s="147" t="n">
        <v>0.106491983791717</v>
      </c>
      <c r="T3771" s="147" t="n">
        <v>0.049734880540531</v>
      </c>
    </row>
    <row r="3772" customFormat="false" ht="12.75" hidden="false" customHeight="true" outlineLevel="0" collapsed="false">
      <c r="P3772" s="1" t="n">
        <v>3769</v>
      </c>
      <c r="Q3772" s="147" t="n">
        <v>84725.2046255794</v>
      </c>
      <c r="R3772" s="147" t="n">
        <v>0.275320298957779</v>
      </c>
      <c r="S3772" s="147" t="n">
        <v>0.102983967053301</v>
      </c>
      <c r="T3772" s="147" t="n">
        <v>0.0497621872379354</v>
      </c>
    </row>
    <row r="3773" customFormat="false" ht="12.75" hidden="false" customHeight="true" outlineLevel="0" collapsed="false">
      <c r="P3773" s="1" t="n">
        <v>3770</v>
      </c>
      <c r="Q3773" s="147" t="n">
        <v>84747.4812151764</v>
      </c>
      <c r="R3773" s="147" t="n">
        <v>0.276221324467189</v>
      </c>
      <c r="S3773" s="147" t="n">
        <v>0.0992321259185582</v>
      </c>
      <c r="T3773" s="147" t="n">
        <v>0.0495237469973224</v>
      </c>
    </row>
    <row r="3774" customFormat="false" ht="12.75" hidden="false" customHeight="true" outlineLevel="0" collapsed="false">
      <c r="P3774" s="1" t="n">
        <v>3771</v>
      </c>
      <c r="Q3774" s="147" t="n">
        <v>84769.5975824274</v>
      </c>
      <c r="R3774" s="147" t="n">
        <v>0.277031118626431</v>
      </c>
      <c r="S3774" s="147" t="n">
        <v>0.0985467369582102</v>
      </c>
      <c r="T3774" s="147" t="n">
        <v>0.0490689631771432</v>
      </c>
    </row>
    <row r="3775" customFormat="false" ht="12.75" hidden="false" customHeight="true" outlineLevel="0" collapsed="false">
      <c r="P3775" s="1" t="n">
        <v>3772</v>
      </c>
      <c r="Q3775" s="147" t="n">
        <v>84791.6985688604</v>
      </c>
      <c r="R3775" s="147" t="n">
        <v>0.277084300783332</v>
      </c>
      <c r="S3775" s="147" t="n">
        <v>0.099266525737623</v>
      </c>
      <c r="T3775" s="147" t="n">
        <v>0.0478842318457491</v>
      </c>
    </row>
    <row r="3776" customFormat="false" ht="12.75" hidden="false" customHeight="true" outlineLevel="0" collapsed="false">
      <c r="P3776" s="1" t="n">
        <v>3773</v>
      </c>
      <c r="Q3776" s="147" t="n">
        <v>84813.8740970434</v>
      </c>
      <c r="R3776" s="147" t="n">
        <v>0.277042391462679</v>
      </c>
      <c r="S3776" s="147" t="n">
        <v>0.102170801128615</v>
      </c>
      <c r="T3776" s="147" t="n">
        <v>0.0466310207462256</v>
      </c>
    </row>
    <row r="3777" customFormat="false" ht="12.75" hidden="false" customHeight="true" outlineLevel="0" collapsed="false">
      <c r="P3777" s="1" t="n">
        <v>3774</v>
      </c>
      <c r="Q3777" s="147" t="n">
        <v>84836.2719017624</v>
      </c>
      <c r="R3777" s="147" t="n">
        <v>0.276327180862757</v>
      </c>
      <c r="S3777" s="147" t="n">
        <v>0.106584583459222</v>
      </c>
      <c r="T3777" s="147" t="n">
        <v>0.0448651070709199</v>
      </c>
    </row>
    <row r="3778" customFormat="false" ht="12.75" hidden="false" customHeight="true" outlineLevel="0" collapsed="false">
      <c r="P3778" s="1" t="n">
        <v>3775</v>
      </c>
      <c r="Q3778" s="147" t="n">
        <v>84858.7284745244</v>
      </c>
      <c r="R3778" s="147" t="n">
        <v>0.275216105797809</v>
      </c>
      <c r="S3778" s="147" t="n">
        <v>0.109645326435824</v>
      </c>
      <c r="T3778" s="147" t="n">
        <v>0.0437015650325434</v>
      </c>
    </row>
    <row r="3779" customFormat="false" ht="12.75" hidden="false" customHeight="true" outlineLevel="0" collapsed="false">
      <c r="P3779" s="1" t="n">
        <v>3776</v>
      </c>
      <c r="Q3779" s="147" t="n">
        <v>84881.0296881914</v>
      </c>
      <c r="R3779" s="147" t="n">
        <v>0.273694121260564</v>
      </c>
      <c r="S3779" s="147" t="n">
        <v>0.110962533178126</v>
      </c>
      <c r="T3779" s="147" t="n">
        <v>0.0429393352363132</v>
      </c>
    </row>
    <row r="3780" customFormat="false" ht="12.75" hidden="false" customHeight="true" outlineLevel="0" collapsed="false">
      <c r="P3780" s="1" t="n">
        <v>3777</v>
      </c>
      <c r="Q3780" s="147" t="n">
        <v>84903.7262195794</v>
      </c>
      <c r="R3780" s="147" t="n">
        <v>0.271984095881854</v>
      </c>
      <c r="S3780" s="147" t="n">
        <v>0.109772910299091</v>
      </c>
      <c r="T3780" s="147" t="n">
        <v>0.0422608956940388</v>
      </c>
    </row>
    <row r="3781" customFormat="false" ht="12.75" hidden="false" customHeight="true" outlineLevel="0" collapsed="false">
      <c r="P3781" s="1" t="n">
        <v>3778</v>
      </c>
      <c r="Q3781" s="147" t="n">
        <v>84926.0458793234</v>
      </c>
      <c r="R3781" s="147" t="n">
        <v>0.270252669259273</v>
      </c>
      <c r="S3781" s="147" t="n">
        <v>0.105764297118999</v>
      </c>
      <c r="T3781" s="147" t="n">
        <v>0.0418994668661805</v>
      </c>
    </row>
    <row r="3782" customFormat="false" ht="12.75" hidden="false" customHeight="true" outlineLevel="0" collapsed="false">
      <c r="P3782" s="1" t="n">
        <v>3779</v>
      </c>
      <c r="Q3782" s="147" t="n">
        <v>84948.3335748054</v>
      </c>
      <c r="R3782" s="147" t="n">
        <v>0.268236233334252</v>
      </c>
      <c r="S3782" s="147" t="n">
        <v>0.0998349001918145</v>
      </c>
      <c r="T3782" s="147" t="n">
        <v>0.0422781510330131</v>
      </c>
    </row>
    <row r="3783" customFormat="false" ht="12.75" hidden="false" customHeight="true" outlineLevel="0" collapsed="false">
      <c r="P3783" s="1" t="n">
        <v>3780</v>
      </c>
      <c r="Q3783" s="147" t="n">
        <v>84970.4733297824</v>
      </c>
      <c r="R3783" s="147" t="n">
        <v>0.266797053434774</v>
      </c>
      <c r="S3783" s="147" t="n">
        <v>0.0964974672758618</v>
      </c>
      <c r="T3783" s="147" t="n">
        <v>0.0420456011368409</v>
      </c>
    </row>
    <row r="3784" customFormat="false" ht="12.75" hidden="false" customHeight="true" outlineLevel="0" collapsed="false">
      <c r="P3784" s="1" t="n">
        <v>3781</v>
      </c>
      <c r="Q3784" s="147" t="n">
        <v>84992.8753609654</v>
      </c>
      <c r="R3784" s="147" t="n">
        <v>0.264967580706415</v>
      </c>
      <c r="S3784" s="147" t="n">
        <v>0.0919609134347647</v>
      </c>
      <c r="T3784" s="147" t="n">
        <v>0.0428175923562025</v>
      </c>
    </row>
    <row r="3785" customFormat="false" ht="12.75" hidden="false" customHeight="true" outlineLevel="0" collapsed="false">
      <c r="P3785" s="1" t="n">
        <v>3782</v>
      </c>
      <c r="Q3785" s="147" t="n">
        <v>85014.8655608234</v>
      </c>
      <c r="R3785" s="147" t="n">
        <v>0.263879211363267</v>
      </c>
      <c r="S3785" s="147" t="n">
        <v>0.0902951314758332</v>
      </c>
      <c r="T3785" s="147" t="n">
        <v>0.0433599474884021</v>
      </c>
    </row>
    <row r="3786" customFormat="false" ht="12.75" hidden="false" customHeight="true" outlineLevel="0" collapsed="false">
      <c r="P3786" s="1" t="n">
        <v>3783</v>
      </c>
      <c r="Q3786" s="147" t="n">
        <v>85036.6674454284</v>
      </c>
      <c r="R3786" s="147" t="n">
        <v>0.263094072091701</v>
      </c>
      <c r="S3786" s="147" t="n">
        <v>0.0884006883916553</v>
      </c>
      <c r="T3786" s="147" t="n">
        <v>0.043917542552733</v>
      </c>
    </row>
    <row r="3787" customFormat="false" ht="12.75" hidden="false" customHeight="true" outlineLevel="0" collapsed="false">
      <c r="P3787" s="1" t="n">
        <v>3784</v>
      </c>
      <c r="Q3787" s="147" t="n">
        <v>85058.6599169554</v>
      </c>
      <c r="R3787" s="147" t="n">
        <v>0.263109893463191</v>
      </c>
      <c r="S3787" s="147" t="n">
        <v>0.087611669634491</v>
      </c>
      <c r="T3787" s="147" t="n">
        <v>0.0446338133340625</v>
      </c>
    </row>
    <row r="3788" customFormat="false" ht="12.75" hidden="false" customHeight="true" outlineLevel="0" collapsed="false">
      <c r="P3788" s="1" t="n">
        <v>3785</v>
      </c>
      <c r="Q3788" s="147" t="n">
        <v>85080.9266508114</v>
      </c>
      <c r="R3788" s="147" t="n">
        <v>0.263803320044004</v>
      </c>
      <c r="S3788" s="147" t="n">
        <v>0.0894921642884152</v>
      </c>
      <c r="T3788" s="147" t="n">
        <v>0.0449870225751263</v>
      </c>
    </row>
    <row r="3789" customFormat="false" ht="12.75" hidden="false" customHeight="true" outlineLevel="0" collapsed="false">
      <c r="P3789" s="1" t="n">
        <v>3786</v>
      </c>
      <c r="Q3789" s="147" t="n">
        <v>85103.4033250234</v>
      </c>
      <c r="R3789" s="147" t="n">
        <v>0.264632962566655</v>
      </c>
      <c r="S3789" s="147" t="n">
        <v>0.0909451357375514</v>
      </c>
      <c r="T3789" s="147" t="n">
        <v>0.0447421613919678</v>
      </c>
    </row>
    <row r="3790" customFormat="false" ht="12.75" hidden="false" customHeight="true" outlineLevel="0" collapsed="false">
      <c r="P3790" s="1" t="n">
        <v>3787</v>
      </c>
      <c r="Q3790" s="147" t="n">
        <v>85125.6456596074</v>
      </c>
      <c r="R3790" s="147" t="n">
        <v>0.26636406279978</v>
      </c>
      <c r="S3790" s="147" t="n">
        <v>0.0891527617912085</v>
      </c>
      <c r="T3790" s="147" t="n">
        <v>0.0446982145505054</v>
      </c>
    </row>
    <row r="3791" customFormat="false" ht="12.75" hidden="false" customHeight="true" outlineLevel="0" collapsed="false">
      <c r="P3791" s="1" t="n">
        <v>3788</v>
      </c>
      <c r="Q3791" s="147" t="n">
        <v>85148.0954931474</v>
      </c>
      <c r="R3791" s="147" t="n">
        <v>0.268317111052807</v>
      </c>
      <c r="S3791" s="147" t="n">
        <v>0.0857739789820526</v>
      </c>
      <c r="T3791" s="147" t="n">
        <v>0.0444386890828884</v>
      </c>
    </row>
    <row r="3792" customFormat="false" ht="12.75" hidden="false" customHeight="true" outlineLevel="0" collapsed="false">
      <c r="P3792" s="1" t="n">
        <v>3789</v>
      </c>
      <c r="Q3792" s="147" t="n">
        <v>85170.6961798314</v>
      </c>
      <c r="R3792" s="147" t="n">
        <v>0.270052104275239</v>
      </c>
      <c r="S3792" s="147" t="n">
        <v>0.0814366715642464</v>
      </c>
      <c r="T3792" s="147" t="n">
        <v>0.0440643880797641</v>
      </c>
    </row>
    <row r="3793" customFormat="false" ht="12.75" hidden="false" customHeight="true" outlineLevel="0" collapsed="false">
      <c r="P3793" s="1" t="n">
        <v>3790</v>
      </c>
      <c r="Q3793" s="147" t="n">
        <v>85193.1026223854</v>
      </c>
      <c r="R3793" s="147" t="n">
        <v>0.271538359645334</v>
      </c>
      <c r="S3793" s="147" t="n">
        <v>0.0777490765204077</v>
      </c>
      <c r="T3793" s="147" t="n">
        <v>0.0431371852132433</v>
      </c>
    </row>
    <row r="3794" customFormat="false" ht="12.75" hidden="false" customHeight="true" outlineLevel="0" collapsed="false">
      <c r="P3794" s="1" t="n">
        <v>3791</v>
      </c>
      <c r="Q3794" s="147" t="n">
        <v>85215.0199849664</v>
      </c>
      <c r="R3794" s="147" t="n">
        <v>0.272432478213019</v>
      </c>
      <c r="S3794" s="147" t="n">
        <v>0.075836330074231</v>
      </c>
      <c r="T3794" s="147" t="n">
        <v>0.0417597496624008</v>
      </c>
    </row>
    <row r="3795" customFormat="false" ht="12.75" hidden="false" customHeight="true" outlineLevel="0" collapsed="false">
      <c r="P3795" s="1" t="n">
        <v>3792</v>
      </c>
      <c r="Q3795" s="147" t="n">
        <v>85236.7428900694</v>
      </c>
      <c r="R3795" s="147" t="n">
        <v>0.272845197031794</v>
      </c>
      <c r="S3795" s="147" t="n">
        <v>0.0743124745375057</v>
      </c>
      <c r="T3795" s="147" t="n">
        <v>0.0399940728461161</v>
      </c>
    </row>
    <row r="3796" customFormat="false" ht="12.75" hidden="false" customHeight="true" outlineLevel="0" collapsed="false">
      <c r="P3796" s="1" t="n">
        <v>3793</v>
      </c>
      <c r="Q3796" s="147" t="n">
        <v>85258.4187345514</v>
      </c>
      <c r="R3796" s="147" t="n">
        <v>0.272444264972629</v>
      </c>
      <c r="S3796" s="147" t="n">
        <v>0.0734803592127985</v>
      </c>
      <c r="T3796" s="147" t="n">
        <v>0.03812928618215</v>
      </c>
    </row>
    <row r="3797" customFormat="false" ht="12.75" hidden="false" customHeight="true" outlineLevel="0" collapsed="false">
      <c r="P3797" s="1" t="n">
        <v>3794</v>
      </c>
      <c r="Q3797" s="147" t="n">
        <v>85280.8678967534</v>
      </c>
      <c r="R3797" s="147" t="n">
        <v>0.271235981644649</v>
      </c>
      <c r="S3797" s="147" t="n">
        <v>0.0732776881976465</v>
      </c>
      <c r="T3797" s="147" t="n">
        <v>0.0363226867448354</v>
      </c>
    </row>
    <row r="3798" customFormat="false" ht="12.75" hidden="false" customHeight="true" outlineLevel="0" collapsed="false">
      <c r="P3798" s="1" t="n">
        <v>3795</v>
      </c>
      <c r="Q3798" s="147" t="n">
        <v>85303.3168357774</v>
      </c>
      <c r="R3798" s="147" t="n">
        <v>0.270082672134621</v>
      </c>
      <c r="S3798" s="147" t="n">
        <v>0.0740927350656864</v>
      </c>
      <c r="T3798" s="147" t="n">
        <v>0.0348839744559499</v>
      </c>
    </row>
    <row r="3799" customFormat="false" ht="12.75" hidden="false" customHeight="true" outlineLevel="0" collapsed="false">
      <c r="P3799" s="1" t="n">
        <v>3796</v>
      </c>
      <c r="Q3799" s="147" t="n">
        <v>85325.6846155874</v>
      </c>
      <c r="R3799" s="147" t="n">
        <v>0.268491167888319</v>
      </c>
      <c r="S3799" s="147" t="n">
        <v>0.0769794013616281</v>
      </c>
      <c r="T3799" s="147" t="n">
        <v>0.0339278744121972</v>
      </c>
    </row>
    <row r="3800" customFormat="false" ht="12.75" hidden="false" customHeight="true" outlineLevel="0" collapsed="false">
      <c r="P3800" s="1" t="n">
        <v>3797</v>
      </c>
      <c r="Q3800" s="147" t="n">
        <v>85347.9782770954</v>
      </c>
      <c r="R3800" s="147" t="n">
        <v>0.267326952517527</v>
      </c>
      <c r="S3800" s="147" t="n">
        <v>0.0797529962131165</v>
      </c>
      <c r="T3800" s="147" t="n">
        <v>0.0335868016693159</v>
      </c>
    </row>
    <row r="3801" customFormat="false" ht="12.75" hidden="false" customHeight="true" outlineLevel="0" collapsed="false">
      <c r="P3801" s="1" t="n">
        <v>3798</v>
      </c>
      <c r="Q3801" s="147" t="n">
        <v>85370.5741137284</v>
      </c>
      <c r="R3801" s="147" t="n">
        <v>0.266490275165202</v>
      </c>
      <c r="S3801" s="147" t="n">
        <v>0.0815296108434683</v>
      </c>
      <c r="T3801" s="147" t="n">
        <v>0.0341213626027379</v>
      </c>
    </row>
    <row r="3802" customFormat="false" ht="12.75" hidden="false" customHeight="true" outlineLevel="0" collapsed="false">
      <c r="P3802" s="1" t="n">
        <v>3799</v>
      </c>
      <c r="Q3802" s="147" t="n">
        <v>85392.9762963204</v>
      </c>
      <c r="R3802" s="147" t="n">
        <v>0.26603157796241</v>
      </c>
      <c r="S3802" s="147" t="n">
        <v>0.0819532698361232</v>
      </c>
      <c r="T3802" s="147" t="n">
        <v>0.0348249804108521</v>
      </c>
    </row>
    <row r="3803" customFormat="false" ht="12.75" hidden="false" customHeight="true" outlineLevel="0" collapsed="false">
      <c r="P3803" s="1" t="n">
        <v>3800</v>
      </c>
      <c r="Q3803" s="147" t="n">
        <v>85415.2838257124</v>
      </c>
      <c r="R3803" s="147" t="n">
        <v>0.266025260087731</v>
      </c>
      <c r="S3803" s="147" t="n">
        <v>0.0806089884271632</v>
      </c>
      <c r="T3803" s="147" t="n">
        <v>0.0358528648098311</v>
      </c>
    </row>
    <row r="3804" customFormat="false" ht="12.75" hidden="false" customHeight="true" outlineLevel="0" collapsed="false">
      <c r="P3804" s="1" t="n">
        <v>3801</v>
      </c>
      <c r="Q3804" s="147" t="n">
        <v>85437.5749051004</v>
      </c>
      <c r="R3804" s="147" t="n">
        <v>0.266342338801767</v>
      </c>
      <c r="S3804" s="147" t="n">
        <v>0.0787804382705475</v>
      </c>
      <c r="T3804" s="147" t="n">
        <v>0.0371149120554982</v>
      </c>
    </row>
    <row r="3805" customFormat="false" ht="12.75" hidden="false" customHeight="true" outlineLevel="0" collapsed="false">
      <c r="P3805" s="1" t="n">
        <v>3802</v>
      </c>
      <c r="Q3805" s="147" t="n">
        <v>85459.6763790714</v>
      </c>
      <c r="R3805" s="147" t="n">
        <v>0.267232635434692</v>
      </c>
      <c r="S3805" s="147" t="n">
        <v>0.0749375927791333</v>
      </c>
      <c r="T3805" s="147" t="n">
        <v>0.0383592481097148</v>
      </c>
    </row>
    <row r="3806" customFormat="false" ht="12.75" hidden="false" customHeight="true" outlineLevel="0" collapsed="false">
      <c r="P3806" s="1" t="n">
        <v>3803</v>
      </c>
      <c r="Q3806" s="147" t="n">
        <v>85482.3111018974</v>
      </c>
      <c r="R3806" s="147" t="n">
        <v>0.268207129011887</v>
      </c>
      <c r="S3806" s="147" t="n">
        <v>0.0699995498324551</v>
      </c>
      <c r="T3806" s="147" t="n">
        <v>0.0394770160021495</v>
      </c>
    </row>
    <row r="3807" customFormat="false" ht="12.75" hidden="false" customHeight="true" outlineLevel="0" collapsed="false">
      <c r="P3807" s="1" t="n">
        <v>3804</v>
      </c>
      <c r="Q3807" s="147" t="n">
        <v>85504.7507057684</v>
      </c>
      <c r="R3807" s="147" t="n">
        <v>0.269302791659779</v>
      </c>
      <c r="S3807" s="147" t="n">
        <v>0.064828299578584</v>
      </c>
      <c r="T3807" s="147" t="n">
        <v>0.039874943500574</v>
      </c>
    </row>
    <row r="3808" customFormat="false" ht="12.75" hidden="false" customHeight="true" outlineLevel="0" collapsed="false">
      <c r="P3808" s="1" t="n">
        <v>3805</v>
      </c>
      <c r="Q3808" s="147" t="n">
        <v>85527.1726199514</v>
      </c>
      <c r="R3808" s="147" t="n">
        <v>0.270679410139057</v>
      </c>
      <c r="S3808" s="147" t="n">
        <v>0.0592109825342943</v>
      </c>
      <c r="T3808" s="147" t="n">
        <v>0.0404943500234628</v>
      </c>
    </row>
    <row r="3809" customFormat="false" ht="12.75" hidden="false" customHeight="true" outlineLevel="0" collapsed="false">
      <c r="P3809" s="1" t="n">
        <v>3806</v>
      </c>
      <c r="Q3809" s="147" t="n">
        <v>85549.7265258424</v>
      </c>
      <c r="R3809" s="147" t="n">
        <v>0.272037065764103</v>
      </c>
      <c r="S3809" s="147" t="n">
        <v>0.0536034511863696</v>
      </c>
      <c r="T3809" s="147" t="n">
        <v>0.0407130757262987</v>
      </c>
    </row>
    <row r="3810" customFormat="false" ht="12.75" hidden="false" customHeight="true" outlineLevel="0" collapsed="false">
      <c r="P3810" s="1" t="n">
        <v>3807</v>
      </c>
      <c r="Q3810" s="147" t="n">
        <v>85572.3617821274</v>
      </c>
      <c r="R3810" s="147" t="n">
        <v>0.273471965273146</v>
      </c>
      <c r="S3810" s="147" t="n">
        <v>0.0484806557249996</v>
      </c>
      <c r="T3810" s="147" t="n">
        <v>0.0409954852632751</v>
      </c>
    </row>
    <row r="3811" customFormat="false" ht="12.75" hidden="false" customHeight="true" outlineLevel="0" collapsed="false">
      <c r="P3811" s="1" t="n">
        <v>3808</v>
      </c>
      <c r="Q3811" s="147" t="n">
        <v>85594.8664682464</v>
      </c>
      <c r="R3811" s="147" t="n">
        <v>0.27471564529016</v>
      </c>
      <c r="S3811" s="147" t="n">
        <v>0.0442487811582125</v>
      </c>
      <c r="T3811" s="147" t="n">
        <v>0.0411255619452703</v>
      </c>
    </row>
    <row r="3812" customFormat="false" ht="12.75" hidden="false" customHeight="true" outlineLevel="0" collapsed="false">
      <c r="P3812" s="1" t="n">
        <v>3809</v>
      </c>
      <c r="Q3812" s="147" t="n">
        <v>85617.3382330184</v>
      </c>
      <c r="R3812" s="147" t="n">
        <v>0.275766003332833</v>
      </c>
      <c r="S3812" s="147" t="n">
        <v>0.0409116490667865</v>
      </c>
      <c r="T3812" s="147" t="n">
        <v>0.040926987606084</v>
      </c>
    </row>
    <row r="3813" customFormat="false" ht="12.75" hidden="false" customHeight="true" outlineLevel="0" collapsed="false">
      <c r="P3813" s="1" t="n">
        <v>3810</v>
      </c>
      <c r="Q3813" s="147" t="n">
        <v>85639.9471661994</v>
      </c>
      <c r="R3813" s="147" t="n">
        <v>0.276417255329578</v>
      </c>
      <c r="S3813" s="147" t="n">
        <v>0.039140739085246</v>
      </c>
      <c r="T3813" s="147" t="n">
        <v>0.040258645963888</v>
      </c>
    </row>
    <row r="3814" customFormat="false" ht="12.75" hidden="false" customHeight="true" outlineLevel="0" collapsed="false">
      <c r="P3814" s="1" t="n">
        <v>3811</v>
      </c>
      <c r="Q3814" s="147" t="n">
        <v>85662.6667413054</v>
      </c>
      <c r="R3814" s="147" t="n">
        <v>0.276648751217015</v>
      </c>
      <c r="S3814" s="147" t="n">
        <v>0.040090797324622</v>
      </c>
      <c r="T3814" s="147" t="n">
        <v>0.0393096302849853</v>
      </c>
    </row>
    <row r="3815" customFormat="false" ht="12.75" hidden="false" customHeight="true" outlineLevel="0" collapsed="false">
      <c r="P3815" s="1" t="n">
        <v>3812</v>
      </c>
      <c r="Q3815" s="147" t="n">
        <v>85685.0700404624</v>
      </c>
      <c r="R3815" s="147" t="n">
        <v>0.276560402873682</v>
      </c>
      <c r="S3815" s="147" t="n">
        <v>0.0445454387022169</v>
      </c>
      <c r="T3815" s="147" t="n">
        <v>0.0380529904986866</v>
      </c>
    </row>
    <row r="3816" customFormat="false" ht="12.75" hidden="false" customHeight="true" outlineLevel="0" collapsed="false">
      <c r="P3816" s="1" t="n">
        <v>3813</v>
      </c>
      <c r="Q3816" s="147" t="n">
        <v>85707.8144305284</v>
      </c>
      <c r="R3816" s="147" t="n">
        <v>0.275985064771869</v>
      </c>
      <c r="S3816" s="147" t="n">
        <v>0.0520292382563471</v>
      </c>
      <c r="T3816" s="147" t="n">
        <v>0.036488250721965</v>
      </c>
    </row>
    <row r="3817" customFormat="false" ht="12.75" hidden="false" customHeight="true" outlineLevel="0" collapsed="false">
      <c r="P3817" s="1" t="n">
        <v>3814</v>
      </c>
      <c r="Q3817" s="147" t="n">
        <v>85730.4383549024</v>
      </c>
      <c r="R3817" s="147" t="n">
        <v>0.275224705485657</v>
      </c>
      <c r="S3817" s="147" t="n">
        <v>0.0581430451555763</v>
      </c>
      <c r="T3817" s="147" t="n">
        <v>0.0350073632999608</v>
      </c>
    </row>
    <row r="3818" customFormat="false" ht="12.75" hidden="false" customHeight="true" outlineLevel="0" collapsed="false">
      <c r="P3818" s="1" t="n">
        <v>3815</v>
      </c>
      <c r="Q3818" s="147" t="n">
        <v>85752.9747947784</v>
      </c>
      <c r="R3818" s="147" t="n">
        <v>0.274163050753563</v>
      </c>
      <c r="S3818" s="147" t="n">
        <v>0.0640366437812714</v>
      </c>
      <c r="T3818" s="147" t="n">
        <v>0.0333360781133929</v>
      </c>
    </row>
    <row r="3819" customFormat="false" ht="12.75" hidden="false" customHeight="true" outlineLevel="0" collapsed="false">
      <c r="P3819" s="1" t="n">
        <v>3816</v>
      </c>
      <c r="Q3819" s="147" t="n">
        <v>85775.1668893224</v>
      </c>
      <c r="R3819" s="147" t="n">
        <v>0.273049836558017</v>
      </c>
      <c r="S3819" s="147" t="n">
        <v>0.0665095753759396</v>
      </c>
      <c r="T3819" s="147" t="n">
        <v>0.03178902391349</v>
      </c>
    </row>
    <row r="3820" customFormat="false" ht="12.75" hidden="false" customHeight="true" outlineLevel="0" collapsed="false">
      <c r="P3820" s="1" t="n">
        <v>3817</v>
      </c>
      <c r="Q3820" s="147" t="n">
        <v>85797.5616305794</v>
      </c>
      <c r="R3820" s="147" t="n">
        <v>0.272028339622129</v>
      </c>
      <c r="S3820" s="147" t="n">
        <v>0.0681875665638142</v>
      </c>
      <c r="T3820" s="147" t="n">
        <v>0.0297892438117324</v>
      </c>
    </row>
    <row r="3821" customFormat="false" ht="12.75" hidden="false" customHeight="true" outlineLevel="0" collapsed="false">
      <c r="P3821" s="1" t="n">
        <v>3818</v>
      </c>
      <c r="Q3821" s="147" t="n">
        <v>85819.9075219534</v>
      </c>
      <c r="R3821" s="147" t="n">
        <v>0.271271826620855</v>
      </c>
      <c r="S3821" s="147" t="n">
        <v>0.0684125122883351</v>
      </c>
      <c r="T3821" s="147" t="n">
        <v>0.0280489519000811</v>
      </c>
    </row>
    <row r="3822" customFormat="false" ht="12.75" hidden="false" customHeight="true" outlineLevel="0" collapsed="false">
      <c r="P3822" s="1" t="n">
        <v>3819</v>
      </c>
      <c r="Q3822" s="147" t="n">
        <v>85842.4298910864</v>
      </c>
      <c r="R3822" s="147" t="n">
        <v>0.270816087828695</v>
      </c>
      <c r="S3822" s="147" t="n">
        <v>0.0673325545217646</v>
      </c>
      <c r="T3822" s="147" t="n">
        <v>0.026744182061556</v>
      </c>
    </row>
    <row r="3823" customFormat="false" ht="12.75" hidden="false" customHeight="true" outlineLevel="0" collapsed="false">
      <c r="P3823" s="1" t="n">
        <v>3820</v>
      </c>
      <c r="Q3823" s="147" t="n">
        <v>85864.9524374184</v>
      </c>
      <c r="R3823" s="147" t="n">
        <v>0.270677313355218</v>
      </c>
      <c r="S3823" s="147" t="n">
        <v>0.0657808840509397</v>
      </c>
      <c r="T3823" s="147" t="n">
        <v>0.0258010273391779</v>
      </c>
    </row>
    <row r="3824" customFormat="false" ht="12.75" hidden="false" customHeight="true" outlineLevel="0" collapsed="false">
      <c r="P3824" s="1" t="n">
        <v>3821</v>
      </c>
      <c r="Q3824" s="147" t="n">
        <v>85887.8208346354</v>
      </c>
      <c r="R3824" s="147" t="n">
        <v>0.270625966138374</v>
      </c>
      <c r="S3824" s="147" t="n">
        <v>0.0634182218445477</v>
      </c>
      <c r="T3824" s="147" t="n">
        <v>0.0246309268933287</v>
      </c>
    </row>
    <row r="3825" customFormat="false" ht="12.75" hidden="false" customHeight="true" outlineLevel="0" collapsed="false">
      <c r="P3825" s="1" t="n">
        <v>3822</v>
      </c>
      <c r="Q3825" s="147" t="n">
        <v>85910.7227853194</v>
      </c>
      <c r="R3825" s="147" t="n">
        <v>0.271271219303706</v>
      </c>
      <c r="S3825" s="147" t="n">
        <v>0.0599238699558148</v>
      </c>
      <c r="T3825" s="147" t="n">
        <v>0.0242116768504836</v>
      </c>
    </row>
    <row r="3826" customFormat="false" ht="12.75" hidden="false" customHeight="true" outlineLevel="0" collapsed="false">
      <c r="P3826" s="1" t="n">
        <v>3823</v>
      </c>
      <c r="Q3826" s="147" t="n">
        <v>85933.3146017034</v>
      </c>
      <c r="R3826" s="147" t="n">
        <v>0.271846887294744</v>
      </c>
      <c r="S3826" s="147" t="n">
        <v>0.0568613258931928</v>
      </c>
      <c r="T3826" s="147" t="n">
        <v>0.0245389759828532</v>
      </c>
    </row>
    <row r="3827" customFormat="false" ht="12.75" hidden="false" customHeight="true" outlineLevel="0" collapsed="false">
      <c r="P3827" s="1" t="n">
        <v>3824</v>
      </c>
      <c r="Q3827" s="147" t="n">
        <v>85955.6839341424</v>
      </c>
      <c r="R3827" s="147" t="n">
        <v>0.272806501670496</v>
      </c>
      <c r="S3827" s="147" t="n">
        <v>0.0542112814042352</v>
      </c>
      <c r="T3827" s="147" t="n">
        <v>0.0255438986084953</v>
      </c>
    </row>
    <row r="3828" customFormat="false" ht="12.75" hidden="false" customHeight="true" outlineLevel="0" collapsed="false">
      <c r="P3828" s="1" t="n">
        <v>3825</v>
      </c>
      <c r="Q3828" s="147" t="n">
        <v>85977.7928860814</v>
      </c>
      <c r="R3828" s="147" t="n">
        <v>0.273622120376199</v>
      </c>
      <c r="S3828" s="147" t="n">
        <v>0.0529335607160269</v>
      </c>
      <c r="T3828" s="147" t="n">
        <v>0.0270596800794049</v>
      </c>
    </row>
    <row r="3829" customFormat="false" ht="12.75" hidden="false" customHeight="true" outlineLevel="0" collapsed="false">
      <c r="P3829" s="1" t="n">
        <v>3826</v>
      </c>
      <c r="Q3829" s="147" t="n">
        <v>85999.9536770414</v>
      </c>
      <c r="R3829" s="147" t="n">
        <v>0.274704191057147</v>
      </c>
      <c r="S3829" s="147" t="n">
        <v>0.0531385415591732</v>
      </c>
      <c r="T3829" s="147" t="n">
        <v>0.0283684160133592</v>
      </c>
    </row>
    <row r="3830" customFormat="false" ht="12.75" hidden="false" customHeight="true" outlineLevel="0" collapsed="false">
      <c r="P3830" s="1" t="n">
        <v>3827</v>
      </c>
      <c r="Q3830" s="147" t="n">
        <v>86022.4918244904</v>
      </c>
      <c r="R3830" s="147" t="n">
        <v>0.274473989772396</v>
      </c>
      <c r="S3830" s="147" t="n">
        <v>0.0566004732298093</v>
      </c>
      <c r="T3830" s="147" t="n">
        <v>0.0295514595472464</v>
      </c>
    </row>
    <row r="3831" customFormat="false" ht="12.75" hidden="false" customHeight="true" outlineLevel="0" collapsed="false">
      <c r="P3831" s="1" t="n">
        <v>3828</v>
      </c>
      <c r="Q3831" s="147" t="n">
        <v>86044.2440441664</v>
      </c>
      <c r="R3831" s="147" t="n">
        <v>0.275255662872079</v>
      </c>
      <c r="S3831" s="147" t="n">
        <v>0.059938985446755</v>
      </c>
      <c r="T3831" s="147" t="n">
        <v>0.0305123886076272</v>
      </c>
    </row>
    <row r="3832" customFormat="false" ht="12.75" hidden="false" customHeight="true" outlineLevel="0" collapsed="false">
      <c r="P3832" s="1" t="n">
        <v>3829</v>
      </c>
      <c r="Q3832" s="147" t="n">
        <v>86066.5599084914</v>
      </c>
      <c r="R3832" s="147" t="n">
        <v>0.274094214564965</v>
      </c>
      <c r="S3832" s="147" t="n">
        <v>0.0678639583034975</v>
      </c>
      <c r="T3832" s="147" t="n">
        <v>0.0300225468251471</v>
      </c>
    </row>
    <row r="3833" customFormat="false" ht="12.75" hidden="false" customHeight="true" outlineLevel="0" collapsed="false">
      <c r="P3833" s="1" t="n">
        <v>3830</v>
      </c>
      <c r="Q3833" s="147" t="n">
        <v>86089.0025949754</v>
      </c>
      <c r="R3833" s="147" t="n">
        <v>0.273918718032784</v>
      </c>
      <c r="S3833" s="147" t="n">
        <v>0.0746013821191101</v>
      </c>
      <c r="T3833" s="147" t="n">
        <v>0.0297134202542895</v>
      </c>
    </row>
    <row r="3834" customFormat="false" ht="12.75" hidden="false" customHeight="true" outlineLevel="0" collapsed="false">
      <c r="P3834" s="1" t="n">
        <v>3831</v>
      </c>
      <c r="Q3834" s="147" t="n">
        <v>86111.2070309784</v>
      </c>
      <c r="R3834" s="147" t="n">
        <v>0.272735448500681</v>
      </c>
      <c r="S3834" s="147" t="n">
        <v>0.0806505823296075</v>
      </c>
      <c r="T3834" s="147" t="n">
        <v>0.0288539954369292</v>
      </c>
    </row>
    <row r="3835" customFormat="false" ht="12.75" hidden="false" customHeight="true" outlineLevel="0" collapsed="false">
      <c r="P3835" s="1" t="n">
        <v>3832</v>
      </c>
      <c r="Q3835" s="147" t="n">
        <v>86133.6936791344</v>
      </c>
      <c r="R3835" s="147" t="n">
        <v>0.27165538620206</v>
      </c>
      <c r="S3835" s="147" t="n">
        <v>0.0848809923700328</v>
      </c>
      <c r="T3835" s="147" t="n">
        <v>0.0278657609220308</v>
      </c>
    </row>
    <row r="3836" customFormat="false" ht="12.75" hidden="false" customHeight="true" outlineLevel="0" collapsed="false">
      <c r="P3836" s="1" t="n">
        <v>3833</v>
      </c>
      <c r="Q3836" s="147" t="n">
        <v>86155.9304633984</v>
      </c>
      <c r="R3836" s="147" t="n">
        <v>0.270281454200684</v>
      </c>
      <c r="S3836" s="147" t="n">
        <v>0.0871439445059462</v>
      </c>
      <c r="T3836" s="147" t="n">
        <v>0.0270473602472922</v>
      </c>
    </row>
    <row r="3837" customFormat="false" ht="12.75" hidden="false" customHeight="true" outlineLevel="0" collapsed="false">
      <c r="P3837" s="1" t="n">
        <v>3834</v>
      </c>
      <c r="Q3837" s="147" t="n">
        <v>86178.2170189314</v>
      </c>
      <c r="R3837" s="147" t="n">
        <v>0.26865486007966</v>
      </c>
      <c r="S3837" s="147" t="n">
        <v>0.0879097555192125</v>
      </c>
      <c r="T3837" s="147" t="n">
        <v>0.0257719716033931</v>
      </c>
    </row>
    <row r="3838" customFormat="false" ht="12.75" hidden="false" customHeight="true" outlineLevel="0" collapsed="false">
      <c r="P3838" s="1" t="n">
        <v>3835</v>
      </c>
      <c r="Q3838" s="147" t="n">
        <v>86200.1539806234</v>
      </c>
      <c r="R3838" s="147" t="n">
        <v>0.267236200673653</v>
      </c>
      <c r="S3838" s="147" t="n">
        <v>0.0879235689117657</v>
      </c>
      <c r="T3838" s="147" t="n">
        <v>0.0249099597709384</v>
      </c>
    </row>
    <row r="3839" customFormat="false" ht="12.75" hidden="false" customHeight="true" outlineLevel="0" collapsed="false">
      <c r="P3839" s="1" t="n">
        <v>3836</v>
      </c>
      <c r="Q3839" s="147" t="n">
        <v>86221.9526658114</v>
      </c>
      <c r="R3839" s="147" t="n">
        <v>0.265704377376347</v>
      </c>
      <c r="S3839" s="147" t="n">
        <v>0.0863524330209122</v>
      </c>
      <c r="T3839" s="147" t="n">
        <v>0.0230480763274606</v>
      </c>
    </row>
    <row r="3840" customFormat="false" ht="12.75" hidden="false" customHeight="true" outlineLevel="0" collapsed="false">
      <c r="P3840" s="1" t="n">
        <v>3837</v>
      </c>
      <c r="Q3840" s="147" t="n">
        <v>86244.0396669784</v>
      </c>
      <c r="R3840" s="147" t="n">
        <v>0.265038133335218</v>
      </c>
      <c r="S3840" s="147" t="n">
        <v>0.0842175138326739</v>
      </c>
      <c r="T3840" s="147" t="n">
        <v>0.0213935146465476</v>
      </c>
    </row>
    <row r="3841" customFormat="false" ht="12.75" hidden="false" customHeight="true" outlineLevel="0" collapsed="false">
      <c r="P3841" s="1" t="n">
        <v>3838</v>
      </c>
      <c r="Q3841" s="147" t="n">
        <v>86266.0525874944</v>
      </c>
      <c r="R3841" s="147" t="n">
        <v>0.265105604565747</v>
      </c>
      <c r="S3841" s="147" t="n">
        <v>0.0823136577686645</v>
      </c>
      <c r="T3841" s="147" t="n">
        <v>0.0204254513018634</v>
      </c>
    </row>
    <row r="3842" customFormat="false" ht="12.75" hidden="false" customHeight="true" outlineLevel="0" collapsed="false">
      <c r="P3842" s="1" t="n">
        <v>3839</v>
      </c>
      <c r="Q3842" s="147" t="n">
        <v>86288.2172276984</v>
      </c>
      <c r="R3842" s="147" t="n">
        <v>0.26579761816184</v>
      </c>
      <c r="S3842" s="147" t="n">
        <v>0.0807722085951498</v>
      </c>
      <c r="T3842" s="147" t="n">
        <v>0.0201812473639171</v>
      </c>
    </row>
    <row r="3843" customFormat="false" ht="12.75" hidden="false" customHeight="true" outlineLevel="0" collapsed="false">
      <c r="P3843" s="1" t="n">
        <v>3840</v>
      </c>
      <c r="Q3843" s="147" t="n">
        <v>86310.8267974804</v>
      </c>
      <c r="R3843" s="147" t="n">
        <v>0.267075691970878</v>
      </c>
      <c r="S3843" s="147" t="n">
        <v>0.0797738266322084</v>
      </c>
      <c r="T3843" s="147" t="n">
        <v>0.0206836460173832</v>
      </c>
    </row>
    <row r="3844" customFormat="false" ht="12.75" hidden="false" customHeight="true" outlineLevel="0" collapsed="false">
      <c r="P3844" s="1" t="n">
        <v>3841</v>
      </c>
      <c r="Q3844" s="147" t="n">
        <v>86333.2882719394</v>
      </c>
      <c r="R3844" s="147" t="n">
        <v>0.268714888705739</v>
      </c>
      <c r="S3844" s="147" t="n">
        <v>0.0787785294066165</v>
      </c>
      <c r="T3844" s="147" t="n">
        <v>0.0216460748642586</v>
      </c>
    </row>
    <row r="3845" customFormat="false" ht="12.75" hidden="false" customHeight="true" outlineLevel="0" collapsed="false">
      <c r="P3845" s="1" t="n">
        <v>3842</v>
      </c>
      <c r="Q3845" s="147" t="n">
        <v>86355.8869612634</v>
      </c>
      <c r="R3845" s="147" t="n">
        <v>0.270511292301323</v>
      </c>
      <c r="S3845" s="147" t="n">
        <v>0.0781176450485467</v>
      </c>
      <c r="T3845" s="147" t="n">
        <v>0.0228941665626259</v>
      </c>
    </row>
    <row r="3846" customFormat="false" ht="12.75" hidden="false" customHeight="true" outlineLevel="0" collapsed="false">
      <c r="P3846" s="1" t="n">
        <v>3843</v>
      </c>
      <c r="Q3846" s="147" t="n">
        <v>86378.2973614375</v>
      </c>
      <c r="R3846" s="147" t="n">
        <v>0.271987615675618</v>
      </c>
      <c r="S3846" s="147" t="n">
        <v>0.0784086695369523</v>
      </c>
      <c r="T3846" s="147" t="n">
        <v>0.024311928749113</v>
      </c>
    </row>
    <row r="3847" customFormat="false" ht="12.75" hidden="false" customHeight="true" outlineLevel="0" collapsed="false">
      <c r="P3847" s="1" t="n">
        <v>3844</v>
      </c>
      <c r="Q3847" s="147" t="n">
        <v>86400.4804321075</v>
      </c>
      <c r="R3847" s="147" t="n">
        <v>0.272955503446628</v>
      </c>
      <c r="S3847" s="147" t="n">
        <v>0.0804755394643936</v>
      </c>
      <c r="T3847" s="147" t="n">
        <v>0.0256300882464593</v>
      </c>
    </row>
    <row r="3848" customFormat="false" ht="12.75" hidden="false" customHeight="true" outlineLevel="0" collapsed="false">
      <c r="P3848" s="1" t="n">
        <v>3845</v>
      </c>
      <c r="Q3848" s="147" t="n">
        <v>86423.1181537555</v>
      </c>
      <c r="R3848" s="147" t="n">
        <v>0.273198563656669</v>
      </c>
      <c r="S3848" s="147" t="n">
        <v>0.0844501132434624</v>
      </c>
      <c r="T3848" s="147" t="n">
        <v>0.0267600541605401</v>
      </c>
    </row>
    <row r="3849" customFormat="false" ht="12.75" hidden="false" customHeight="true" outlineLevel="0" collapsed="false">
      <c r="P3849" s="1" t="n">
        <v>3846</v>
      </c>
      <c r="Q3849" s="147" t="n">
        <v>86445.6052353205</v>
      </c>
      <c r="R3849" s="147" t="n">
        <v>0.272887959505346</v>
      </c>
      <c r="S3849" s="147" t="n">
        <v>0.0904168849391019</v>
      </c>
      <c r="T3849" s="147" t="n">
        <v>0.0272829753949463</v>
      </c>
    </row>
    <row r="3850" customFormat="false" ht="12.75" hidden="false" customHeight="true" outlineLevel="0" collapsed="false">
      <c r="P3850" s="1" t="n">
        <v>3847</v>
      </c>
      <c r="Q3850" s="147" t="n">
        <v>86468.3122199695</v>
      </c>
      <c r="R3850" s="147" t="n">
        <v>0.272069433196945</v>
      </c>
      <c r="S3850" s="147" t="n">
        <v>0.0975027983480206</v>
      </c>
      <c r="T3850" s="147" t="n">
        <v>0.0267812598229755</v>
      </c>
    </row>
    <row r="3851" customFormat="false" ht="12.75" hidden="false" customHeight="true" outlineLevel="0" collapsed="false">
      <c r="P3851" s="1" t="n">
        <v>3848</v>
      </c>
      <c r="Q3851" s="147" t="n">
        <v>86490.7795843345</v>
      </c>
      <c r="R3851" s="147" t="n">
        <v>0.270858274915298</v>
      </c>
      <c r="S3851" s="147" t="n">
        <v>0.103517037526521</v>
      </c>
      <c r="T3851" s="147" t="n">
        <v>0.0256327351517476</v>
      </c>
    </row>
    <row r="3852" customFormat="false" ht="12.75" hidden="false" customHeight="true" outlineLevel="0" collapsed="false">
      <c r="P3852" s="1" t="n">
        <v>3849</v>
      </c>
      <c r="Q3852" s="147" t="n">
        <v>86513.3005146635</v>
      </c>
      <c r="R3852" s="147" t="n">
        <v>0.269259877546478</v>
      </c>
      <c r="S3852" s="147" t="n">
        <v>0.10836257732446</v>
      </c>
      <c r="T3852" s="147" t="n">
        <v>0.0242353985618809</v>
      </c>
    </row>
    <row r="3853" customFormat="false" ht="12.75" hidden="false" customHeight="true" outlineLevel="0" collapsed="false">
      <c r="P3853" s="1" t="n">
        <v>3850</v>
      </c>
      <c r="Q3853" s="147" t="n">
        <v>86536.1449000685</v>
      </c>
      <c r="R3853" s="147" t="n">
        <v>0.26746811245552</v>
      </c>
      <c r="S3853" s="147" t="n">
        <v>0.11065293069882</v>
      </c>
      <c r="T3853" s="147" t="n">
        <v>0.0224519241683335</v>
      </c>
    </row>
    <row r="3854" customFormat="false" ht="12.75" hidden="false" customHeight="true" outlineLevel="0" collapsed="false">
      <c r="P3854" s="1" t="n">
        <v>3851</v>
      </c>
      <c r="Q3854" s="147" t="n">
        <v>86558.8906392795</v>
      </c>
      <c r="R3854" s="147" t="n">
        <v>0.26563029272832</v>
      </c>
      <c r="S3854" s="147" t="n">
        <v>0.111223650692973</v>
      </c>
      <c r="T3854" s="147" t="n">
        <v>0.0206605931493893</v>
      </c>
    </row>
    <row r="3855" customFormat="false" ht="12.75" hidden="false" customHeight="true" outlineLevel="0" collapsed="false">
      <c r="P3855" s="1" t="n">
        <v>3852</v>
      </c>
      <c r="Q3855" s="147" t="n">
        <v>86581.6830242145</v>
      </c>
      <c r="R3855" s="147" t="n">
        <v>0.264124305376042</v>
      </c>
      <c r="S3855" s="147" t="n">
        <v>0.110015408475508</v>
      </c>
      <c r="T3855" s="147" t="n">
        <v>0.0186970558134991</v>
      </c>
    </row>
    <row r="3856" customFormat="false" ht="12.75" hidden="false" customHeight="true" outlineLevel="0" collapsed="false">
      <c r="P3856" s="1" t="n">
        <v>3853</v>
      </c>
      <c r="Q3856" s="147" t="n">
        <v>86604.6070181395</v>
      </c>
      <c r="R3856" s="147" t="n">
        <v>0.263064002609996</v>
      </c>
      <c r="S3856" s="147" t="n">
        <v>0.107667585597508</v>
      </c>
      <c r="T3856" s="147" t="n">
        <v>0.0166040494785855</v>
      </c>
    </row>
    <row r="3857" customFormat="false" ht="12.75" hidden="false" customHeight="true" outlineLevel="0" collapsed="false">
      <c r="P3857" s="1" t="n">
        <v>3854</v>
      </c>
      <c r="Q3857" s="147" t="n">
        <v>86627.0859501775</v>
      </c>
      <c r="R3857" s="147" t="n">
        <v>0.262619278262295</v>
      </c>
      <c r="S3857" s="147" t="n">
        <v>0.104334801094129</v>
      </c>
      <c r="T3857" s="147" t="n">
        <v>0.0144041980475041</v>
      </c>
    </row>
    <row r="3858" customFormat="false" ht="12.75" hidden="false" customHeight="true" outlineLevel="0" collapsed="false">
      <c r="P3858" s="1" t="n">
        <v>3855</v>
      </c>
      <c r="Q3858" s="147" t="n">
        <v>86649.3839022955</v>
      </c>
      <c r="R3858" s="147" t="n">
        <v>0.262684297764617</v>
      </c>
      <c r="S3858" s="147" t="n">
        <v>0.100322220432676</v>
      </c>
      <c r="T3858" s="147" t="n">
        <v>0.0127210854968669</v>
      </c>
    </row>
    <row r="3859" customFormat="false" ht="12.75" hidden="false" customHeight="true" outlineLevel="0" collapsed="false">
      <c r="P3859" s="1" t="n">
        <v>3856</v>
      </c>
      <c r="Q3859" s="147" t="n">
        <v>86671.8929973015</v>
      </c>
      <c r="R3859" s="147" t="n">
        <v>0.263074705130182</v>
      </c>
      <c r="S3859" s="147" t="n">
        <v>0.0955447517310779</v>
      </c>
      <c r="T3859" s="147" t="n">
        <v>0.0115527637999639</v>
      </c>
    </row>
    <row r="3860" customFormat="false" ht="12.75" hidden="false" customHeight="true" outlineLevel="0" collapsed="false">
      <c r="P3860" s="1" t="n">
        <v>3857</v>
      </c>
      <c r="Q3860" s="147" t="n">
        <v>86694.2141616855</v>
      </c>
      <c r="R3860" s="147" t="n">
        <v>0.263479851874254</v>
      </c>
      <c r="S3860" s="147" t="n">
        <v>0.0913829039050992</v>
      </c>
      <c r="T3860" s="147" t="n">
        <v>0.0113088330018246</v>
      </c>
    </row>
    <row r="3861" customFormat="false" ht="12.75" hidden="false" customHeight="true" outlineLevel="0" collapsed="false">
      <c r="P3861" s="1" t="n">
        <v>3858</v>
      </c>
      <c r="Q3861" s="147" t="n">
        <v>86716.5189842045</v>
      </c>
      <c r="R3861" s="147" t="n">
        <v>0.263964082343869</v>
      </c>
      <c r="S3861" s="147" t="n">
        <v>0.089063719890255</v>
      </c>
      <c r="T3861" s="147" t="n">
        <v>0.0115998025401429</v>
      </c>
    </row>
    <row r="3862" customFormat="false" ht="12.75" hidden="false" customHeight="true" outlineLevel="0" collapsed="false">
      <c r="P3862" s="1" t="n">
        <v>3859</v>
      </c>
      <c r="Q3862" s="147" t="n">
        <v>86738.7359845345</v>
      </c>
      <c r="R3862" s="147" t="n">
        <v>0.264324607321461</v>
      </c>
      <c r="S3862" s="147" t="n">
        <v>0.0886507289034086</v>
      </c>
      <c r="T3862" s="147" t="n">
        <v>0.012710473757155</v>
      </c>
    </row>
    <row r="3863" customFormat="false" ht="12.75" hidden="false" customHeight="true" outlineLevel="0" collapsed="false">
      <c r="P3863" s="1" t="n">
        <v>3860</v>
      </c>
      <c r="Q3863" s="147" t="n">
        <v>86760.8756451744</v>
      </c>
      <c r="R3863" s="147" t="n">
        <v>0.264751977260092</v>
      </c>
      <c r="S3863" s="147" t="n">
        <v>0.0901254393156989</v>
      </c>
      <c r="T3863" s="147" t="n">
        <v>0.0137982282619729</v>
      </c>
    </row>
    <row r="3864" customFormat="false" ht="12.75" hidden="false" customHeight="true" outlineLevel="0" collapsed="false">
      <c r="P3864" s="1" t="n">
        <v>3861</v>
      </c>
      <c r="Q3864" s="147" t="n">
        <v>86782.9778174944</v>
      </c>
      <c r="R3864" s="147" t="n">
        <v>0.264848580414218</v>
      </c>
      <c r="S3864" s="147" t="n">
        <v>0.0933172561628645</v>
      </c>
      <c r="T3864" s="147" t="n">
        <v>0.015298127231917</v>
      </c>
    </row>
    <row r="3865" customFormat="false" ht="12.75" hidden="false" customHeight="true" outlineLevel="0" collapsed="false">
      <c r="P3865" s="1" t="n">
        <v>3862</v>
      </c>
      <c r="Q3865" s="147" t="n">
        <v>86804.9382260564</v>
      </c>
      <c r="R3865" s="147" t="n">
        <v>0.26487917670682</v>
      </c>
      <c r="S3865" s="147" t="n">
        <v>0.0962290224349972</v>
      </c>
      <c r="T3865" s="147" t="n">
        <v>0.0164220925046785</v>
      </c>
    </row>
    <row r="3866" customFormat="false" ht="12.75" hidden="false" customHeight="true" outlineLevel="0" collapsed="false">
      <c r="P3866" s="1" t="n">
        <v>3863</v>
      </c>
      <c r="Q3866" s="147" t="n">
        <v>86826.9085319784</v>
      </c>
      <c r="R3866" s="147" t="n">
        <v>0.264825087892265</v>
      </c>
      <c r="S3866" s="147" t="n">
        <v>0.0991401958941659</v>
      </c>
      <c r="T3866" s="147" t="n">
        <v>0.0174226653576757</v>
      </c>
    </row>
    <row r="3867" customFormat="false" ht="12.75" hidden="false" customHeight="true" outlineLevel="0" collapsed="false">
      <c r="P3867" s="1" t="n">
        <v>3864</v>
      </c>
      <c r="Q3867" s="147" t="n">
        <v>86849.0547197214</v>
      </c>
      <c r="R3867" s="147" t="n">
        <v>0.264777568455024</v>
      </c>
      <c r="S3867" s="147" t="n">
        <v>0.100888572961914</v>
      </c>
      <c r="T3867" s="147" t="n">
        <v>0.018402864047121</v>
      </c>
    </row>
    <row r="3868" customFormat="false" ht="12.75" hidden="false" customHeight="true" outlineLevel="0" collapsed="false">
      <c r="P3868" s="1" t="n">
        <v>3865</v>
      </c>
      <c r="Q3868" s="147" t="n">
        <v>86871.0059108914</v>
      </c>
      <c r="R3868" s="147" t="n">
        <v>0.264928235866943</v>
      </c>
      <c r="S3868" s="147" t="n">
        <v>0.10157029003259</v>
      </c>
      <c r="T3868" s="147" t="n">
        <v>0.019462306302738</v>
      </c>
    </row>
    <row r="3869" customFormat="false" ht="12.75" hidden="false" customHeight="true" outlineLevel="0" collapsed="false">
      <c r="P3869" s="1" t="n">
        <v>3866</v>
      </c>
      <c r="Q3869" s="147" t="n">
        <v>86893.7728833204</v>
      </c>
      <c r="R3869" s="147" t="n">
        <v>0.265203294046161</v>
      </c>
      <c r="S3869" s="147" t="n">
        <v>0.100717012783409</v>
      </c>
      <c r="T3869" s="147" t="n">
        <v>0.0204663691256145</v>
      </c>
    </row>
    <row r="3870" customFormat="false" ht="12.75" hidden="false" customHeight="true" outlineLevel="0" collapsed="false">
      <c r="P3870" s="1" t="n">
        <v>3867</v>
      </c>
      <c r="Q3870" s="147" t="n">
        <v>86916.1202300124</v>
      </c>
      <c r="R3870" s="147" t="n">
        <v>0.265656481605591</v>
      </c>
      <c r="S3870" s="147" t="n">
        <v>0.0974624108803409</v>
      </c>
      <c r="T3870" s="147" t="n">
        <v>0.0201988735052989</v>
      </c>
    </row>
    <row r="3871" customFormat="false" ht="12.75" hidden="false" customHeight="true" outlineLevel="0" collapsed="false">
      <c r="P3871" s="1" t="n">
        <v>3868</v>
      </c>
      <c r="Q3871" s="147" t="n">
        <v>86938.0063761944</v>
      </c>
      <c r="R3871" s="147" t="n">
        <v>0.265919120426013</v>
      </c>
      <c r="S3871" s="147" t="n">
        <v>0.0953231726829574</v>
      </c>
      <c r="T3871" s="147" t="n">
        <v>0.0213126301050997</v>
      </c>
    </row>
    <row r="3872" customFormat="false" ht="12.75" hidden="false" customHeight="true" outlineLevel="0" collapsed="false">
      <c r="P3872" s="1" t="n">
        <v>3869</v>
      </c>
      <c r="Q3872" s="147" t="n">
        <v>86960.7463673124</v>
      </c>
      <c r="R3872" s="147" t="n">
        <v>0.266584978750584</v>
      </c>
      <c r="S3872" s="147" t="n">
        <v>0.0916032175006052</v>
      </c>
      <c r="T3872" s="147" t="n">
        <v>0.019708098470256</v>
      </c>
    </row>
    <row r="3873" customFormat="false" ht="12.75" hidden="false" customHeight="true" outlineLevel="0" collapsed="false">
      <c r="P3873" s="1" t="n">
        <v>3870</v>
      </c>
      <c r="Q3873" s="147" t="n">
        <v>86982.5526398754</v>
      </c>
      <c r="R3873" s="147" t="n">
        <v>0.267048292953598</v>
      </c>
      <c r="S3873" s="147" t="n">
        <v>0.0896694168328085</v>
      </c>
      <c r="T3873" s="147" t="n">
        <v>0.01973017202826</v>
      </c>
    </row>
    <row r="3874" customFormat="false" ht="12.75" hidden="false" customHeight="true" outlineLevel="0" collapsed="false">
      <c r="P3874" s="1" t="n">
        <v>3871</v>
      </c>
      <c r="Q3874" s="147" t="n">
        <v>87004.9308445824</v>
      </c>
      <c r="R3874" s="147" t="n">
        <v>0.268655526196476</v>
      </c>
      <c r="S3874" s="147" t="n">
        <v>0.0887270560518414</v>
      </c>
      <c r="T3874" s="147" t="n">
        <v>0.0179643562625347</v>
      </c>
    </row>
    <row r="3875" customFormat="false" ht="12.75" hidden="false" customHeight="true" outlineLevel="0" collapsed="false">
      <c r="P3875" s="1" t="n">
        <v>3872</v>
      </c>
      <c r="Q3875" s="147" t="n">
        <v>87027.3706541014</v>
      </c>
      <c r="R3875" s="147" t="n">
        <v>0.269917410365258</v>
      </c>
      <c r="S3875" s="147" t="n">
        <v>0.0895765421762688</v>
      </c>
      <c r="T3875" s="147" t="n">
        <v>0.0165140265469722</v>
      </c>
    </row>
    <row r="3876" customFormat="false" ht="12.75" hidden="false" customHeight="true" outlineLevel="0" collapsed="false">
      <c r="P3876" s="1" t="n">
        <v>3873</v>
      </c>
      <c r="Q3876" s="147" t="n">
        <v>87049.6003488574</v>
      </c>
      <c r="R3876" s="147" t="n">
        <v>0.271442700491724</v>
      </c>
      <c r="S3876" s="147" t="n">
        <v>0.0896986834846027</v>
      </c>
      <c r="T3876" s="147" t="n">
        <v>0.015464479942598</v>
      </c>
    </row>
    <row r="3877" customFormat="false" ht="12.75" hidden="false" customHeight="true" outlineLevel="0" collapsed="false">
      <c r="P3877" s="1" t="n">
        <v>3874</v>
      </c>
      <c r="Q3877" s="147" t="n">
        <v>87071.8361911484</v>
      </c>
      <c r="R3877" s="147" t="n">
        <v>0.27328001464279</v>
      </c>
      <c r="S3877" s="147" t="n">
        <v>0.0904494735657253</v>
      </c>
      <c r="T3877" s="147" t="n">
        <v>0.0140578461301418</v>
      </c>
    </row>
    <row r="3878" customFormat="false" ht="12.75" hidden="false" customHeight="true" outlineLevel="0" collapsed="false">
      <c r="P3878" s="1" t="n">
        <v>3875</v>
      </c>
      <c r="Q3878" s="147" t="n">
        <v>87094.0642711214</v>
      </c>
      <c r="R3878" s="147" t="n">
        <v>0.274604911482631</v>
      </c>
      <c r="S3878" s="147" t="n">
        <v>0.0911640099242894</v>
      </c>
      <c r="T3878" s="147" t="n">
        <v>0.0128542147130957</v>
      </c>
    </row>
    <row r="3879" customFormat="false" ht="12.75" hidden="false" customHeight="true" outlineLevel="0" collapsed="false">
      <c r="P3879" s="1" t="n">
        <v>3876</v>
      </c>
      <c r="Q3879" s="147" t="n">
        <v>87116.1294385514</v>
      </c>
      <c r="R3879" s="147" t="n">
        <v>0.276264799482709</v>
      </c>
      <c r="S3879" s="147" t="n">
        <v>0.0917553532755093</v>
      </c>
      <c r="T3879" s="147" t="n">
        <v>0.0129955022021739</v>
      </c>
    </row>
    <row r="3880" customFormat="false" ht="12.75" hidden="false" customHeight="true" outlineLevel="0" collapsed="false">
      <c r="P3880" s="1" t="n">
        <v>3877</v>
      </c>
      <c r="Q3880" s="147" t="n">
        <v>87138.4400665114</v>
      </c>
      <c r="R3880" s="147" t="n">
        <v>0.277278544074672</v>
      </c>
      <c r="S3880" s="147" t="n">
        <v>0.0913141552889143</v>
      </c>
      <c r="T3880" s="147" t="n">
        <v>0.0138049445928217</v>
      </c>
    </row>
    <row r="3881" customFormat="false" ht="12.75" hidden="false" customHeight="true" outlineLevel="0" collapsed="false">
      <c r="P3881" s="1" t="n">
        <v>3878</v>
      </c>
      <c r="Q3881" s="147" t="n">
        <v>87160.9903937044</v>
      </c>
      <c r="R3881" s="147" t="n">
        <v>0.278305157117677</v>
      </c>
      <c r="S3881" s="147" t="n">
        <v>0.0891553172168555</v>
      </c>
      <c r="T3881" s="147" t="n">
        <v>0.0150875334390266</v>
      </c>
    </row>
    <row r="3882" customFormat="false" ht="12.75" hidden="false" customHeight="true" outlineLevel="0" collapsed="false">
      <c r="P3882" s="1" t="n">
        <v>3879</v>
      </c>
      <c r="Q3882" s="147" t="n">
        <v>87183.6429651954</v>
      </c>
      <c r="R3882" s="147" t="n">
        <v>0.278795284917213</v>
      </c>
      <c r="S3882" s="147" t="n">
        <v>0.0856046562894322</v>
      </c>
      <c r="T3882" s="147" t="n">
        <v>0.0163672947305428</v>
      </c>
    </row>
    <row r="3883" customFormat="false" ht="12.75" hidden="false" customHeight="true" outlineLevel="0" collapsed="false">
      <c r="P3883" s="1" t="n">
        <v>3880</v>
      </c>
      <c r="Q3883" s="147" t="n">
        <v>87206.2131202084</v>
      </c>
      <c r="R3883" s="147" t="n">
        <v>0.278737171613417</v>
      </c>
      <c r="S3883" s="147" t="n">
        <v>0.081264406541175</v>
      </c>
      <c r="T3883" s="147" t="n">
        <v>0.0175922290543743</v>
      </c>
    </row>
    <row r="3884" customFormat="false" ht="12.75" hidden="false" customHeight="true" outlineLevel="0" collapsed="false">
      <c r="P3884" s="1" t="n">
        <v>3881</v>
      </c>
      <c r="Q3884" s="147" t="n">
        <v>87228.4674999954</v>
      </c>
      <c r="R3884" s="147" t="n">
        <v>0.278215391452748</v>
      </c>
      <c r="S3884" s="147" t="n">
        <v>0.0768858169667315</v>
      </c>
      <c r="T3884" s="147" t="n">
        <v>0.0184576446769677</v>
      </c>
    </row>
    <row r="3885" customFormat="false" ht="12.75" hidden="false" customHeight="true" outlineLevel="0" collapsed="false">
      <c r="P3885" s="1" t="n">
        <v>3882</v>
      </c>
      <c r="Q3885" s="147" t="n">
        <v>87250.3321702435</v>
      </c>
      <c r="R3885" s="147" t="n">
        <v>0.277219537431457</v>
      </c>
      <c r="S3885" s="147" t="n">
        <v>0.075313454642075</v>
      </c>
      <c r="T3885" s="147" t="n">
        <v>0.0185834010554318</v>
      </c>
    </row>
    <row r="3886" customFormat="false" ht="12.75" hidden="false" customHeight="true" outlineLevel="0" collapsed="false">
      <c r="P3886" s="1" t="n">
        <v>3883</v>
      </c>
      <c r="Q3886" s="147" t="n">
        <v>87272.6415099385</v>
      </c>
      <c r="R3886" s="147" t="n">
        <v>0.275808308995719</v>
      </c>
      <c r="S3886" s="147" t="n">
        <v>0.0650364696288227</v>
      </c>
      <c r="T3886" s="147" t="n">
        <v>0.0188604911548855</v>
      </c>
    </row>
    <row r="3887" customFormat="false" ht="12.75" hidden="false" customHeight="true" outlineLevel="0" collapsed="false">
      <c r="P3887" s="1" t="n">
        <v>3884</v>
      </c>
      <c r="Q3887" s="147" t="n">
        <v>87294.5375365504</v>
      </c>
      <c r="R3887" s="147" t="n">
        <v>0.274507924254901</v>
      </c>
      <c r="S3887" s="147" t="n">
        <v>0.0632259084936551</v>
      </c>
      <c r="T3887" s="147" t="n">
        <v>0.0184065892982637</v>
      </c>
    </row>
    <row r="3888" customFormat="false" ht="12.75" hidden="false" customHeight="true" outlineLevel="0" collapsed="false">
      <c r="P3888" s="1" t="n">
        <v>3885</v>
      </c>
      <c r="Q3888" s="147" t="n">
        <v>87317.2205933485</v>
      </c>
      <c r="R3888" s="147" t="n">
        <v>0.273584090829961</v>
      </c>
      <c r="S3888" s="147" t="n">
        <v>0.0581232606214577</v>
      </c>
      <c r="T3888" s="147" t="n">
        <v>0.0157790251406231</v>
      </c>
    </row>
    <row r="3889" customFormat="false" ht="12.75" hidden="false" customHeight="true" outlineLevel="0" collapsed="false">
      <c r="P3889" s="1" t="n">
        <v>3886</v>
      </c>
      <c r="Q3889" s="147" t="n">
        <v>87339.3421696015</v>
      </c>
      <c r="R3889" s="147" t="n">
        <v>0.272973697844221</v>
      </c>
      <c r="S3889" s="147" t="n">
        <v>0.0541937878711503</v>
      </c>
      <c r="T3889" s="147" t="n">
        <v>0.0147968854503144</v>
      </c>
    </row>
    <row r="3890" customFormat="false" ht="12.75" hidden="false" customHeight="true" outlineLevel="0" collapsed="false">
      <c r="P3890" s="1" t="n">
        <v>3887</v>
      </c>
      <c r="Q3890" s="147" t="n">
        <v>87361.8023431875</v>
      </c>
      <c r="R3890" s="147" t="n">
        <v>0.27323860361039</v>
      </c>
      <c r="S3890" s="147" t="n">
        <v>0.0506106280614964</v>
      </c>
      <c r="T3890" s="147" t="n">
        <v>0.0128202784269777</v>
      </c>
    </row>
    <row r="3891" customFormat="false" ht="12.75" hidden="false" customHeight="true" outlineLevel="0" collapsed="false">
      <c r="P3891" s="1" t="n">
        <v>3888</v>
      </c>
      <c r="Q3891" s="147" t="n">
        <v>87384.3527369195</v>
      </c>
      <c r="R3891" s="147" t="n">
        <v>0.273738781253603</v>
      </c>
      <c r="S3891" s="147" t="n">
        <v>0.0482028748529066</v>
      </c>
      <c r="T3891" s="147" t="n">
        <v>0.0108912200580789</v>
      </c>
    </row>
    <row r="3892" customFormat="false" ht="12.75" hidden="false" customHeight="true" outlineLevel="0" collapsed="false">
      <c r="P3892" s="1" t="n">
        <v>3889</v>
      </c>
      <c r="Q3892" s="147" t="n">
        <v>87406.6489165555</v>
      </c>
      <c r="R3892" s="147" t="n">
        <v>0.274744639475665</v>
      </c>
      <c r="S3892" s="147" t="n">
        <v>0.0469603683332398</v>
      </c>
      <c r="T3892" s="147" t="n">
        <v>0.0091460486020485</v>
      </c>
    </row>
    <row r="3893" customFormat="false" ht="12.75" hidden="false" customHeight="true" outlineLevel="0" collapsed="false">
      <c r="P3893" s="1" t="n">
        <v>3890</v>
      </c>
      <c r="Q3893" s="147" t="n">
        <v>87428.9370618665</v>
      </c>
      <c r="R3893" s="147" t="n">
        <v>0.275614707148059</v>
      </c>
      <c r="S3893" s="147" t="n">
        <v>0.0472360665197332</v>
      </c>
      <c r="T3893" s="147" t="n">
        <v>0.00721879576248949</v>
      </c>
    </row>
    <row r="3894" customFormat="false" ht="12.75" hidden="false" customHeight="true" outlineLevel="0" collapsed="false">
      <c r="P3894" s="1" t="n">
        <v>3891</v>
      </c>
      <c r="Q3894" s="147" t="n">
        <v>87450.7365484475</v>
      </c>
      <c r="R3894" s="147" t="n">
        <v>0.276134602693884</v>
      </c>
      <c r="S3894" s="147" t="n">
        <v>0.0473136595555595</v>
      </c>
      <c r="T3894" s="147" t="n">
        <v>0.00591003161732105</v>
      </c>
    </row>
    <row r="3895" customFormat="false" ht="12.75" hidden="false" customHeight="true" outlineLevel="0" collapsed="false">
      <c r="P3895" s="1" t="n">
        <v>3892</v>
      </c>
      <c r="Q3895" s="147" t="n">
        <v>87472.6065324045</v>
      </c>
      <c r="R3895" s="147" t="n">
        <v>0.27659056233919</v>
      </c>
      <c r="S3895" s="147" t="n">
        <v>0.0486564446160498</v>
      </c>
      <c r="T3895" s="147" t="n">
        <v>0.00342574549938478</v>
      </c>
    </row>
    <row r="3896" customFormat="false" ht="12.75" hidden="false" customHeight="true" outlineLevel="0" collapsed="false">
      <c r="P3896" s="1" t="n">
        <v>3893</v>
      </c>
      <c r="Q3896" s="147" t="n">
        <v>87494.6768812935</v>
      </c>
      <c r="R3896" s="147" t="n">
        <v>0.276790987672575</v>
      </c>
      <c r="S3896" s="147" t="n">
        <v>0.0505960738421857</v>
      </c>
      <c r="T3896" s="147" t="n">
        <v>0.00113496004964147</v>
      </c>
    </row>
    <row r="3897" customFormat="false" ht="12.75" hidden="false" customHeight="true" outlineLevel="0" collapsed="false">
      <c r="P3897" s="1" t="n">
        <v>3894</v>
      </c>
      <c r="Q3897" s="147" t="n">
        <v>87516.9535128205</v>
      </c>
      <c r="R3897" s="147" t="n">
        <v>0.276677037747407</v>
      </c>
      <c r="S3897" s="147" t="n">
        <v>0.0536411681119706</v>
      </c>
      <c r="T3897" s="147" t="n">
        <v>-0.000180328182137802</v>
      </c>
    </row>
    <row r="3898" customFormat="false" ht="12.75" hidden="false" customHeight="true" outlineLevel="0" collapsed="false">
      <c r="P3898" s="1" t="n">
        <v>3895</v>
      </c>
      <c r="Q3898" s="147" t="n">
        <v>87539.3929797905</v>
      </c>
      <c r="R3898" s="147" t="n">
        <v>0.276433398917609</v>
      </c>
      <c r="S3898" s="147" t="n">
        <v>0.0536511701599077</v>
      </c>
      <c r="T3898" s="147" t="n">
        <v>-0.000332448160756684</v>
      </c>
    </row>
    <row r="3899" customFormat="false" ht="12.75" hidden="false" customHeight="true" outlineLevel="0" collapsed="false">
      <c r="P3899" s="1" t="n">
        <v>3896</v>
      </c>
      <c r="Q3899" s="147" t="n">
        <v>87561.7873360325</v>
      </c>
      <c r="R3899" s="147" t="n">
        <v>0.275916201552367</v>
      </c>
      <c r="S3899" s="147" t="n">
        <v>0.0537600475443822</v>
      </c>
      <c r="T3899" s="147" t="n">
        <v>-0.00203592754587505</v>
      </c>
    </row>
    <row r="3900" customFormat="false" ht="12.75" hidden="false" customHeight="true" outlineLevel="0" collapsed="false">
      <c r="P3900" s="1" t="n">
        <v>3897</v>
      </c>
      <c r="Q3900" s="147" t="n">
        <v>87584.2845247105</v>
      </c>
      <c r="R3900" s="147" t="n">
        <v>0.275108633359729</v>
      </c>
      <c r="S3900" s="147" t="n">
        <v>0.0533748657993832</v>
      </c>
      <c r="T3900" s="147" t="n">
        <v>-0.00244193262828131</v>
      </c>
    </row>
    <row r="3901" customFormat="false" ht="12.75" hidden="false" customHeight="true" outlineLevel="0" collapsed="false">
      <c r="P3901" s="1" t="n">
        <v>3898</v>
      </c>
      <c r="Q3901" s="147" t="n">
        <v>87606.1971929245</v>
      </c>
      <c r="R3901" s="147" t="n">
        <v>0.27396692176515</v>
      </c>
      <c r="S3901" s="147" t="n">
        <v>0.0546629848826722</v>
      </c>
      <c r="T3901" s="147" t="n">
        <v>-0.00411775886647464</v>
      </c>
    </row>
    <row r="3902" customFormat="false" ht="12.75" hidden="false" customHeight="true" outlineLevel="0" collapsed="false">
      <c r="P3902" s="1" t="n">
        <v>3899</v>
      </c>
      <c r="Q3902" s="147" t="n">
        <v>87628.6439391355</v>
      </c>
      <c r="R3902" s="147" t="n">
        <v>0.272429797771801</v>
      </c>
      <c r="S3902" s="147" t="n">
        <v>0.0555492588423275</v>
      </c>
      <c r="T3902" s="147" t="n">
        <v>-0.00378909832780296</v>
      </c>
    </row>
    <row r="3903" customFormat="false" ht="12.75" hidden="false" customHeight="true" outlineLevel="0" collapsed="false">
      <c r="P3903" s="1" t="n">
        <v>3900</v>
      </c>
      <c r="Q3903" s="147" t="n">
        <v>87650.6309231305</v>
      </c>
      <c r="R3903" s="147" t="n">
        <v>0.271356603865793</v>
      </c>
      <c r="S3903" s="147" t="n">
        <v>0.0564136858103928</v>
      </c>
      <c r="T3903" s="147" t="n">
        <v>-0.00505894212690405</v>
      </c>
    </row>
    <row r="3904" customFormat="false" ht="12.75" hidden="false" customHeight="true" outlineLevel="0" collapsed="false">
      <c r="P3904" s="1" t="n">
        <v>3901</v>
      </c>
      <c r="Q3904" s="147" t="n">
        <v>87672.8137826555</v>
      </c>
      <c r="R3904" s="147" t="n">
        <v>0.269842230004302</v>
      </c>
      <c r="S3904" s="147" t="n">
        <v>0.0578983144140267</v>
      </c>
      <c r="T3904" s="147" t="n">
        <v>-0.00523763227224046</v>
      </c>
    </row>
    <row r="3905" customFormat="false" ht="12.75" hidden="false" customHeight="true" outlineLevel="0" collapsed="false">
      <c r="P3905" s="1" t="n">
        <v>3902</v>
      </c>
      <c r="Q3905" s="147" t="n">
        <v>87694.9704862055</v>
      </c>
      <c r="R3905" s="147" t="n">
        <v>0.268655496605545</v>
      </c>
      <c r="S3905" s="147" t="n">
        <v>0.0586957467782682</v>
      </c>
      <c r="T3905" s="147" t="n">
        <v>-0.00538501571412486</v>
      </c>
    </row>
    <row r="3906" customFormat="false" ht="12.75" hidden="false" customHeight="true" outlineLevel="0" collapsed="false">
      <c r="P3906" s="1" t="n">
        <v>3903</v>
      </c>
      <c r="Q3906" s="147" t="n">
        <v>87717.3577599465</v>
      </c>
      <c r="R3906" s="147" t="n">
        <v>0.267834642431522</v>
      </c>
      <c r="S3906" s="147" t="n">
        <v>0.0589403751338945</v>
      </c>
      <c r="T3906" s="147" t="n">
        <v>-0.00575160848448179</v>
      </c>
    </row>
    <row r="3907" customFormat="false" ht="12.75" hidden="false" customHeight="true" outlineLevel="0" collapsed="false">
      <c r="P3907" s="1" t="n">
        <v>3904</v>
      </c>
      <c r="Q3907" s="147" t="n">
        <v>87739.6847090405</v>
      </c>
      <c r="R3907" s="147" t="n">
        <v>0.267705092195192</v>
      </c>
      <c r="S3907" s="147" t="n">
        <v>0.0577693433950712</v>
      </c>
      <c r="T3907" s="147" t="n">
        <v>-0.00659652923901191</v>
      </c>
    </row>
    <row r="3908" customFormat="false" ht="12.75" hidden="false" customHeight="true" outlineLevel="0" collapsed="false">
      <c r="P3908" s="1" t="n">
        <v>3905</v>
      </c>
      <c r="Q3908" s="147" t="n">
        <v>87762.3956454555</v>
      </c>
      <c r="R3908" s="147" t="n">
        <v>0.267605166423236</v>
      </c>
      <c r="S3908" s="147" t="n">
        <v>0.0553257319212447</v>
      </c>
      <c r="T3908" s="147" t="n">
        <v>-0.00645345327685699</v>
      </c>
    </row>
    <row r="3909" customFormat="false" ht="12.75" hidden="false" customHeight="true" outlineLevel="0" collapsed="false">
      <c r="P3909" s="1" t="n">
        <v>3906</v>
      </c>
      <c r="Q3909" s="147" t="n">
        <v>87785.2711519185</v>
      </c>
      <c r="R3909" s="147" t="n">
        <v>0.267894735369151</v>
      </c>
      <c r="S3909" s="147" t="n">
        <v>0.0527909660444286</v>
      </c>
      <c r="T3909" s="147" t="n">
        <v>-0.00688093566920022</v>
      </c>
    </row>
    <row r="3910" customFormat="false" ht="12.75" hidden="false" customHeight="true" outlineLevel="0" collapsed="false">
      <c r="P3910" s="1" t="n">
        <v>3907</v>
      </c>
      <c r="Q3910" s="147" t="n">
        <v>87807.5255222035</v>
      </c>
      <c r="R3910" s="147" t="n">
        <v>0.268462065896308</v>
      </c>
      <c r="S3910" s="147" t="n">
        <v>0.0516226345635888</v>
      </c>
      <c r="T3910" s="147" t="n">
        <v>-0.00659436783099384</v>
      </c>
    </row>
    <row r="3911" customFormat="false" ht="12.75" hidden="false" customHeight="true" outlineLevel="0" collapsed="false">
      <c r="P3911" s="1" t="n">
        <v>3908</v>
      </c>
      <c r="Q3911" s="147" t="n">
        <v>87830.4179587805</v>
      </c>
      <c r="R3911" s="147" t="n">
        <v>0.268370699253196</v>
      </c>
      <c r="S3911" s="147" t="n">
        <v>0.0512267359850348</v>
      </c>
      <c r="T3911" s="147" t="n">
        <v>-0.00785163698019926</v>
      </c>
    </row>
    <row r="3912" customFormat="false" ht="12.75" hidden="false" customHeight="true" outlineLevel="0" collapsed="false">
      <c r="P3912" s="1" t="n">
        <v>3909</v>
      </c>
      <c r="Q3912" s="147" t="n">
        <v>87853.0988287035</v>
      </c>
      <c r="R3912" s="147" t="n">
        <v>0.268828273745111</v>
      </c>
      <c r="S3912" s="147" t="n">
        <v>0.0527749126988163</v>
      </c>
      <c r="T3912" s="147" t="n">
        <v>-0.00766104523823347</v>
      </c>
    </row>
    <row r="3913" customFormat="false" ht="12.75" hidden="false" customHeight="true" outlineLevel="0" collapsed="false">
      <c r="P3913" s="1" t="n">
        <v>3910</v>
      </c>
      <c r="Q3913" s="147" t="n">
        <v>87875.7963697985</v>
      </c>
      <c r="R3913" s="147" t="n">
        <v>0.2683924082194</v>
      </c>
      <c r="S3913" s="147" t="n">
        <v>0.0575146391152817</v>
      </c>
      <c r="T3913" s="147" t="n">
        <v>-0.00749337501447175</v>
      </c>
    </row>
    <row r="3914" customFormat="false" ht="12.75" hidden="false" customHeight="true" outlineLevel="0" collapsed="false">
      <c r="P3914" s="1" t="n">
        <v>3911</v>
      </c>
      <c r="Q3914" s="147" t="n">
        <v>87898.4475970815</v>
      </c>
      <c r="R3914" s="147" t="n">
        <v>0.268188392951593</v>
      </c>
      <c r="S3914" s="147" t="n">
        <v>0.0652622469830174</v>
      </c>
      <c r="T3914" s="147" t="n">
        <v>-0.00773040727717627</v>
      </c>
    </row>
    <row r="3915" customFormat="false" ht="12.75" hidden="false" customHeight="true" outlineLevel="0" collapsed="false">
      <c r="P3915" s="1" t="n">
        <v>3912</v>
      </c>
      <c r="Q3915" s="147" t="n">
        <v>87920.3874851455</v>
      </c>
      <c r="R3915" s="147" t="n">
        <v>0.268409176176691</v>
      </c>
      <c r="S3915" s="147" t="n">
        <v>0.0692315605801103</v>
      </c>
      <c r="T3915" s="147" t="n">
        <v>-0.0083407895219581</v>
      </c>
    </row>
    <row r="3916" customFormat="false" ht="12.75" hidden="false" customHeight="true" outlineLevel="0" collapsed="false">
      <c r="P3916" s="1" t="n">
        <v>3913</v>
      </c>
      <c r="Q3916" s="147" t="n">
        <v>87942.8585756555</v>
      </c>
      <c r="R3916" s="147" t="n">
        <v>0.267751726748968</v>
      </c>
      <c r="S3916" s="147" t="n">
        <v>0.0777917944551243</v>
      </c>
      <c r="T3916" s="147" t="n">
        <v>-0.00830276982028598</v>
      </c>
    </row>
    <row r="3917" customFormat="false" ht="12.75" hidden="false" customHeight="true" outlineLevel="0" collapsed="false">
      <c r="P3917" s="1" t="n">
        <v>3914</v>
      </c>
      <c r="Q3917" s="147" t="n">
        <v>87964.4292526105</v>
      </c>
      <c r="R3917" s="147" t="n">
        <v>0.268100897971598</v>
      </c>
      <c r="S3917" s="147" t="n">
        <v>0.0812560215720902</v>
      </c>
      <c r="T3917" s="147" t="n">
        <v>-0.0104722749912314</v>
      </c>
    </row>
    <row r="3918" customFormat="false" ht="12.75" hidden="false" customHeight="true" outlineLevel="0" collapsed="false">
      <c r="P3918" s="1" t="n">
        <v>3915</v>
      </c>
      <c r="Q3918" s="147" t="n">
        <v>87987.1164494475</v>
      </c>
      <c r="R3918" s="147" t="n">
        <v>0.267948196655897</v>
      </c>
      <c r="S3918" s="147" t="n">
        <v>0.0856551113379656</v>
      </c>
      <c r="T3918" s="147" t="n">
        <v>-0.0117178020913961</v>
      </c>
    </row>
    <row r="3919" customFormat="false" ht="12.75" hidden="false" customHeight="true" outlineLevel="0" collapsed="false">
      <c r="P3919" s="1" t="n">
        <v>3916</v>
      </c>
      <c r="Q3919" s="147" t="n">
        <v>88009.7482263085</v>
      </c>
      <c r="R3919" s="147" t="n">
        <v>0.268345913166256</v>
      </c>
      <c r="S3919" s="147" t="n">
        <v>0.0874420412661262</v>
      </c>
      <c r="T3919" s="147" t="n">
        <v>-0.0128299172570583</v>
      </c>
    </row>
    <row r="3920" customFormat="false" ht="12.75" hidden="false" customHeight="true" outlineLevel="0" collapsed="false">
      <c r="P3920" s="1" t="n">
        <v>3917</v>
      </c>
      <c r="Q3920" s="147" t="n">
        <v>88032.2826226825</v>
      </c>
      <c r="R3920" s="147" t="n">
        <v>0.268455162579434</v>
      </c>
      <c r="S3920" s="147" t="n">
        <v>0.0869471913155464</v>
      </c>
      <c r="T3920" s="147" t="n">
        <v>-0.0132918383320606</v>
      </c>
    </row>
    <row r="3921" customFormat="false" ht="12.75" hidden="false" customHeight="true" outlineLevel="0" collapsed="false">
      <c r="P3921" s="1" t="n">
        <v>3918</v>
      </c>
      <c r="Q3921" s="147" t="n">
        <v>88054.9737739325</v>
      </c>
      <c r="R3921" s="147" t="n">
        <v>0.268841622818843</v>
      </c>
      <c r="S3921" s="147" t="n">
        <v>0.0859775685712308</v>
      </c>
      <c r="T3921" s="147" t="n">
        <v>-0.0138038252227297</v>
      </c>
    </row>
    <row r="3922" customFormat="false" ht="12.75" hidden="false" customHeight="true" outlineLevel="0" collapsed="false">
      <c r="P3922" s="1" t="n">
        <v>3919</v>
      </c>
      <c r="Q3922" s="147" t="n">
        <v>88077.8063045735</v>
      </c>
      <c r="R3922" s="147" t="n">
        <v>0.268816523841381</v>
      </c>
      <c r="S3922" s="147" t="n">
        <v>0.0830407497130285</v>
      </c>
      <c r="T3922" s="147" t="n">
        <v>-0.0141818797850669</v>
      </c>
    </row>
    <row r="3923" customFormat="false" ht="12.75" hidden="false" customHeight="true" outlineLevel="0" collapsed="false">
      <c r="P3923" s="1" t="n">
        <v>3920</v>
      </c>
      <c r="Q3923" s="147" t="n">
        <v>88100.6654788665</v>
      </c>
      <c r="R3923" s="147" t="n">
        <v>0.268945921349612</v>
      </c>
      <c r="S3923" s="147" t="n">
        <v>0.0798735428156871</v>
      </c>
      <c r="T3923" s="147" t="n">
        <v>-0.0144947587873865</v>
      </c>
    </row>
    <row r="3924" customFormat="false" ht="12.75" hidden="false" customHeight="true" outlineLevel="0" collapsed="false">
      <c r="P3924" s="1" t="n">
        <v>3921</v>
      </c>
      <c r="Q3924" s="147" t="n">
        <v>88123.1247751735</v>
      </c>
      <c r="R3924" s="147" t="n">
        <v>0.269044097545527</v>
      </c>
      <c r="S3924" s="147" t="n">
        <v>0.0780785101292318</v>
      </c>
      <c r="T3924" s="147" t="n">
        <v>-0.0146879513058558</v>
      </c>
    </row>
    <row r="3925" customFormat="false" ht="12.75" hidden="false" customHeight="true" outlineLevel="0" collapsed="false">
      <c r="P3925" s="1" t="n">
        <v>3922</v>
      </c>
      <c r="Q3925" s="147" t="n">
        <v>88146.0805601264</v>
      </c>
      <c r="R3925" s="147" t="n">
        <v>0.268596898480828</v>
      </c>
      <c r="S3925" s="147" t="n">
        <v>0.0758590225073928</v>
      </c>
      <c r="T3925" s="147" t="n">
        <v>-0.0155707550828713</v>
      </c>
    </row>
    <row r="3926" customFormat="false" ht="12.75" hidden="false" customHeight="true" outlineLevel="0" collapsed="false">
      <c r="P3926" s="1" t="n">
        <v>3923</v>
      </c>
      <c r="Q3926" s="147" t="n">
        <v>88168.3900636595</v>
      </c>
      <c r="R3926" s="147" t="n">
        <v>0.269012936577788</v>
      </c>
      <c r="S3926" s="147" t="n">
        <v>0.0767332217274583</v>
      </c>
      <c r="T3926" s="147" t="n">
        <v>-0.0150831346360524</v>
      </c>
    </row>
    <row r="3927" customFormat="false" ht="12.75" hidden="false" customHeight="true" outlineLevel="0" collapsed="false">
      <c r="P3927" s="1" t="n">
        <v>3924</v>
      </c>
      <c r="Q3927" s="147" t="n">
        <v>88191.3686132815</v>
      </c>
      <c r="R3927" s="147" t="n">
        <v>0.268719810750708</v>
      </c>
      <c r="S3927" s="147" t="n">
        <v>0.0791848076081846</v>
      </c>
      <c r="T3927" s="147" t="n">
        <v>-0.0151397953946709</v>
      </c>
    </row>
    <row r="3928" customFormat="false" ht="12.75" hidden="false" customHeight="true" outlineLevel="0" collapsed="false">
      <c r="P3928" s="1" t="n">
        <v>3925</v>
      </c>
      <c r="Q3928" s="147" t="n">
        <v>88213.7105864324</v>
      </c>
      <c r="R3928" s="147" t="n">
        <v>0.269257386138526</v>
      </c>
      <c r="S3928" s="147" t="n">
        <v>0.0830896225195111</v>
      </c>
      <c r="T3928" s="147" t="n">
        <v>-0.0142843441387547</v>
      </c>
    </row>
    <row r="3929" customFormat="false" ht="12.75" hidden="false" customHeight="true" outlineLevel="0" collapsed="false">
      <c r="P3929" s="1" t="n">
        <v>3926</v>
      </c>
      <c r="Q3929" s="147" t="n">
        <v>88236.3363679555</v>
      </c>
      <c r="R3929" s="147" t="n">
        <v>0.269561267306041</v>
      </c>
      <c r="S3929" s="147" t="n">
        <v>0.0890240793533858</v>
      </c>
      <c r="T3929" s="147" t="n">
        <v>-0.01309625504201</v>
      </c>
    </row>
    <row r="3930" customFormat="false" ht="12.75" hidden="false" customHeight="true" outlineLevel="0" collapsed="false">
      <c r="P3930" s="1" t="n">
        <v>3927</v>
      </c>
      <c r="Q3930" s="147" t="n">
        <v>88259.3718516755</v>
      </c>
      <c r="R3930" s="147" t="n">
        <v>0.270194031630536</v>
      </c>
      <c r="S3930" s="147" t="n">
        <v>0.0955041078894155</v>
      </c>
      <c r="T3930" s="147" t="n">
        <v>-0.0114942150573309</v>
      </c>
    </row>
    <row r="3931" customFormat="false" ht="12.75" hidden="false" customHeight="true" outlineLevel="0" collapsed="false">
      <c r="P3931" s="1" t="n">
        <v>3928</v>
      </c>
      <c r="Q3931" s="147" t="n">
        <v>88281.8454999055</v>
      </c>
      <c r="R3931" s="147" t="n">
        <v>0.27071090457509</v>
      </c>
      <c r="S3931" s="147" t="n">
        <v>0.101739599208708</v>
      </c>
      <c r="T3931" s="147" t="n">
        <v>-0.00996289428198851</v>
      </c>
    </row>
    <row r="3932" customFormat="false" ht="12.75" hidden="false" customHeight="true" outlineLevel="0" collapsed="false">
      <c r="P3932" s="1" t="n">
        <v>3929</v>
      </c>
      <c r="Q3932" s="147" t="n">
        <v>88304.2578903015</v>
      </c>
      <c r="R3932" s="147" t="n">
        <v>0.271233220260632</v>
      </c>
      <c r="S3932" s="147" t="n">
        <v>0.105706984285362</v>
      </c>
      <c r="T3932" s="147" t="n">
        <v>-0.00877191118460549</v>
      </c>
    </row>
    <row r="3933" customFormat="false" ht="12.75" hidden="false" customHeight="true" outlineLevel="0" collapsed="false">
      <c r="P3933" s="1" t="n">
        <v>3930</v>
      </c>
      <c r="Q3933" s="147" t="n">
        <v>88326.4678075665</v>
      </c>
      <c r="R3933" s="147" t="n">
        <v>0.271523402877904</v>
      </c>
      <c r="S3933" s="147" t="n">
        <v>0.10908255745046</v>
      </c>
      <c r="T3933" s="147" t="n">
        <v>-0.00824566259102785</v>
      </c>
    </row>
    <row r="3934" customFormat="false" ht="12.75" hidden="false" customHeight="true" outlineLevel="0" collapsed="false">
      <c r="P3934" s="1" t="n">
        <v>3931</v>
      </c>
      <c r="Q3934" s="147" t="n">
        <v>88348.9887785245</v>
      </c>
      <c r="R3934" s="147" t="n">
        <v>0.272103375141113</v>
      </c>
      <c r="S3934" s="147" t="n">
        <v>0.111276215027553</v>
      </c>
      <c r="T3934" s="147" t="n">
        <v>-0.00813903799668461</v>
      </c>
    </row>
    <row r="3935" customFormat="false" ht="12.75" hidden="false" customHeight="true" outlineLevel="0" collapsed="false">
      <c r="P3935" s="1" t="n">
        <v>3932</v>
      </c>
      <c r="Q3935" s="147" t="n">
        <v>88371.7085522505</v>
      </c>
      <c r="R3935" s="147" t="n">
        <v>0.272716642107788</v>
      </c>
      <c r="S3935" s="147" t="n">
        <v>0.111292762246888</v>
      </c>
      <c r="T3935" s="147" t="n">
        <v>-0.00815414161137312</v>
      </c>
    </row>
    <row r="3936" customFormat="false" ht="12.75" hidden="false" customHeight="true" outlineLevel="0" collapsed="false">
      <c r="P3936" s="1" t="n">
        <v>3933</v>
      </c>
      <c r="Q3936" s="147" t="n">
        <v>88394.2886290005</v>
      </c>
      <c r="R3936" s="147" t="n">
        <v>0.273488432847931</v>
      </c>
      <c r="S3936" s="147" t="n">
        <v>0.110014672450029</v>
      </c>
      <c r="T3936" s="147" t="n">
        <v>-0.00835082146091846</v>
      </c>
    </row>
    <row r="3937" customFormat="false" ht="12.75" hidden="false" customHeight="true" outlineLevel="0" collapsed="false">
      <c r="P3937" s="1" t="n">
        <v>3934</v>
      </c>
      <c r="Q3937" s="147" t="n">
        <v>88416.9048986035</v>
      </c>
      <c r="R3937" s="147" t="n">
        <v>0.274401209142713</v>
      </c>
      <c r="S3937" s="147" t="n">
        <v>0.10792671168324</v>
      </c>
      <c r="T3937" s="147" t="n">
        <v>-0.00854447462767677</v>
      </c>
    </row>
    <row r="3938" customFormat="false" ht="12.75" hidden="false" customHeight="true" outlineLevel="0" collapsed="false">
      <c r="P3938" s="1" t="n">
        <v>3935</v>
      </c>
      <c r="Q3938" s="147" t="n">
        <v>88439.5268724644</v>
      </c>
      <c r="R3938" s="147" t="n">
        <v>0.275307600917268</v>
      </c>
      <c r="S3938" s="147" t="n">
        <v>0.105939336266817</v>
      </c>
      <c r="T3938" s="147" t="n">
        <v>-0.00870183637563697</v>
      </c>
    </row>
    <row r="3939" customFormat="false" ht="12.75" hidden="false" customHeight="true" outlineLevel="0" collapsed="false">
      <c r="P3939" s="1" t="n">
        <v>3936</v>
      </c>
      <c r="Q3939" s="147" t="n">
        <v>88462.2999976855</v>
      </c>
      <c r="R3939" s="147" t="n">
        <v>0.276164644524865</v>
      </c>
      <c r="S3939" s="147" t="n">
        <v>0.10490973239293</v>
      </c>
      <c r="T3939" s="147" t="n">
        <v>-0.00878811730964191</v>
      </c>
    </row>
    <row r="3940" customFormat="false" ht="12.75" hidden="false" customHeight="true" outlineLevel="0" collapsed="false">
      <c r="P3940" s="1" t="n">
        <v>3937</v>
      </c>
      <c r="Q3940" s="147" t="n">
        <v>88485.0464322145</v>
      </c>
      <c r="R3940" s="147" t="n">
        <v>0.276806874528706</v>
      </c>
      <c r="S3940" s="147" t="n">
        <v>0.105087250301919</v>
      </c>
      <c r="T3940" s="147" t="n">
        <v>-0.00863208824417944</v>
      </c>
    </row>
    <row r="3941" customFormat="false" ht="12.75" hidden="false" customHeight="true" outlineLevel="0" collapsed="false">
      <c r="P3941" s="1" t="n">
        <v>3938</v>
      </c>
      <c r="Q3941" s="147" t="n">
        <v>88507.3170544145</v>
      </c>
      <c r="R3941" s="147" t="n">
        <v>0.277236288201977</v>
      </c>
      <c r="S3941" s="147" t="n">
        <v>0.106786141774019</v>
      </c>
      <c r="T3941" s="147" t="n">
        <v>-0.00898163580647811</v>
      </c>
    </row>
    <row r="3942" customFormat="false" ht="12.75" hidden="false" customHeight="true" outlineLevel="0" collapsed="false">
      <c r="P3942" s="1" t="n">
        <v>3939</v>
      </c>
      <c r="Q3942" s="147" t="n">
        <v>88530.0789476695</v>
      </c>
      <c r="R3942" s="147" t="n">
        <v>0.276721417823069</v>
      </c>
      <c r="S3942" s="147" t="n">
        <v>0.110143660774684</v>
      </c>
      <c r="T3942" s="147" t="n">
        <v>-0.00900100526580736</v>
      </c>
    </row>
    <row r="3943" customFormat="false" ht="12.75" hidden="false" customHeight="true" outlineLevel="0" collapsed="false">
      <c r="P3943" s="1" t="n">
        <v>3940</v>
      </c>
      <c r="Q3943" s="147" t="n">
        <v>88552.3745637284</v>
      </c>
      <c r="R3943" s="147" t="n">
        <v>0.276593965743565</v>
      </c>
      <c r="S3943" s="147" t="n">
        <v>0.114328084995965</v>
      </c>
      <c r="T3943" s="147" t="n">
        <v>-0.00912032662936805</v>
      </c>
    </row>
    <row r="3944" customFormat="false" ht="12.75" hidden="false" customHeight="true" outlineLevel="0" collapsed="false">
      <c r="P3944" s="1" t="n">
        <v>3941</v>
      </c>
      <c r="Q3944" s="147" t="n">
        <v>88574.7408847504</v>
      </c>
      <c r="R3944" s="147" t="n">
        <v>0.27544650893181</v>
      </c>
      <c r="S3944" s="147" t="n">
        <v>0.119633779527705</v>
      </c>
      <c r="T3944" s="147" t="n">
        <v>-0.00867319027063823</v>
      </c>
    </row>
    <row r="3945" customFormat="false" ht="12.75" hidden="false" customHeight="true" outlineLevel="0" collapsed="false">
      <c r="P3945" s="1" t="n">
        <v>3942</v>
      </c>
      <c r="Q3945" s="147" t="n">
        <v>88596.8991110934</v>
      </c>
      <c r="R3945" s="147" t="n">
        <v>0.274672857799615</v>
      </c>
      <c r="S3945" s="147" t="n">
        <v>0.12311983606345</v>
      </c>
      <c r="T3945" s="147" t="n">
        <v>-0.00788869742128061</v>
      </c>
    </row>
    <row r="3946" customFormat="false" ht="12.75" hidden="false" customHeight="true" outlineLevel="0" collapsed="false">
      <c r="P3946" s="1" t="n">
        <v>3943</v>
      </c>
      <c r="Q3946" s="147" t="n">
        <v>88619.2833253145</v>
      </c>
      <c r="R3946" s="147" t="n">
        <v>0.27308719116126</v>
      </c>
      <c r="S3946" s="147" t="n">
        <v>0.128015058557985</v>
      </c>
      <c r="T3946" s="147" t="n">
        <v>-0.00679816736764847</v>
      </c>
    </row>
    <row r="3947" customFormat="false" ht="12.75" hidden="false" customHeight="true" outlineLevel="0" collapsed="false">
      <c r="P3947" s="1" t="n">
        <v>3944</v>
      </c>
      <c r="Q3947" s="147" t="n">
        <v>88642.2323539044</v>
      </c>
      <c r="R3947" s="147" t="n">
        <v>0.272202195073687</v>
      </c>
      <c r="S3947" s="147" t="n">
        <v>0.131860245527595</v>
      </c>
      <c r="T3947" s="147" t="n">
        <v>-0.00590514319218776</v>
      </c>
    </row>
    <row r="3948" customFormat="false" ht="12.75" hidden="false" customHeight="true" outlineLevel="0" collapsed="false">
      <c r="P3948" s="1" t="n">
        <v>3945</v>
      </c>
      <c r="Q3948" s="147" t="n">
        <v>88664.5775222625</v>
      </c>
      <c r="R3948" s="147" t="n">
        <v>0.271032137666017</v>
      </c>
      <c r="S3948" s="147" t="n">
        <v>0.134466224153927</v>
      </c>
      <c r="T3948" s="147" t="n">
        <v>-0.00520928236405716</v>
      </c>
    </row>
    <row r="3949" customFormat="false" ht="12.75" hidden="false" customHeight="true" outlineLevel="0" collapsed="false">
      <c r="P3949" s="1" t="n">
        <v>3946</v>
      </c>
      <c r="Q3949" s="147" t="n">
        <v>88687.2213679545</v>
      </c>
      <c r="R3949" s="147" t="n">
        <v>0.270186422784451</v>
      </c>
      <c r="S3949" s="147" t="n">
        <v>0.134850715592626</v>
      </c>
      <c r="T3949" s="147" t="n">
        <v>-0.00467726838200386</v>
      </c>
    </row>
    <row r="3950" customFormat="false" ht="12.75" hidden="false" customHeight="true" outlineLevel="0" collapsed="false">
      <c r="P3950" s="1" t="n">
        <v>3947</v>
      </c>
      <c r="Q3950" s="147" t="n">
        <v>88709.6799904345</v>
      </c>
      <c r="R3950" s="147" t="n">
        <v>0.269444310921608</v>
      </c>
      <c r="S3950" s="147" t="n">
        <v>0.13424631482216</v>
      </c>
      <c r="T3950" s="147" t="n">
        <v>-0.00447429892255592</v>
      </c>
    </row>
    <row r="3951" customFormat="false" ht="12.75" hidden="false" customHeight="true" outlineLevel="0" collapsed="false">
      <c r="P3951" s="1" t="n">
        <v>3948</v>
      </c>
      <c r="Q3951" s="147" t="n">
        <v>88732.1214415145</v>
      </c>
      <c r="R3951" s="147" t="n">
        <v>0.269456095668402</v>
      </c>
      <c r="S3951" s="147" t="n">
        <v>0.130786863400542</v>
      </c>
      <c r="T3951" s="147" t="n">
        <v>-0.0038997712221251</v>
      </c>
    </row>
    <row r="3952" customFormat="false" ht="12.75" hidden="false" customHeight="true" outlineLevel="0" collapsed="false">
      <c r="P3952" s="1" t="n">
        <v>3949</v>
      </c>
      <c r="Q3952" s="147" t="n">
        <v>88754.3219346265</v>
      </c>
      <c r="R3952" s="147" t="n">
        <v>0.269914671751051</v>
      </c>
      <c r="S3952" s="147" t="n">
        <v>0.12447609042734</v>
      </c>
      <c r="T3952" s="147" t="n">
        <v>-0.00310389192846805</v>
      </c>
    </row>
    <row r="3953" customFormat="false" ht="12.75" hidden="false" customHeight="true" outlineLevel="0" collapsed="false">
      <c r="P3953" s="1" t="n">
        <v>3950</v>
      </c>
      <c r="Q3953" s="147" t="n">
        <v>88776.8767034785</v>
      </c>
      <c r="R3953" s="147" t="n">
        <v>0.271094161298388</v>
      </c>
      <c r="S3953" s="147" t="n">
        <v>0.115440854587145</v>
      </c>
      <c r="T3953" s="147" t="n">
        <v>-0.00224798388183255</v>
      </c>
    </row>
    <row r="3954" customFormat="false" ht="12.75" hidden="false" customHeight="true" outlineLevel="0" collapsed="false">
      <c r="P3954" s="1" t="n">
        <v>3951</v>
      </c>
      <c r="Q3954" s="147" t="n">
        <v>88799.7420944315</v>
      </c>
      <c r="R3954" s="147" t="n">
        <v>0.272487180164651</v>
      </c>
      <c r="S3954" s="147" t="n">
        <v>0.104291742240063</v>
      </c>
      <c r="T3954" s="147" t="n">
        <v>-0.00128677583836445</v>
      </c>
    </row>
    <row r="3955" customFormat="false" ht="12.75" hidden="false" customHeight="true" outlineLevel="0" collapsed="false">
      <c r="P3955" s="1" t="n">
        <v>3952</v>
      </c>
      <c r="Q3955" s="147" t="n">
        <v>88822.2643948125</v>
      </c>
      <c r="R3955" s="147" t="n">
        <v>0.273739893237612</v>
      </c>
      <c r="S3955" s="147" t="n">
        <v>0.0953707026967619</v>
      </c>
      <c r="T3955" s="147" t="n">
        <v>-0.000303513475108661</v>
      </c>
    </row>
    <row r="3956" customFormat="false" ht="12.75" hidden="false" customHeight="true" outlineLevel="0" collapsed="false">
      <c r="P3956" s="1" t="n">
        <v>3953</v>
      </c>
      <c r="Q3956" s="147" t="n">
        <v>88844.7176572334</v>
      </c>
      <c r="R3956" s="147" t="n">
        <v>0.275302008809827</v>
      </c>
      <c r="S3956" s="147" t="n">
        <v>0.0873139237682086</v>
      </c>
      <c r="T3956" s="147" t="n">
        <v>0.000497869886981891</v>
      </c>
    </row>
    <row r="3957" customFormat="false" ht="12.75" hidden="false" customHeight="true" outlineLevel="0" collapsed="false">
      <c r="P3957" s="1" t="n">
        <v>3954</v>
      </c>
      <c r="Q3957" s="147" t="n">
        <v>88866.6205079744</v>
      </c>
      <c r="R3957" s="147" t="n">
        <v>0.276203973001137</v>
      </c>
      <c r="S3957" s="147" t="n">
        <v>0.0828172395196714</v>
      </c>
      <c r="T3957" s="147" t="n">
        <v>0.00100150998032487</v>
      </c>
    </row>
    <row r="3958" customFormat="false" ht="12.75" hidden="false" customHeight="true" outlineLevel="0" collapsed="false">
      <c r="P3958" s="1" t="n">
        <v>3955</v>
      </c>
      <c r="Q3958" s="147" t="n">
        <v>88888.6487489424</v>
      </c>
      <c r="R3958" s="147" t="n">
        <v>0.277416073197507</v>
      </c>
      <c r="S3958" s="147" t="n">
        <v>0.0791850267138343</v>
      </c>
      <c r="T3958" s="147" t="n">
        <v>0.00125895788462914</v>
      </c>
    </row>
    <row r="3959" customFormat="false" ht="12.75" hidden="false" customHeight="true" outlineLevel="0" collapsed="false">
      <c r="P3959" s="1" t="n">
        <v>3956</v>
      </c>
      <c r="Q3959" s="147" t="n">
        <v>88910.8655590494</v>
      </c>
      <c r="R3959" s="147" t="n">
        <v>0.277644904506702</v>
      </c>
      <c r="S3959" s="147" t="n">
        <v>0.0783086698829583</v>
      </c>
      <c r="T3959" s="147" t="n">
        <v>0.000935044871514777</v>
      </c>
    </row>
    <row r="3960" customFormat="false" ht="12.75" hidden="false" customHeight="true" outlineLevel="0" collapsed="false">
      <c r="P3960" s="1" t="n">
        <v>3957</v>
      </c>
      <c r="Q3960" s="147" t="n">
        <v>88933.4934720134</v>
      </c>
      <c r="R3960" s="147" t="n">
        <v>0.277576127115886</v>
      </c>
      <c r="S3960" s="147" t="n">
        <v>0.0808584146587307</v>
      </c>
      <c r="T3960" s="147" t="n">
        <v>0.00136102358200093</v>
      </c>
    </row>
    <row r="3961" customFormat="false" ht="12.75" hidden="false" customHeight="true" outlineLevel="0" collapsed="false">
      <c r="P3961" s="1" t="n">
        <v>3958</v>
      </c>
      <c r="Q3961" s="147" t="n">
        <v>88955.8494712984</v>
      </c>
      <c r="R3961" s="147" t="n">
        <v>0.277165832276669</v>
      </c>
      <c r="S3961" s="147" t="n">
        <v>0.0833985986498815</v>
      </c>
      <c r="T3961" s="147" t="n">
        <v>0.000833075056978392</v>
      </c>
    </row>
    <row r="3962" customFormat="false" ht="12.75" hidden="false" customHeight="true" outlineLevel="0" collapsed="false">
      <c r="P3962" s="1" t="n">
        <v>3959</v>
      </c>
      <c r="Q3962" s="147" t="n">
        <v>88978.2764443354</v>
      </c>
      <c r="R3962" s="147" t="n">
        <v>0.276602569618748</v>
      </c>
      <c r="S3962" s="147" t="n">
        <v>0.0890373105508676</v>
      </c>
      <c r="T3962" s="147" t="n">
        <v>0.00127123713146007</v>
      </c>
    </row>
    <row r="3963" customFormat="false" ht="12.75" hidden="false" customHeight="true" outlineLevel="0" collapsed="false">
      <c r="P3963" s="1" t="n">
        <v>3960</v>
      </c>
      <c r="Q3963" s="147" t="n">
        <v>89000.8960575524</v>
      </c>
      <c r="R3963" s="147" t="n">
        <v>0.275759814388414</v>
      </c>
      <c r="S3963" s="147" t="n">
        <v>0.0943778639493214</v>
      </c>
      <c r="T3963" s="147" t="n">
        <v>0.00149191681017817</v>
      </c>
    </row>
    <row r="3964" customFormat="false" ht="12.75" hidden="false" customHeight="true" outlineLevel="0" collapsed="false">
      <c r="P3964" s="1" t="n">
        <v>3961</v>
      </c>
      <c r="Q3964" s="147" t="n">
        <v>89023.6047842084</v>
      </c>
      <c r="R3964" s="147" t="n">
        <v>0.274744127919601</v>
      </c>
      <c r="S3964" s="147" t="n">
        <v>0.0999781149288991</v>
      </c>
      <c r="T3964" s="147" t="n">
        <v>0.00219034573889067</v>
      </c>
    </row>
    <row r="3965" customFormat="false" ht="12.75" hidden="false" customHeight="true" outlineLevel="0" collapsed="false">
      <c r="P3965" s="1" t="n">
        <v>3962</v>
      </c>
      <c r="Q3965" s="147" t="n">
        <v>89046.0354220414</v>
      </c>
      <c r="R3965" s="147" t="n">
        <v>0.273741020765835</v>
      </c>
      <c r="S3965" s="147" t="n">
        <v>0.104028488371593</v>
      </c>
      <c r="T3965" s="147" t="n">
        <v>0.00319203793755149</v>
      </c>
    </row>
    <row r="3966" customFormat="false" ht="12.75" hidden="false" customHeight="true" outlineLevel="0" collapsed="false">
      <c r="P3966" s="1" t="n">
        <v>3963</v>
      </c>
      <c r="Q3966" s="147" t="n">
        <v>89068.5390264274</v>
      </c>
      <c r="R3966" s="147" t="n">
        <v>0.272824367512095</v>
      </c>
      <c r="S3966" s="147" t="n">
        <v>0.106869904556125</v>
      </c>
      <c r="T3966" s="147" t="n">
        <v>0.00461124149042931</v>
      </c>
    </row>
    <row r="3967" customFormat="false" ht="12.75" hidden="false" customHeight="true" outlineLevel="0" collapsed="false">
      <c r="P3967" s="1" t="n">
        <v>3964</v>
      </c>
      <c r="Q3967" s="147" t="n">
        <v>89090.3637955634</v>
      </c>
      <c r="R3967" s="147" t="n">
        <v>0.272106579130545</v>
      </c>
      <c r="S3967" s="147" t="n">
        <v>0.107654782949148</v>
      </c>
      <c r="T3967" s="147" t="n">
        <v>0.00623136296537511</v>
      </c>
    </row>
    <row r="3968" customFormat="false" ht="12.75" hidden="false" customHeight="true" outlineLevel="0" collapsed="false">
      <c r="P3968" s="1" t="n">
        <v>3965</v>
      </c>
      <c r="Q3968" s="147" t="n">
        <v>89112.5348098544</v>
      </c>
      <c r="R3968" s="147" t="n">
        <v>0.271537405669475</v>
      </c>
      <c r="S3968" s="147" t="n">
        <v>0.106889595849795</v>
      </c>
      <c r="T3968" s="147" t="n">
        <v>0.00792714659751381</v>
      </c>
    </row>
    <row r="3969" customFormat="false" ht="12.75" hidden="false" customHeight="true" outlineLevel="0" collapsed="false">
      <c r="P3969" s="1" t="n">
        <v>3966</v>
      </c>
      <c r="Q3969" s="147" t="n">
        <v>89135.1633584754</v>
      </c>
      <c r="R3969" s="147" t="n">
        <v>0.271303447309858</v>
      </c>
      <c r="S3969" s="147" t="n">
        <v>0.104733801976576</v>
      </c>
      <c r="T3969" s="147" t="n">
        <v>0.00946738155521806</v>
      </c>
    </row>
    <row r="3970" customFormat="false" ht="12.75" hidden="false" customHeight="true" outlineLevel="0" collapsed="false">
      <c r="P3970" s="1" t="n">
        <v>3967</v>
      </c>
      <c r="Q3970" s="147" t="n">
        <v>89157.4885106454</v>
      </c>
      <c r="R3970" s="147" t="n">
        <v>0.271215120089322</v>
      </c>
      <c r="S3970" s="147" t="n">
        <v>0.101420570266235</v>
      </c>
      <c r="T3970" s="147" t="n">
        <v>0.0106484308659714</v>
      </c>
    </row>
    <row r="3971" customFormat="false" ht="12.75" hidden="false" customHeight="true" outlineLevel="0" collapsed="false">
      <c r="P3971" s="1" t="n">
        <v>3968</v>
      </c>
      <c r="Q3971" s="147" t="n">
        <v>89179.6646528194</v>
      </c>
      <c r="R3971" s="147" t="n">
        <v>0.271393763712624</v>
      </c>
      <c r="S3971" s="147" t="n">
        <v>0.0966263849512312</v>
      </c>
      <c r="T3971" s="147" t="n">
        <v>0.0108410938671198</v>
      </c>
    </row>
    <row r="3972" customFormat="false" ht="12.75" hidden="false" customHeight="true" outlineLevel="0" collapsed="false">
      <c r="P3972" s="1" t="n">
        <v>3969</v>
      </c>
      <c r="Q3972" s="147" t="n">
        <v>89202.1810302544</v>
      </c>
      <c r="R3972" s="147" t="n">
        <v>0.271503680077232</v>
      </c>
      <c r="S3972" s="147" t="n">
        <v>0.0931669739588936</v>
      </c>
      <c r="T3972" s="147" t="n">
        <v>0.0105750312130746</v>
      </c>
    </row>
    <row r="3973" customFormat="false" ht="12.75" hidden="false" customHeight="true" outlineLevel="0" collapsed="false">
      <c r="P3973" s="1" t="n">
        <v>3970</v>
      </c>
      <c r="Q3973" s="147" t="n">
        <v>89224.7273463884</v>
      </c>
      <c r="R3973" s="147" t="n">
        <v>0.271606570856235</v>
      </c>
      <c r="S3973" s="147" t="n">
        <v>0.0909672364047359</v>
      </c>
      <c r="T3973" s="147" t="n">
        <v>0.0092004804808436</v>
      </c>
    </row>
    <row r="3974" customFormat="false" ht="12.75" hidden="false" customHeight="true" outlineLevel="0" collapsed="false">
      <c r="P3974" s="1" t="n">
        <v>3971</v>
      </c>
      <c r="Q3974" s="147" t="n">
        <v>89246.9331592124</v>
      </c>
      <c r="R3974" s="147" t="n">
        <v>0.271554672156031</v>
      </c>
      <c r="S3974" s="147" t="n">
        <v>0.0912315243437286</v>
      </c>
      <c r="T3974" s="147" t="n">
        <v>0.00726176116405814</v>
      </c>
    </row>
    <row r="3975" customFormat="false" ht="12.75" hidden="false" customHeight="true" outlineLevel="0" collapsed="false">
      <c r="P3975" s="1" t="n">
        <v>3972</v>
      </c>
      <c r="Q3975" s="147" t="n">
        <v>89269.3147920644</v>
      </c>
      <c r="R3975" s="147" t="n">
        <v>0.27143112999695</v>
      </c>
      <c r="S3975" s="147" t="n">
        <v>0.0935125929419013</v>
      </c>
      <c r="T3975" s="147" t="n">
        <v>0.00497774762160611</v>
      </c>
    </row>
    <row r="3976" customFormat="false" ht="12.75" hidden="false" customHeight="true" outlineLevel="0" collapsed="false">
      <c r="P3976" s="1" t="n">
        <v>3973</v>
      </c>
      <c r="Q3976" s="147" t="n">
        <v>89291.6345463354</v>
      </c>
      <c r="R3976" s="147" t="n">
        <v>0.271229197044052</v>
      </c>
      <c r="S3976" s="147" t="n">
        <v>0.0974312231100835</v>
      </c>
      <c r="T3976" s="147" t="n">
        <v>0.00271880862063723</v>
      </c>
    </row>
    <row r="3977" customFormat="false" ht="12.75" hidden="false" customHeight="true" outlineLevel="0" collapsed="false">
      <c r="P3977" s="1" t="n">
        <v>3974</v>
      </c>
      <c r="Q3977" s="147" t="n">
        <v>89313.9310851704</v>
      </c>
      <c r="R3977" s="147" t="n">
        <v>0.270976371488559</v>
      </c>
      <c r="S3977" s="147" t="n">
        <v>0.100763054692273</v>
      </c>
      <c r="T3977" s="147" t="n">
        <v>0.00126530786530871</v>
      </c>
    </row>
    <row r="3978" customFormat="false" ht="12.75" hidden="false" customHeight="true" outlineLevel="0" collapsed="false">
      <c r="P3978" s="1" t="n">
        <v>3975</v>
      </c>
      <c r="Q3978" s="147" t="n">
        <v>89336.3300772514</v>
      </c>
      <c r="R3978" s="147" t="n">
        <v>0.270492912943775</v>
      </c>
      <c r="S3978" s="147" t="n">
        <v>0.104714851079595</v>
      </c>
      <c r="T3978" s="147" t="n">
        <v>0.000467496268363559</v>
      </c>
    </row>
    <row r="3979" customFormat="false" ht="12.75" hidden="false" customHeight="true" outlineLevel="0" collapsed="false">
      <c r="P3979" s="1" t="n">
        <v>3976</v>
      </c>
      <c r="Q3979" s="147" t="n">
        <v>89358.8335122694</v>
      </c>
      <c r="R3979" s="147" t="n">
        <v>0.270263532076894</v>
      </c>
      <c r="S3979" s="147" t="n">
        <v>0.105731226061554</v>
      </c>
      <c r="T3979" s="147" t="n">
        <v>0.000255242836608037</v>
      </c>
    </row>
    <row r="3980" customFormat="false" ht="12.75" hidden="false" customHeight="true" outlineLevel="0" collapsed="false">
      <c r="P3980" s="1" t="n">
        <v>3977</v>
      </c>
      <c r="Q3980" s="147" t="n">
        <v>89381.0949436874</v>
      </c>
      <c r="R3980" s="147" t="n">
        <v>0.270545777178341</v>
      </c>
      <c r="S3980" s="147" t="n">
        <v>0.103711708736404</v>
      </c>
      <c r="T3980" s="147" t="n">
        <v>0.000683359262399501</v>
      </c>
    </row>
    <row r="3981" customFormat="false" ht="12.75" hidden="false" customHeight="true" outlineLevel="0" collapsed="false">
      <c r="P3981" s="1" t="n">
        <v>3978</v>
      </c>
      <c r="Q3981" s="147" t="n">
        <v>89403.8297631084</v>
      </c>
      <c r="R3981" s="147" t="n">
        <v>0.270748035111146</v>
      </c>
      <c r="S3981" s="147" t="n">
        <v>0.0988545726466786</v>
      </c>
      <c r="T3981" s="147" t="n">
        <v>0.00120843378943187</v>
      </c>
    </row>
    <row r="3982" customFormat="false" ht="12.75" hidden="false" customHeight="true" outlineLevel="0" collapsed="false">
      <c r="P3982" s="1" t="n">
        <v>3979</v>
      </c>
      <c r="Q3982" s="147" t="n">
        <v>89426.5816650594</v>
      </c>
      <c r="R3982" s="147" t="n">
        <v>0.271381573982864</v>
      </c>
      <c r="S3982" s="147" t="n">
        <v>0.0913176079723954</v>
      </c>
      <c r="T3982" s="147" t="n">
        <v>0.00168759208334271</v>
      </c>
    </row>
    <row r="3983" customFormat="false" ht="12.75" hidden="false" customHeight="true" outlineLevel="0" collapsed="false">
      <c r="P3983" s="1" t="n">
        <v>3980</v>
      </c>
      <c r="Q3983" s="147" t="n">
        <v>89449.0974376874</v>
      </c>
      <c r="R3983" s="147" t="n">
        <v>0.271922511082259</v>
      </c>
      <c r="S3983" s="147" t="n">
        <v>0.0824336204925</v>
      </c>
      <c r="T3983" s="147" t="n">
        <v>0.00211292579785233</v>
      </c>
    </row>
    <row r="3984" customFormat="false" ht="12.75" hidden="false" customHeight="true" outlineLevel="0" collapsed="false">
      <c r="P3984" s="1" t="n">
        <v>3981</v>
      </c>
      <c r="Q3984" s="147" t="n">
        <v>89470.9822016614</v>
      </c>
      <c r="R3984" s="147" t="n">
        <v>0.272207482249391</v>
      </c>
      <c r="S3984" s="147" t="n">
        <v>0.0761144306705463</v>
      </c>
      <c r="T3984" s="147" t="n">
        <v>0.00159796183407503</v>
      </c>
    </row>
    <row r="3985" customFormat="false" ht="12.75" hidden="false" customHeight="true" outlineLevel="0" collapsed="false">
      <c r="P3985" s="1" t="n">
        <v>3982</v>
      </c>
      <c r="Q3985" s="147" t="n">
        <v>89493.3736691624</v>
      </c>
      <c r="R3985" s="147" t="n">
        <v>0.273029931557965</v>
      </c>
      <c r="S3985" s="147" t="n">
        <v>0.0607573882681905</v>
      </c>
      <c r="T3985" s="147" t="n">
        <v>0.00409532463444302</v>
      </c>
    </row>
    <row r="3986" customFormat="false" ht="12.75" hidden="false" customHeight="true" outlineLevel="0" collapsed="false">
      <c r="P3986" s="1" t="n">
        <v>3983</v>
      </c>
      <c r="Q3986" s="147" t="n">
        <v>89515.0828107974</v>
      </c>
      <c r="R3986" s="147" t="n">
        <v>0.272849471114642</v>
      </c>
      <c r="S3986" s="147" t="n">
        <v>0.0562612805961749</v>
      </c>
      <c r="T3986" s="147" t="n">
        <v>0.00295305536348086</v>
      </c>
    </row>
    <row r="3987" customFormat="false" ht="12.75" hidden="false" customHeight="true" outlineLevel="0" collapsed="false">
      <c r="P3987" s="1" t="n">
        <v>3984</v>
      </c>
      <c r="Q3987" s="147" t="n">
        <v>89537.5916934844</v>
      </c>
      <c r="R3987" s="147" t="n">
        <v>0.273157926477229</v>
      </c>
      <c r="S3987" s="147" t="n">
        <v>0.0486547707290678</v>
      </c>
      <c r="T3987" s="147" t="n">
        <v>0.00269152224864922</v>
      </c>
    </row>
    <row r="3988" customFormat="false" ht="12.75" hidden="false" customHeight="true" outlineLevel="0" collapsed="false">
      <c r="P3988" s="1" t="n">
        <v>3985</v>
      </c>
      <c r="Q3988" s="147" t="n">
        <v>89559.9313846054</v>
      </c>
      <c r="R3988" s="147" t="n">
        <v>0.272830282399135</v>
      </c>
      <c r="S3988" s="147" t="n">
        <v>0.0472123247161003</v>
      </c>
      <c r="T3988" s="147" t="n">
        <v>0.00244544313842309</v>
      </c>
    </row>
    <row r="3989" customFormat="false" ht="12.75" hidden="false" customHeight="true" outlineLevel="0" collapsed="false">
      <c r="P3989" s="1" t="n">
        <v>3986</v>
      </c>
      <c r="Q3989" s="147" t="n">
        <v>89582.1343292604</v>
      </c>
      <c r="R3989" s="147" t="n">
        <v>0.273110229107435</v>
      </c>
      <c r="S3989" s="147" t="n">
        <v>0.0488419647060253</v>
      </c>
      <c r="T3989" s="147" t="n">
        <v>0.00215923575909466</v>
      </c>
    </row>
    <row r="3990" customFormat="false" ht="12.75" hidden="false" customHeight="true" outlineLevel="0" collapsed="false">
      <c r="P3990" s="1" t="n">
        <v>3987</v>
      </c>
      <c r="Q3990" s="147" t="n">
        <v>89604.6571015404</v>
      </c>
      <c r="R3990" s="147" t="n">
        <v>0.273250041436708</v>
      </c>
      <c r="S3990" s="147" t="n">
        <v>0.0533513718654493</v>
      </c>
      <c r="T3990" s="147" t="n">
        <v>0.00121629863858024</v>
      </c>
    </row>
    <row r="3991" customFormat="false" ht="12.75" hidden="false" customHeight="true" outlineLevel="0" collapsed="false">
      <c r="P3991" s="1" t="n">
        <v>3988</v>
      </c>
      <c r="Q3991" s="147" t="n">
        <v>89626.9700202994</v>
      </c>
      <c r="R3991" s="147" t="n">
        <v>0.273861481532855</v>
      </c>
      <c r="S3991" s="147" t="n">
        <v>0.0568903616304628</v>
      </c>
      <c r="T3991" s="147" t="n">
        <v>0.00057612173965713</v>
      </c>
    </row>
    <row r="3992" customFormat="false" ht="12.75" hidden="false" customHeight="true" outlineLevel="0" collapsed="false">
      <c r="P3992" s="1" t="n">
        <v>3989</v>
      </c>
      <c r="Q3992" s="147" t="n">
        <v>89649.2534293684</v>
      </c>
      <c r="R3992" s="147" t="n">
        <v>0.27478429195756</v>
      </c>
      <c r="S3992" s="147" t="n">
        <v>0.0602306727851966</v>
      </c>
      <c r="T3992" s="147" t="n">
        <v>-0.000697878717501918</v>
      </c>
    </row>
    <row r="3993" customFormat="false" ht="12.75" hidden="false" customHeight="true" outlineLevel="0" collapsed="false">
      <c r="P3993" s="1" t="n">
        <v>3990</v>
      </c>
      <c r="Q3993" s="147" t="n">
        <v>89671.1401448544</v>
      </c>
      <c r="R3993" s="147" t="n">
        <v>0.275518653035352</v>
      </c>
      <c r="S3993" s="147" t="n">
        <v>0.0631870439115581</v>
      </c>
      <c r="T3993" s="147" t="n">
        <v>-0.00223749968512305</v>
      </c>
    </row>
    <row r="3994" customFormat="false" ht="12.75" hidden="false" customHeight="true" outlineLevel="0" collapsed="false">
      <c r="P3994" s="1" t="n">
        <v>3991</v>
      </c>
      <c r="Q3994" s="147" t="n">
        <v>89693.4793120274</v>
      </c>
      <c r="R3994" s="147" t="n">
        <v>0.276294221668313</v>
      </c>
      <c r="S3994" s="147" t="n">
        <v>0.0663466659384856</v>
      </c>
      <c r="T3994" s="147" t="n">
        <v>-0.00449949722191068</v>
      </c>
    </row>
    <row r="3995" customFormat="false" ht="12.75" hidden="false" customHeight="true" outlineLevel="0" collapsed="false">
      <c r="P3995" s="1" t="n">
        <v>3992</v>
      </c>
      <c r="Q3995" s="147" t="n">
        <v>89716.1130670774</v>
      </c>
      <c r="R3995" s="147" t="n">
        <v>0.276649425503265</v>
      </c>
      <c r="S3995" s="147" t="n">
        <v>0.0699743188132125</v>
      </c>
      <c r="T3995" s="147" t="n">
        <v>-0.00693124389579927</v>
      </c>
    </row>
    <row r="3996" customFormat="false" ht="12.75" hidden="false" customHeight="true" outlineLevel="0" collapsed="false">
      <c r="P3996" s="1" t="n">
        <v>3993</v>
      </c>
      <c r="Q3996" s="147" t="n">
        <v>89738.8647422744</v>
      </c>
      <c r="R3996" s="147" t="n">
        <v>0.276431763130883</v>
      </c>
      <c r="S3996" s="147" t="n">
        <v>0.0734895034796416</v>
      </c>
      <c r="T3996" s="147" t="n">
        <v>-0.00892544247926801</v>
      </c>
    </row>
    <row r="3997" customFormat="false" ht="12.75" hidden="false" customHeight="true" outlineLevel="0" collapsed="false">
      <c r="P3997" s="1" t="n">
        <v>3994</v>
      </c>
      <c r="Q3997" s="147" t="n">
        <v>89761.3390493504</v>
      </c>
      <c r="R3997" s="147" t="n">
        <v>0.275949648093885</v>
      </c>
      <c r="S3997" s="147" t="n">
        <v>0.0763303255506268</v>
      </c>
      <c r="T3997" s="147" t="n">
        <v>-0.0107825604440178</v>
      </c>
    </row>
    <row r="3998" customFormat="false" ht="12.75" hidden="false" customHeight="true" outlineLevel="0" collapsed="false">
      <c r="P3998" s="1" t="n">
        <v>3995</v>
      </c>
      <c r="Q3998" s="147" t="n">
        <v>89784.2936735005</v>
      </c>
      <c r="R3998" s="147" t="n">
        <v>0.275262021597104</v>
      </c>
      <c r="S3998" s="147" t="n">
        <v>0.0783000102386306</v>
      </c>
      <c r="T3998" s="147" t="n">
        <v>-0.0122082892830577</v>
      </c>
    </row>
    <row r="3999" customFormat="false" ht="12.75" hidden="false" customHeight="true" outlineLevel="0" collapsed="false">
      <c r="P3999" s="1" t="n">
        <v>3996</v>
      </c>
      <c r="Q3999" s="147" t="n">
        <v>89806.7927441655</v>
      </c>
      <c r="R3999" s="147" t="n">
        <v>0.274997687395813</v>
      </c>
      <c r="S3999" s="147" t="n">
        <v>0.0788640483773668</v>
      </c>
      <c r="T3999" s="147" t="n">
        <v>-0.0125454872353059</v>
      </c>
    </row>
    <row r="4000" customFormat="false" ht="12.75" hidden="false" customHeight="true" outlineLevel="0" collapsed="false">
      <c r="P4000" s="1" t="n">
        <v>3997</v>
      </c>
      <c r="Q4000" s="147" t="n">
        <v>89829.5328196974</v>
      </c>
      <c r="R4000" s="147" t="n">
        <v>0.274798545757703</v>
      </c>
      <c r="S4000" s="147" t="n">
        <v>0.0779737118757717</v>
      </c>
      <c r="T4000" s="147" t="n">
        <v>-0.0127565725100046</v>
      </c>
    </row>
    <row r="4001" customFormat="false" ht="12.75" hidden="false" customHeight="true" outlineLevel="0" collapsed="false">
      <c r="P4001" s="1" t="n">
        <v>3998</v>
      </c>
      <c r="Q4001" s="147" t="n">
        <v>89851.9749626834</v>
      </c>
      <c r="R4001" s="147" t="n">
        <v>0.274629991309133</v>
      </c>
      <c r="S4001" s="147" t="n">
        <v>0.0763743518808571</v>
      </c>
      <c r="T4001" s="147" t="n">
        <v>-0.0120819653611276</v>
      </c>
    </row>
    <row r="4002" customFormat="false" ht="12.75" hidden="false" customHeight="true" outlineLevel="0" collapsed="false">
      <c r="P4002" s="1" t="n">
        <v>3999</v>
      </c>
      <c r="Q4002" s="147" t="n">
        <v>89874.5617121024</v>
      </c>
      <c r="R4002" s="147" t="n">
        <v>0.274434187138885</v>
      </c>
      <c r="S4002" s="147" t="n">
        <v>0.0752723533389972</v>
      </c>
      <c r="T4002" s="147" t="n">
        <v>-0.0105993411243305</v>
      </c>
    </row>
    <row r="4003" customFormat="false" ht="12.75" hidden="false" customHeight="true" outlineLevel="0" collapsed="false">
      <c r="P4003" s="1" t="n">
        <v>4000</v>
      </c>
      <c r="Q4003" s="147" t="n">
        <v>89897.3143896654</v>
      </c>
      <c r="R4003" s="147" t="n">
        <v>0.273990347372374</v>
      </c>
      <c r="S4003" s="147" t="n">
        <v>0.0741758524017874</v>
      </c>
      <c r="T4003" s="147" t="n">
        <v>-0.00899155429979634</v>
      </c>
    </row>
    <row r="4004" customFormat="false" ht="12.75" hidden="false" customHeight="true" outlineLevel="0" collapsed="false"/>
    <row r="4005" customFormat="false" ht="12.75" hidden="false" customHeight="true" outlineLevel="0" collapsed="false"/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hyperlinks>
    <hyperlink ref="C20" r:id="rId1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4F0352D-3C5E-4937-9CA4-50BFCC00F364}">
            <xm:f>#REF!-I$21&lt;0</xm:f>
            <x14:dxf>
              <fill>
                <patternFill/>
              </fill>
            </x14:dxf>
          </x14:cfRule>
          <x14:cfRule type="expression" priority="3" id="{BCE2A6AA-D542-4E6B-BA31-6333CC85AABC}">
            <xm:f>#REF!-I$21&gt;0</xm:f>
            <x14:dxf>
              <fill>
                <patternFill>
                  <bgColor rgb="FFFABF8F"/>
                </patternFill>
              </fill>
            </x14:dxf>
          </x14:cfRule>
          <xm:sqref>I23:I25</xm:sqref>
        </x14:conditionalFormatting>
        <x14:conditionalFormatting xmlns:xm="http://schemas.microsoft.com/office/excel/2006/main">
          <x14:cfRule type="expression" priority="4" id="{9AEB42F4-B816-40F1-9135-A96C5B3A8266}">
            <xm:f>#REF!-#REF!&lt;0</xm:f>
            <x14:dxf>
              <fill>
                <patternFill/>
              </fill>
            </x14:dxf>
          </x14:cfRule>
          <x14:cfRule type="expression" priority="5" id="{CC0090E5-CAB2-4D30-8265-35905722643F}">
            <xm:f>#REF!-#REF!&gt;0</xm:f>
            <x14:dxf>
              <fill>
                <patternFill/>
              </fill>
            </x14:dxf>
          </x14:cfRule>
          <xm:sqref>H19 I22 O36</xm:sqref>
        </x14:conditionalFormatting>
        <x14:conditionalFormatting xmlns:xm="http://schemas.microsoft.com/office/excel/2006/main">
          <x14:cfRule type="expression" priority="6" id="{8029CD22-57D0-487C-A8B8-783396EBE0DA}">
            <xm:f>#REF!-H$18&lt;0</xm:f>
            <x14:dxf>
              <fill>
                <patternFill/>
              </fill>
            </x14:dxf>
          </x14:cfRule>
          <x14:cfRule type="expression" priority="7" id="{8EE5EE2B-5A1D-41DE-9B5E-93595C8DA74B}">
            <xm:f>#REF!-H$18&gt;0</xm:f>
            <x14:dxf>
              <fill>
                <patternFill>
                  <bgColor rgb="FFFABF8F"/>
                </patternFill>
              </fill>
            </x14:dxf>
          </x14:cfRule>
          <xm:sqref>H21</xm:sqref>
        </x14:conditionalFormatting>
        <x14:conditionalFormatting xmlns:xm="http://schemas.microsoft.com/office/excel/2006/main">
          <x14:cfRule type="cellIs" priority="8" operator="lessThanOrEqual" id="{58DFBED5-3190-4CD5-9646-5AD2AB4F5DCB}">
            <xm:f>#REF!</xm:f>
            <x14:dxf>
              <fill>
                <patternFill/>
              </fill>
            </x14:dxf>
          </x14:cfRule>
          <x14:cfRule type="cellIs" priority="9" operator="greaterThan" id="{C7EE1C6B-7D8F-4E1C-AD18-39D0E4103890}">
            <xm:f>#REF!</xm:f>
            <x14:dxf>
              <fill>
                <patternFill>
                  <bgColor rgb="FFFABF8F"/>
                </patternFill>
              </fill>
            </x14:dxf>
          </x14:cfRule>
          <xm:sqref>D28:F30</xm:sqref>
        </x14:conditionalFormatting>
        <x14:conditionalFormatting xmlns:xm="http://schemas.microsoft.com/office/excel/2006/main">
          <x14:cfRule type="cellIs" priority="10" operator="lessThanOrEqual" id="{4064F030-BD77-4DE9-A7D4-F6387056D7F4}">
            <xm:f>0.0015</xm:f>
            <x14:dxf>
              <fill>
                <patternFill/>
              </fill>
            </x14:dxf>
          </x14:cfRule>
          <x14:cfRule type="cellIs" priority="11" operator="between" id="{27A87662-7C45-497D-A747-F326E25E2667}">
            <xm:f>0.002</xm:f>
            <x14:dxf>
              <fill>
                <patternFill>
                  <bgColor rgb="FFFABF8F"/>
                </patternFill>
              </fill>
            </x14:dxf>
          </x14:cfRule>
          <x14:cfRule type="cellIs" priority="12" operator="greaterThan" id="{657C3760-7BA7-455D-BAB4-1380EA34C019}">
            <xm:f>0.002</xm:f>
            <x14:dxf>
              <fill>
                <patternFill/>
              </fill>
            </x14:dxf>
          </x14:cfRule>
          <xm:sqref>D33</xm:sqref>
        </x14:conditionalFormatting>
        <x14:conditionalFormatting xmlns:xm="http://schemas.microsoft.com/office/excel/2006/main">
          <x14:cfRule type="cellIs" priority="13" operator="lessThanOrEqual" id="{64D6D933-FD43-4222-BE64-A860A8219731}">
            <xm:f>0.00075</xm:f>
            <x14:dxf>
              <fill>
                <patternFill>
                  <bgColor rgb="FFFABF8F"/>
                </patternFill>
              </fill>
            </x14:dxf>
          </x14:cfRule>
          <x14:cfRule type="cellIs" priority="14" operator="between" id="{156E59C5-EB7B-4930-83C7-605D72896C2B}">
            <xm:f>0.001</xm:f>
            <x14:dxf>
              <fill>
                <patternFill/>
              </fill>
            </x14:dxf>
          </x14:cfRule>
          <x14:cfRule type="cellIs" priority="15" operator="greaterThan" id="{902D20D7-C412-482C-8ECF-2822B2AB109E}">
            <xm:f>0.001</xm:f>
            <x14:dxf>
              <fill>
                <patternFill/>
              </fill>
            </x14:dxf>
          </x14:cfRule>
          <xm:sqref>D32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BD4B4"/>
    <pageSetUpPr fitToPage="false"/>
  </sheetPr>
  <dimension ref="A1:M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A1" activeCellId="0" sqref="A1"/>
    </sheetView>
  </sheetViews>
  <sheetFormatPr defaultColWidth="12.66796875" defaultRowHeight="15" customHeight="true" zeroHeight="false" outlineLevelRow="0" outlineLevelCol="0"/>
  <cols>
    <col collapsed="false" customWidth="true" hidden="false" outlineLevel="0" max="1" min="1" style="1" width="8.76"/>
    <col collapsed="false" customWidth="true" hidden="false" outlineLevel="0" max="2" min="2" style="1" width="15.44"/>
    <col collapsed="false" customWidth="true" hidden="false" outlineLevel="0" max="3" min="3" style="1" width="20"/>
    <col collapsed="false" customWidth="true" hidden="false" outlineLevel="0" max="6" min="4" style="1" width="13.34"/>
    <col collapsed="false" customWidth="true" hidden="false" outlineLevel="0" max="9" min="7" style="1" width="20.66"/>
    <col collapsed="false" customWidth="true" hidden="false" outlineLevel="0" max="10" min="10" style="1" width="8.76"/>
    <col collapsed="false" customWidth="true" hidden="false" outlineLevel="0" max="13" min="11" style="1" width="20.66"/>
    <col collapsed="false" customWidth="true" hidden="false" outlineLevel="0" max="26" min="14" style="1" width="8.76"/>
  </cols>
  <sheetData>
    <row r="1" customFormat="false" ht="12.75" hidden="false" customHeight="true" outlineLevel="0" collapsed="false">
      <c r="A1" s="2"/>
      <c r="B1" s="148"/>
      <c r="C1" s="41"/>
      <c r="D1" s="41"/>
      <c r="E1" s="41"/>
      <c r="F1" s="41"/>
      <c r="G1" s="2"/>
      <c r="H1" s="2"/>
      <c r="I1" s="2"/>
    </row>
    <row r="2" customFormat="false" ht="12.75" hidden="false" customHeight="true" outlineLevel="0" collapsed="false">
      <c r="A2" s="2"/>
      <c r="B2" s="149" t="s">
        <v>165</v>
      </c>
      <c r="C2" s="149"/>
      <c r="D2" s="149"/>
      <c r="E2" s="149"/>
      <c r="F2" s="149"/>
      <c r="G2" s="149"/>
      <c r="H2" s="149"/>
      <c r="I2" s="149"/>
      <c r="J2" s="149"/>
    </row>
    <row r="3" customFormat="false" ht="12.75" hidden="false" customHeight="true" outlineLevel="0" collapsed="false">
      <c r="A3" s="2"/>
      <c r="B3" s="148" t="s">
        <v>166</v>
      </c>
      <c r="C3" s="41"/>
      <c r="D3" s="41"/>
      <c r="E3" s="41"/>
      <c r="F3" s="41"/>
      <c r="G3" s="2"/>
      <c r="H3" s="2"/>
      <c r="I3" s="2"/>
    </row>
    <row r="4" customFormat="false" ht="12.75" hidden="false" customHeight="true" outlineLevel="0" collapsed="false">
      <c r="A4" s="2"/>
      <c r="B4" s="148"/>
      <c r="C4" s="41"/>
      <c r="D4" s="41"/>
      <c r="E4" s="41"/>
      <c r="F4" s="41"/>
      <c r="G4" s="2"/>
      <c r="H4" s="2"/>
      <c r="I4" s="2"/>
    </row>
    <row r="5" customFormat="false" ht="12.75" hidden="false" customHeight="true" outlineLevel="0" collapsed="false">
      <c r="A5" s="2"/>
      <c r="B5" s="148"/>
      <c r="C5" s="41"/>
      <c r="D5" s="41"/>
      <c r="E5" s="41"/>
      <c r="F5" s="41"/>
      <c r="G5" s="150" t="s">
        <v>167</v>
      </c>
      <c r="H5" s="150"/>
      <c r="I5" s="151" t="s">
        <v>168</v>
      </c>
      <c r="K5" s="150" t="s">
        <v>169</v>
      </c>
      <c r="L5" s="150"/>
      <c r="M5" s="151" t="s">
        <v>170</v>
      </c>
    </row>
    <row r="6" customFormat="false" ht="12.75" hidden="false" customHeight="true" outlineLevel="0" collapsed="false">
      <c r="A6" s="2"/>
      <c r="B6" s="152"/>
      <c r="C6" s="150" t="s">
        <v>171</v>
      </c>
      <c r="D6" s="153" t="s">
        <v>172</v>
      </c>
      <c r="E6" s="154" t="s">
        <v>173</v>
      </c>
      <c r="F6" s="155" t="s">
        <v>174</v>
      </c>
      <c r="G6" s="156" t="s">
        <v>175</v>
      </c>
      <c r="H6" s="157" t="str">
        <f aca="false">'META Data'!D16</f>
        <v>ID_OpenFOAM_olenla</v>
      </c>
      <c r="I6" s="150" t="s">
        <v>176</v>
      </c>
      <c r="K6" s="158" t="s">
        <v>177</v>
      </c>
      <c r="L6" s="157" t="str">
        <f aca="false">'META Data'!D16</f>
        <v>ID_OpenFOAM_olenla</v>
      </c>
      <c r="M6" s="150" t="s">
        <v>178</v>
      </c>
    </row>
    <row r="7" customFormat="false" ht="12.75" hidden="false" customHeight="true" outlineLevel="0" collapsed="false">
      <c r="A7" s="2"/>
      <c r="B7" s="159" t="s">
        <v>179</v>
      </c>
      <c r="C7" s="160" t="n">
        <v>1</v>
      </c>
      <c r="D7" s="161" t="n">
        <v>-798.25</v>
      </c>
      <c r="E7" s="162" t="n">
        <v>0</v>
      </c>
      <c r="F7" s="163" t="n">
        <v>150</v>
      </c>
      <c r="G7" s="164"/>
      <c r="H7" s="165" t="e">
        <f aca="false">VLOOKUP(C7,#REF!,5,FALSE())</f>
        <v>#VALUE!</v>
      </c>
      <c r="I7" s="166" t="e">
        <f aca="false">G7-H7</f>
        <v>#VALUE!</v>
      </c>
      <c r="K7" s="167"/>
      <c r="L7" s="168" t="e">
        <f aca="false">VLOOKUP(C7,#REF!,6,FALSE())</f>
        <v>#VALUE!</v>
      </c>
      <c r="M7" s="166" t="e">
        <f aca="false">K7-L7</f>
        <v>#VALUE!</v>
      </c>
    </row>
    <row r="8" customFormat="false" ht="12.75" hidden="false" customHeight="true" outlineLevel="0" collapsed="false">
      <c r="A8" s="2"/>
      <c r="B8" s="159"/>
      <c r="C8" s="169" t="n">
        <v>195</v>
      </c>
      <c r="D8" s="170" t="n">
        <v>-724.8</v>
      </c>
      <c r="E8" s="171" t="n">
        <v>0</v>
      </c>
      <c r="F8" s="172" t="n">
        <v>384.1</v>
      </c>
      <c r="G8" s="173"/>
      <c r="H8" s="174" t="e">
        <f aca="false">VLOOKUP(C8,#REF!,5,FALSE())</f>
        <v>#VALUE!</v>
      </c>
      <c r="I8" s="175" t="e">
        <f aca="false">G8-H8</f>
        <v>#VALUE!</v>
      </c>
      <c r="K8" s="176"/>
      <c r="L8" s="177" t="e">
        <f aca="false">VLOOKUP(C8,#REF!,6,FALSE())</f>
        <v>#VALUE!</v>
      </c>
      <c r="M8" s="175" t="e">
        <f aca="false">K8-L8</f>
        <v>#VALUE!</v>
      </c>
    </row>
    <row r="9" customFormat="false" ht="12.75" hidden="false" customHeight="true" outlineLevel="0" collapsed="false">
      <c r="A9" s="2"/>
      <c r="B9" s="159"/>
      <c r="C9" s="169" t="n">
        <v>2</v>
      </c>
      <c r="D9" s="170" t="n">
        <v>-700</v>
      </c>
      <c r="E9" s="171" t="n">
        <v>0</v>
      </c>
      <c r="F9" s="172" t="n">
        <v>406.35</v>
      </c>
      <c r="G9" s="173"/>
      <c r="H9" s="174" t="e">
        <f aca="false">VLOOKUP(C9,#REF!,5,FALSE())</f>
        <v>#VALUE!</v>
      </c>
      <c r="I9" s="175" t="e">
        <f aca="false">G9-H9</f>
        <v>#VALUE!</v>
      </c>
      <c r="K9" s="176"/>
      <c r="L9" s="177" t="e">
        <f aca="false">VLOOKUP(C9,#REF!,6,FALSE())</f>
        <v>#VALUE!</v>
      </c>
      <c r="M9" s="175" t="e">
        <f aca="false">K9-L9</f>
        <v>#VALUE!</v>
      </c>
    </row>
    <row r="10" customFormat="false" ht="12.75" hidden="false" customHeight="true" outlineLevel="0" collapsed="false">
      <c r="A10" s="2"/>
      <c r="B10" s="159"/>
      <c r="C10" s="169" t="n">
        <v>3</v>
      </c>
      <c r="D10" s="170" t="n">
        <v>-600</v>
      </c>
      <c r="E10" s="171" t="n">
        <v>0</v>
      </c>
      <c r="F10" s="172" t="n">
        <v>462.63</v>
      </c>
      <c r="G10" s="173"/>
      <c r="H10" s="174" t="e">
        <f aca="false">VLOOKUP(C10,#REF!,5,FALSE())</f>
        <v>#VALUE!</v>
      </c>
      <c r="I10" s="175" t="e">
        <f aca="false">G10-H10</f>
        <v>#VALUE!</v>
      </c>
      <c r="K10" s="176"/>
      <c r="L10" s="177" t="e">
        <f aca="false">VLOOKUP(C10,#REF!,6,FALSE())</f>
        <v>#VALUE!</v>
      </c>
      <c r="M10" s="175" t="e">
        <f aca="false">K10-L10</f>
        <v>#VALUE!</v>
      </c>
    </row>
    <row r="11" customFormat="false" ht="12.75" hidden="false" customHeight="true" outlineLevel="0" collapsed="false">
      <c r="A11" s="2"/>
      <c r="B11" s="159"/>
      <c r="C11" s="169" t="n">
        <v>4</v>
      </c>
      <c r="D11" s="170" t="n">
        <v>-500</v>
      </c>
      <c r="E11" s="171" t="n">
        <v>0</v>
      </c>
      <c r="F11" s="172" t="n">
        <v>499.45</v>
      </c>
      <c r="G11" s="173"/>
      <c r="H11" s="174" t="e">
        <f aca="false">VLOOKUP(C11,#REF!,5,FALSE())</f>
        <v>#VALUE!</v>
      </c>
      <c r="I11" s="175" t="e">
        <f aca="false">G11-H11</f>
        <v>#VALUE!</v>
      </c>
      <c r="K11" s="176"/>
      <c r="L11" s="177" t="e">
        <f aca="false">VLOOKUP(C11,#REF!,6,FALSE())</f>
        <v>#VALUE!</v>
      </c>
      <c r="M11" s="175" t="e">
        <f aca="false">K11-L11</f>
        <v>#VALUE!</v>
      </c>
    </row>
    <row r="12" customFormat="false" ht="12.75" hidden="false" customHeight="true" outlineLevel="0" collapsed="false">
      <c r="A12" s="2"/>
      <c r="B12" s="159"/>
      <c r="C12" s="169" t="n">
        <v>5</v>
      </c>
      <c r="D12" s="170" t="n">
        <v>-400</v>
      </c>
      <c r="E12" s="171" t="n">
        <v>0</v>
      </c>
      <c r="F12" s="172" t="n">
        <v>527.7</v>
      </c>
      <c r="G12" s="173"/>
      <c r="H12" s="174" t="e">
        <f aca="false">VLOOKUP(C12,#REF!,5,FALSE())</f>
        <v>#VALUE!</v>
      </c>
      <c r="I12" s="175" t="e">
        <f aca="false">G12-H12</f>
        <v>#VALUE!</v>
      </c>
      <c r="K12" s="176"/>
      <c r="L12" s="177" t="e">
        <f aca="false">VLOOKUP(C12,#REF!,6,FALSE())</f>
        <v>#VALUE!</v>
      </c>
      <c r="M12" s="175" t="e">
        <f aca="false">K12-L12</f>
        <v>#VALUE!</v>
      </c>
    </row>
    <row r="13" customFormat="false" ht="12.75" hidden="false" customHeight="true" outlineLevel="0" collapsed="false">
      <c r="A13" s="2"/>
      <c r="B13" s="159"/>
      <c r="C13" s="169" t="n">
        <v>6</v>
      </c>
      <c r="D13" s="170" t="n">
        <v>-300</v>
      </c>
      <c r="E13" s="171" t="n">
        <v>0</v>
      </c>
      <c r="F13" s="172" t="n">
        <v>550.85</v>
      </c>
      <c r="G13" s="173"/>
      <c r="H13" s="174" t="e">
        <f aca="false">VLOOKUP(C13,#REF!,5,FALSE())</f>
        <v>#VALUE!</v>
      </c>
      <c r="I13" s="175" t="e">
        <f aca="false">G13-H13</f>
        <v>#VALUE!</v>
      </c>
      <c r="K13" s="176"/>
      <c r="L13" s="177" t="e">
        <f aca="false">VLOOKUP(C13,#REF!,6,FALSE())</f>
        <v>#VALUE!</v>
      </c>
      <c r="M13" s="175" t="e">
        <f aca="false">K13-L13</f>
        <v>#VALUE!</v>
      </c>
    </row>
    <row r="14" customFormat="false" ht="12.75" hidden="false" customHeight="true" outlineLevel="0" collapsed="false">
      <c r="A14" s="2"/>
      <c r="B14" s="159"/>
      <c r="C14" s="169" t="n">
        <v>7</v>
      </c>
      <c r="D14" s="170" t="n">
        <v>-100</v>
      </c>
      <c r="E14" s="171" t="n">
        <v>0</v>
      </c>
      <c r="F14" s="172" t="n">
        <v>587.73</v>
      </c>
      <c r="G14" s="173"/>
      <c r="H14" s="174" t="e">
        <f aca="false">VLOOKUP(C14,#REF!,5,FALSE())</f>
        <v>#VALUE!</v>
      </c>
      <c r="I14" s="175" t="e">
        <f aca="false">G14-H14</f>
        <v>#VALUE!</v>
      </c>
      <c r="K14" s="176"/>
      <c r="L14" s="177" t="e">
        <f aca="false">VLOOKUP(C14,#REF!,6,FALSE())</f>
        <v>#VALUE!</v>
      </c>
      <c r="M14" s="175" t="e">
        <f aca="false">K14-L14</f>
        <v>#VALUE!</v>
      </c>
    </row>
    <row r="15" customFormat="false" ht="12.75" hidden="false" customHeight="true" outlineLevel="0" collapsed="false">
      <c r="A15" s="2"/>
      <c r="B15" s="159"/>
      <c r="C15" s="169" t="n">
        <v>8</v>
      </c>
      <c r="D15" s="170" t="n">
        <v>0</v>
      </c>
      <c r="E15" s="171" t="n">
        <v>0</v>
      </c>
      <c r="F15" s="172" t="n">
        <v>603.05</v>
      </c>
      <c r="G15" s="173"/>
      <c r="H15" s="174" t="e">
        <f aca="false">VLOOKUP(C15,#REF!,5,FALSE())</f>
        <v>#VALUE!</v>
      </c>
      <c r="I15" s="175" t="e">
        <f aca="false">G15-H15</f>
        <v>#VALUE!</v>
      </c>
      <c r="K15" s="167"/>
      <c r="L15" s="177" t="e">
        <f aca="false">VLOOKUP(C15,#REF!,6,FALSE())</f>
        <v>#VALUE!</v>
      </c>
      <c r="M15" s="175" t="e">
        <f aca="false">K15-L15</f>
        <v>#VALUE!</v>
      </c>
    </row>
    <row r="16" customFormat="false" ht="12.75" hidden="false" customHeight="true" outlineLevel="0" collapsed="false">
      <c r="A16" s="2"/>
      <c r="B16" s="159"/>
      <c r="C16" s="169" t="n">
        <v>9</v>
      </c>
      <c r="D16" s="170" t="n">
        <v>100</v>
      </c>
      <c r="E16" s="171" t="n">
        <v>0</v>
      </c>
      <c r="F16" s="172" t="n">
        <v>616.9</v>
      </c>
      <c r="G16" s="173"/>
      <c r="H16" s="174" t="e">
        <f aca="false">VLOOKUP(C16,#REF!,5,FALSE())</f>
        <v>#VALUE!</v>
      </c>
      <c r="I16" s="175" t="e">
        <f aca="false">G16-H16</f>
        <v>#VALUE!</v>
      </c>
      <c r="K16" s="176"/>
      <c r="L16" s="177" t="e">
        <f aca="false">VLOOKUP(C16,#REF!,6,FALSE())</f>
        <v>#VALUE!</v>
      </c>
      <c r="M16" s="175" t="e">
        <f aca="false">K16-L16</f>
        <v>#VALUE!</v>
      </c>
    </row>
    <row r="17" customFormat="false" ht="12.75" hidden="false" customHeight="true" outlineLevel="0" collapsed="false">
      <c r="A17" s="2"/>
      <c r="B17" s="159"/>
      <c r="C17" s="169" t="n">
        <v>10</v>
      </c>
      <c r="D17" s="170" t="n">
        <v>300</v>
      </c>
      <c r="E17" s="171" t="n">
        <v>0</v>
      </c>
      <c r="F17" s="172" t="n">
        <v>640.83</v>
      </c>
      <c r="G17" s="173"/>
      <c r="H17" s="174" t="e">
        <f aca="false">VLOOKUP(C17,#REF!,5,FALSE())</f>
        <v>#VALUE!</v>
      </c>
      <c r="I17" s="175" t="e">
        <f aca="false">G17-H17</f>
        <v>#VALUE!</v>
      </c>
      <c r="K17" s="176"/>
      <c r="L17" s="177" t="e">
        <f aca="false">VLOOKUP(C17,#REF!,6,FALSE())</f>
        <v>#VALUE!</v>
      </c>
      <c r="M17" s="175" t="e">
        <f aca="false">K17-L17</f>
        <v>#VALUE!</v>
      </c>
    </row>
    <row r="18" customFormat="false" ht="12.75" hidden="false" customHeight="true" outlineLevel="0" collapsed="false">
      <c r="A18" s="2"/>
      <c r="B18" s="159"/>
      <c r="C18" s="169" t="n">
        <v>11</v>
      </c>
      <c r="D18" s="170" t="n">
        <v>350</v>
      </c>
      <c r="E18" s="171" t="n">
        <v>0</v>
      </c>
      <c r="F18" s="172" t="n">
        <v>645.93</v>
      </c>
      <c r="G18" s="173"/>
      <c r="H18" s="174" t="e">
        <f aca="false">VLOOKUP(C18,#REF!,5,FALSE())</f>
        <v>#VALUE!</v>
      </c>
      <c r="I18" s="175" t="e">
        <f aca="false">G18-H18</f>
        <v>#VALUE!</v>
      </c>
      <c r="K18" s="176"/>
      <c r="L18" s="177" t="e">
        <f aca="false">VLOOKUP(C18,#REF!,6,FALSE())</f>
        <v>#VALUE!</v>
      </c>
      <c r="M18" s="175" t="e">
        <f aca="false">K18-L18</f>
        <v>#VALUE!</v>
      </c>
    </row>
    <row r="19" customFormat="false" ht="12.75" hidden="false" customHeight="true" outlineLevel="0" collapsed="false">
      <c r="A19" s="2"/>
      <c r="B19" s="159"/>
      <c r="C19" s="169" t="n">
        <v>12</v>
      </c>
      <c r="D19" s="170" t="n">
        <v>413.1</v>
      </c>
      <c r="E19" s="171" t="n">
        <v>0</v>
      </c>
      <c r="F19" s="172" t="n">
        <v>625</v>
      </c>
      <c r="G19" s="173"/>
      <c r="H19" s="174" t="e">
        <f aca="false">VLOOKUP(C19,#REF!,5,FALSE())</f>
        <v>#VALUE!</v>
      </c>
      <c r="I19" s="175" t="e">
        <f aca="false">G19-H19</f>
        <v>#VALUE!</v>
      </c>
      <c r="K19" s="176"/>
      <c r="L19" s="177" t="e">
        <f aca="false">VLOOKUP(C19,#REF!,6,FALSE())</f>
        <v>#VALUE!</v>
      </c>
      <c r="M19" s="175" t="e">
        <f aca="false">K19-L19</f>
        <v>#VALUE!</v>
      </c>
    </row>
    <row r="20" customFormat="false" ht="12.75" hidden="false" customHeight="true" outlineLevel="0" collapsed="false">
      <c r="A20" s="2"/>
      <c r="B20" s="159"/>
      <c r="C20" s="169" t="n">
        <v>13</v>
      </c>
      <c r="D20" s="170" t="n">
        <v>464.13</v>
      </c>
      <c r="E20" s="171" t="n">
        <v>0</v>
      </c>
      <c r="F20" s="172" t="n">
        <v>625</v>
      </c>
      <c r="G20" s="173"/>
      <c r="H20" s="174" t="e">
        <f aca="false">VLOOKUP(C20,#REF!,5,FALSE())</f>
        <v>#VALUE!</v>
      </c>
      <c r="I20" s="175" t="e">
        <f aca="false">G20-H20</f>
        <v>#VALUE!</v>
      </c>
      <c r="K20" s="176"/>
      <c r="L20" s="177" t="e">
        <f aca="false">VLOOKUP(C20,#REF!,6,FALSE())</f>
        <v>#VALUE!</v>
      </c>
      <c r="M20" s="175" t="e">
        <f aca="false">K20-L20</f>
        <v>#VALUE!</v>
      </c>
    </row>
    <row r="21" customFormat="false" ht="12.75" hidden="false" customHeight="true" outlineLevel="0" collapsed="false">
      <c r="A21" s="2"/>
      <c r="B21" s="159"/>
      <c r="C21" s="169" t="n">
        <v>14</v>
      </c>
      <c r="D21" s="170" t="n">
        <v>543.18</v>
      </c>
      <c r="E21" s="171" t="n">
        <v>0</v>
      </c>
      <c r="F21" s="172" t="n">
        <v>675</v>
      </c>
      <c r="G21" s="173"/>
      <c r="H21" s="174" t="e">
        <f aca="false">VLOOKUP(C21,#REF!,5,FALSE())</f>
        <v>#VALUE!</v>
      </c>
      <c r="I21" s="175" t="e">
        <f aca="false">G21-H21</f>
        <v>#VALUE!</v>
      </c>
      <c r="K21" s="176"/>
      <c r="L21" s="177" t="e">
        <f aca="false">VLOOKUP(C21,#REF!,6,FALSE())</f>
        <v>#VALUE!</v>
      </c>
      <c r="M21" s="175" t="e">
        <f aca="false">K21-L21</f>
        <v>#VALUE!</v>
      </c>
    </row>
    <row r="22" customFormat="false" ht="12.75" hidden="false" customHeight="true" outlineLevel="0" collapsed="false">
      <c r="A22" s="2"/>
      <c r="B22" s="159"/>
      <c r="C22" s="169" t="n">
        <v>15</v>
      </c>
      <c r="D22" s="170" t="n">
        <v>624.25</v>
      </c>
      <c r="E22" s="171" t="n">
        <v>0</v>
      </c>
      <c r="F22" s="172" t="n">
        <v>725</v>
      </c>
      <c r="G22" s="173"/>
      <c r="H22" s="174" t="e">
        <f aca="false">VLOOKUP(C22,#REF!,5,FALSE())</f>
        <v>#VALUE!</v>
      </c>
      <c r="I22" s="175" t="e">
        <f aca="false">G22-H22</f>
        <v>#VALUE!</v>
      </c>
      <c r="K22" s="176"/>
      <c r="L22" s="177" t="e">
        <f aca="false">VLOOKUP(C22,#REF!,6,FALSE())</f>
        <v>#VALUE!</v>
      </c>
      <c r="M22" s="175" t="e">
        <f aca="false">K22-L22</f>
        <v>#VALUE!</v>
      </c>
    </row>
    <row r="23" customFormat="false" ht="12.75" hidden="false" customHeight="true" outlineLevel="0" collapsed="false">
      <c r="A23" s="2"/>
      <c r="B23" s="159"/>
      <c r="C23" s="169" t="n">
        <v>16</v>
      </c>
      <c r="D23" s="170" t="n">
        <v>707.88</v>
      </c>
      <c r="E23" s="171" t="n">
        <v>0</v>
      </c>
      <c r="F23" s="172" t="n">
        <v>775</v>
      </c>
      <c r="G23" s="173"/>
      <c r="H23" s="174" t="e">
        <f aca="false">VLOOKUP(C23,#REF!,5,FALSE())</f>
        <v>#VALUE!</v>
      </c>
      <c r="I23" s="175" t="e">
        <f aca="false">G23-H23</f>
        <v>#VALUE!</v>
      </c>
      <c r="K23" s="167"/>
      <c r="L23" s="177" t="e">
        <f aca="false">VLOOKUP(C23,#REF!,6,FALSE())</f>
        <v>#VALUE!</v>
      </c>
      <c r="M23" s="175" t="e">
        <f aca="false">K23-L23</f>
        <v>#VALUE!</v>
      </c>
    </row>
    <row r="24" customFormat="false" ht="12.75" hidden="false" customHeight="true" outlineLevel="0" collapsed="false">
      <c r="A24" s="2"/>
      <c r="B24" s="159"/>
      <c r="C24" s="169" t="n">
        <v>17</v>
      </c>
      <c r="D24" s="170" t="n">
        <v>885.33</v>
      </c>
      <c r="E24" s="171" t="n">
        <v>0</v>
      </c>
      <c r="F24" s="172" t="n">
        <v>875</v>
      </c>
      <c r="G24" s="173"/>
      <c r="H24" s="174" t="e">
        <f aca="false">VLOOKUP(C24,#REF!,5,FALSE())</f>
        <v>#VALUE!</v>
      </c>
      <c r="I24" s="175" t="e">
        <f aca="false">G24-H24</f>
        <v>#VALUE!</v>
      </c>
      <c r="K24" s="176"/>
      <c r="L24" s="177" t="e">
        <f aca="false">VLOOKUP(C24,#REF!,6,FALSE())</f>
        <v>#VALUE!</v>
      </c>
      <c r="M24" s="175" t="e">
        <f aca="false">K24-L24</f>
        <v>#VALUE!</v>
      </c>
    </row>
    <row r="25" customFormat="false" ht="12.75" hidden="false" customHeight="true" outlineLevel="0" collapsed="false">
      <c r="A25" s="2"/>
      <c r="B25" s="159"/>
      <c r="C25" s="169" t="n">
        <v>18</v>
      </c>
      <c r="D25" s="170" t="n">
        <v>1084.9</v>
      </c>
      <c r="E25" s="171" t="n">
        <v>0</v>
      </c>
      <c r="F25" s="172" t="n">
        <v>975</v>
      </c>
      <c r="G25" s="173"/>
      <c r="H25" s="174" t="e">
        <f aca="false">VLOOKUP(C25,#REF!,5,FALSE())</f>
        <v>#VALUE!</v>
      </c>
      <c r="I25" s="175" t="e">
        <f aca="false">G25-H25</f>
        <v>#VALUE!</v>
      </c>
      <c r="K25" s="176"/>
      <c r="L25" s="177" t="e">
        <f aca="false">VLOOKUP(C25,#REF!,6,FALSE())</f>
        <v>#VALUE!</v>
      </c>
      <c r="M25" s="175" t="e">
        <f aca="false">K25-L25</f>
        <v>#VALUE!</v>
      </c>
    </row>
    <row r="26" customFormat="false" ht="12.75" hidden="false" customHeight="true" outlineLevel="0" collapsed="false">
      <c r="A26" s="2"/>
      <c r="B26" s="159"/>
      <c r="C26" s="169" t="n">
        <v>19</v>
      </c>
      <c r="D26" s="170" t="n">
        <v>1199</v>
      </c>
      <c r="E26" s="171" t="n">
        <v>0</v>
      </c>
      <c r="F26" s="172" t="n">
        <v>1025</v>
      </c>
      <c r="G26" s="173"/>
      <c r="H26" s="174" t="e">
        <f aca="false">VLOOKUP(C26,#REF!,5,FALSE())</f>
        <v>#VALUE!</v>
      </c>
      <c r="I26" s="175" t="e">
        <f aca="false">G26-H26</f>
        <v>#VALUE!</v>
      </c>
      <c r="K26" s="176"/>
      <c r="L26" s="177" t="e">
        <f aca="false">VLOOKUP(C26,#REF!,6,FALSE())</f>
        <v>#VALUE!</v>
      </c>
      <c r="M26" s="175" t="e">
        <f aca="false">K26-L26</f>
        <v>#VALUE!</v>
      </c>
    </row>
    <row r="27" customFormat="false" ht="12.75" hidden="false" customHeight="true" outlineLevel="0" collapsed="false">
      <c r="A27" s="2"/>
      <c r="B27" s="159"/>
      <c r="C27" s="169" t="n">
        <v>20</v>
      </c>
      <c r="D27" s="170" t="n">
        <v>1300</v>
      </c>
      <c r="E27" s="171" t="n">
        <v>0</v>
      </c>
      <c r="F27" s="172" t="n">
        <v>1051.5</v>
      </c>
      <c r="G27" s="173"/>
      <c r="H27" s="174" t="e">
        <f aca="false">VLOOKUP(C27,#REF!,5,FALSE())</f>
        <v>#VALUE!</v>
      </c>
      <c r="I27" s="175" t="e">
        <f aca="false">G27-H27</f>
        <v>#VALUE!</v>
      </c>
      <c r="K27" s="176"/>
      <c r="L27" s="177" t="e">
        <f aca="false">VLOOKUP(C27,#REF!,6,FALSE())</f>
        <v>#VALUE!</v>
      </c>
      <c r="M27" s="175" t="e">
        <f aca="false">K27-L27</f>
        <v>#VALUE!</v>
      </c>
    </row>
    <row r="28" customFormat="false" ht="12.75" hidden="false" customHeight="true" outlineLevel="0" collapsed="false">
      <c r="A28" s="2"/>
      <c r="B28" s="159"/>
      <c r="C28" s="178" t="n">
        <v>107</v>
      </c>
      <c r="D28" s="170" t="n">
        <v>1900</v>
      </c>
      <c r="E28" s="171" t="n">
        <v>0</v>
      </c>
      <c r="F28" s="172" t="n">
        <v>1102.4</v>
      </c>
      <c r="G28" s="173"/>
      <c r="H28" s="174" t="e">
        <f aca="false">VLOOKUP(C28,#REF!,5,FALSE())</f>
        <v>#VALUE!</v>
      </c>
      <c r="I28" s="175" t="e">
        <f aca="false">G28-H28</f>
        <v>#VALUE!</v>
      </c>
      <c r="K28" s="176"/>
      <c r="L28" s="177" t="e">
        <f aca="false">VLOOKUP(C28,#REF!,6,FALSE())</f>
        <v>#VALUE!</v>
      </c>
      <c r="M28" s="175" t="e">
        <f aca="false">K28-L28</f>
        <v>#VALUE!</v>
      </c>
    </row>
    <row r="29" customFormat="false" ht="12.75" hidden="false" customHeight="true" outlineLevel="0" collapsed="false">
      <c r="A29" s="2"/>
      <c r="B29" s="159"/>
      <c r="C29" s="178" t="n">
        <v>108</v>
      </c>
      <c r="D29" s="170" t="n">
        <v>2100</v>
      </c>
      <c r="E29" s="171" t="n">
        <v>0</v>
      </c>
      <c r="F29" s="172" t="n">
        <v>1100.28</v>
      </c>
      <c r="G29" s="173"/>
      <c r="H29" s="174" t="e">
        <f aca="false">VLOOKUP(C29,#REF!,5,FALSE())</f>
        <v>#VALUE!</v>
      </c>
      <c r="I29" s="175" t="e">
        <f aca="false">G29-H29</f>
        <v>#VALUE!</v>
      </c>
      <c r="K29" s="176"/>
      <c r="L29" s="177" t="e">
        <f aca="false">VLOOKUP(C29,#REF!,6,FALSE())</f>
        <v>#VALUE!</v>
      </c>
      <c r="M29" s="175" t="e">
        <f aca="false">K29-L29</f>
        <v>#VALUE!</v>
      </c>
    </row>
    <row r="30" customFormat="false" ht="12.75" hidden="false" customHeight="true" outlineLevel="0" collapsed="false">
      <c r="A30" s="2"/>
      <c r="B30" s="159"/>
      <c r="C30" s="178" t="n">
        <v>109</v>
      </c>
      <c r="D30" s="170" t="n">
        <v>2300</v>
      </c>
      <c r="E30" s="171" t="n">
        <v>0</v>
      </c>
      <c r="F30" s="172" t="n">
        <v>1090.3</v>
      </c>
      <c r="G30" s="173"/>
      <c r="H30" s="174" t="e">
        <f aca="false">VLOOKUP(C30,#REF!,5,FALSE())</f>
        <v>#VALUE!</v>
      </c>
      <c r="I30" s="175" t="e">
        <f aca="false">G30-H30</f>
        <v>#VALUE!</v>
      </c>
      <c r="K30" s="176"/>
      <c r="L30" s="177" t="e">
        <f aca="false">VLOOKUP(C30,#REF!,6,FALSE())</f>
        <v>#VALUE!</v>
      </c>
      <c r="M30" s="175" t="e">
        <f aca="false">K30-L30</f>
        <v>#VALUE!</v>
      </c>
    </row>
    <row r="31" customFormat="false" ht="12.75" hidden="false" customHeight="true" outlineLevel="0" collapsed="false">
      <c r="A31" s="2"/>
      <c r="B31" s="159"/>
      <c r="C31" s="178" t="n">
        <v>110</v>
      </c>
      <c r="D31" s="170" t="n">
        <v>2500</v>
      </c>
      <c r="E31" s="171" t="n">
        <v>0</v>
      </c>
      <c r="F31" s="172" t="n">
        <v>1067.15</v>
      </c>
      <c r="G31" s="173"/>
      <c r="H31" s="174" t="e">
        <f aca="false">VLOOKUP(C31,#REF!,5,FALSE())</f>
        <v>#VALUE!</v>
      </c>
      <c r="I31" s="175" t="e">
        <f aca="false">G31-H31</f>
        <v>#VALUE!</v>
      </c>
      <c r="K31" s="167"/>
      <c r="L31" s="177" t="e">
        <f aca="false">VLOOKUP(C31,#REF!,6,FALSE())</f>
        <v>#VALUE!</v>
      </c>
      <c r="M31" s="175" t="e">
        <f aca="false">K31-L31</f>
        <v>#VALUE!</v>
      </c>
    </row>
    <row r="32" customFormat="false" ht="12.75" hidden="false" customHeight="true" outlineLevel="0" collapsed="false">
      <c r="A32" s="2"/>
      <c r="B32" s="159"/>
      <c r="C32" s="178" t="n">
        <v>111</v>
      </c>
      <c r="D32" s="170" t="n">
        <v>2600</v>
      </c>
      <c r="E32" s="171" t="n">
        <v>0</v>
      </c>
      <c r="F32" s="172" t="n">
        <v>1047.75</v>
      </c>
      <c r="G32" s="173"/>
      <c r="H32" s="174" t="e">
        <f aca="false">VLOOKUP(C32,#REF!,5,FALSE())</f>
        <v>#VALUE!</v>
      </c>
      <c r="I32" s="175" t="e">
        <f aca="false">G32-H32</f>
        <v>#VALUE!</v>
      </c>
      <c r="K32" s="176"/>
      <c r="L32" s="177" t="e">
        <f aca="false">VLOOKUP(C32,#REF!,6,FALSE())</f>
        <v>#VALUE!</v>
      </c>
      <c r="M32" s="175" t="e">
        <f aca="false">K32-L32</f>
        <v>#VALUE!</v>
      </c>
    </row>
    <row r="33" customFormat="false" ht="12.75" hidden="false" customHeight="true" outlineLevel="0" collapsed="false">
      <c r="A33" s="2"/>
      <c r="B33" s="159"/>
      <c r="C33" s="178" t="n">
        <v>112</v>
      </c>
      <c r="D33" s="170" t="n">
        <v>2700</v>
      </c>
      <c r="E33" s="171" t="n">
        <v>0</v>
      </c>
      <c r="F33" s="172" t="n">
        <v>1017.73</v>
      </c>
      <c r="G33" s="173"/>
      <c r="H33" s="174" t="e">
        <f aca="false">VLOOKUP(C33,#REF!,5,FALSE())</f>
        <v>#VALUE!</v>
      </c>
      <c r="I33" s="175" t="e">
        <f aca="false">G33-H33</f>
        <v>#VALUE!</v>
      </c>
      <c r="K33" s="176"/>
      <c r="L33" s="177" t="e">
        <f aca="false">VLOOKUP(C33,#REF!,6,FALSE())</f>
        <v>#VALUE!</v>
      </c>
      <c r="M33" s="175" t="e">
        <f aca="false">K33-L33</f>
        <v>#VALUE!</v>
      </c>
    </row>
    <row r="34" customFormat="false" ht="12.75" hidden="false" customHeight="true" outlineLevel="0" collapsed="false">
      <c r="A34" s="2"/>
      <c r="B34" s="159"/>
      <c r="C34" s="178" t="n">
        <v>113</v>
      </c>
      <c r="D34" s="170" t="n">
        <v>2820.15</v>
      </c>
      <c r="E34" s="171" t="n">
        <v>0</v>
      </c>
      <c r="F34" s="172" t="n">
        <v>975</v>
      </c>
      <c r="G34" s="173"/>
      <c r="H34" s="174" t="e">
        <f aca="false">VLOOKUP(C34,#REF!,5,FALSE())</f>
        <v>#VALUE!</v>
      </c>
      <c r="I34" s="175" t="e">
        <f aca="false">G34-H34</f>
        <v>#VALUE!</v>
      </c>
      <c r="K34" s="176"/>
      <c r="L34" s="177" t="e">
        <f aca="false">VLOOKUP(C34,#REF!,6,FALSE())</f>
        <v>#VALUE!</v>
      </c>
      <c r="M34" s="175" t="e">
        <f aca="false">K34-L34</f>
        <v>#VALUE!</v>
      </c>
    </row>
    <row r="35" customFormat="false" ht="12.75" hidden="false" customHeight="true" outlineLevel="0" collapsed="false">
      <c r="A35" s="2"/>
      <c r="B35" s="159"/>
      <c r="C35" s="178" t="n">
        <v>114</v>
      </c>
      <c r="D35" s="170" t="n">
        <v>2944.43</v>
      </c>
      <c r="E35" s="171" t="n">
        <v>0</v>
      </c>
      <c r="F35" s="172" t="n">
        <v>925</v>
      </c>
      <c r="G35" s="173"/>
      <c r="H35" s="174" t="e">
        <f aca="false">VLOOKUP(C35,#REF!,5,FALSE())</f>
        <v>#VALUE!</v>
      </c>
      <c r="I35" s="175" t="e">
        <f aca="false">G35-H35</f>
        <v>#VALUE!</v>
      </c>
      <c r="K35" s="176"/>
      <c r="L35" s="177" t="e">
        <f aca="false">VLOOKUP(C35,#REF!,6,FALSE())</f>
        <v>#VALUE!</v>
      </c>
      <c r="M35" s="175" t="e">
        <f aca="false">K35-L35</f>
        <v>#VALUE!</v>
      </c>
    </row>
    <row r="36" customFormat="false" ht="12.75" hidden="false" customHeight="true" outlineLevel="0" collapsed="false">
      <c r="A36" s="2"/>
      <c r="B36" s="159"/>
      <c r="C36" s="178" t="n">
        <v>115</v>
      </c>
      <c r="D36" s="170" t="n">
        <v>3057.9</v>
      </c>
      <c r="E36" s="171" t="n">
        <v>0</v>
      </c>
      <c r="F36" s="172" t="n">
        <v>875</v>
      </c>
      <c r="G36" s="173"/>
      <c r="H36" s="174" t="e">
        <f aca="false">VLOOKUP(C36,#REF!,5,FALSE())</f>
        <v>#VALUE!</v>
      </c>
      <c r="I36" s="175" t="e">
        <f aca="false">G36-H36</f>
        <v>#VALUE!</v>
      </c>
      <c r="K36" s="176"/>
      <c r="L36" s="177" t="e">
        <f aca="false">VLOOKUP(C36,#REF!,6,FALSE())</f>
        <v>#VALUE!</v>
      </c>
      <c r="M36" s="175" t="e">
        <f aca="false">K36-L36</f>
        <v>#VALUE!</v>
      </c>
    </row>
    <row r="37" customFormat="false" ht="12.75" hidden="false" customHeight="true" outlineLevel="0" collapsed="false">
      <c r="A37" s="2"/>
      <c r="B37" s="159"/>
      <c r="C37" s="178" t="n">
        <v>116</v>
      </c>
      <c r="D37" s="170" t="n">
        <v>3164.15</v>
      </c>
      <c r="E37" s="171" t="n">
        <v>0</v>
      </c>
      <c r="F37" s="172" t="n">
        <v>825</v>
      </c>
      <c r="G37" s="173"/>
      <c r="H37" s="174" t="e">
        <f aca="false">VLOOKUP(C37,#REF!,5,FALSE())</f>
        <v>#VALUE!</v>
      </c>
      <c r="I37" s="175" t="e">
        <f aca="false">G37-H37</f>
        <v>#VALUE!</v>
      </c>
      <c r="K37" s="176"/>
      <c r="L37" s="177" t="e">
        <f aca="false">VLOOKUP(C37,#REF!,6,FALSE())</f>
        <v>#VALUE!</v>
      </c>
      <c r="M37" s="175" t="e">
        <f aca="false">K37-L37</f>
        <v>#VALUE!</v>
      </c>
    </row>
    <row r="38" customFormat="false" ht="12.75" hidden="false" customHeight="true" outlineLevel="0" collapsed="false">
      <c r="A38" s="2"/>
      <c r="B38" s="159"/>
      <c r="C38" s="178" t="n">
        <v>117</v>
      </c>
      <c r="D38" s="170" t="n">
        <v>3265.23</v>
      </c>
      <c r="E38" s="171" t="n">
        <v>0</v>
      </c>
      <c r="F38" s="172" t="n">
        <v>775</v>
      </c>
      <c r="G38" s="173"/>
      <c r="H38" s="174" t="e">
        <f aca="false">VLOOKUP(C38,#REF!,5,FALSE())</f>
        <v>#VALUE!</v>
      </c>
      <c r="I38" s="175" t="e">
        <f aca="false">G38-H38</f>
        <v>#VALUE!</v>
      </c>
      <c r="K38" s="176"/>
      <c r="L38" s="177" t="e">
        <f aca="false">VLOOKUP(C38,#REF!,6,FALSE())</f>
        <v>#VALUE!</v>
      </c>
      <c r="M38" s="175" t="e">
        <f aca="false">K38-L38</f>
        <v>#VALUE!</v>
      </c>
    </row>
    <row r="39" customFormat="false" ht="12.75" hidden="false" customHeight="true" outlineLevel="0" collapsed="false">
      <c r="A39" s="2"/>
      <c r="B39" s="159"/>
      <c r="C39" s="178" t="n">
        <v>118</v>
      </c>
      <c r="D39" s="170" t="n">
        <v>3300</v>
      </c>
      <c r="E39" s="171" t="n">
        <v>0</v>
      </c>
      <c r="F39" s="172" t="n">
        <v>757.33</v>
      </c>
      <c r="G39" s="173"/>
      <c r="H39" s="174" t="e">
        <f aca="false">VLOOKUP(C39,#REF!,5,FALSE())</f>
        <v>#VALUE!</v>
      </c>
      <c r="I39" s="175" t="e">
        <f aca="false">G39-H39</f>
        <v>#VALUE!</v>
      </c>
      <c r="K39" s="167"/>
      <c r="L39" s="177" t="e">
        <f aca="false">VLOOKUP(C39,#REF!,6,FALSE())</f>
        <v>#VALUE!</v>
      </c>
      <c r="M39" s="175" t="e">
        <f aca="false">K39-L39</f>
        <v>#VALUE!</v>
      </c>
    </row>
    <row r="40" customFormat="false" ht="12.75" hidden="false" customHeight="true" outlineLevel="0" collapsed="false">
      <c r="A40" s="2"/>
      <c r="B40" s="159"/>
      <c r="C40" s="178" t="n">
        <v>119</v>
      </c>
      <c r="D40" s="170" t="n">
        <v>3400</v>
      </c>
      <c r="E40" s="171" t="n">
        <v>0</v>
      </c>
      <c r="F40" s="172" t="n">
        <v>746.1</v>
      </c>
      <c r="G40" s="173"/>
      <c r="H40" s="174" t="e">
        <f aca="false">VLOOKUP(C40,#REF!,5,FALSE())</f>
        <v>#VALUE!</v>
      </c>
      <c r="I40" s="175" t="e">
        <f aca="false">G40-H40</f>
        <v>#VALUE!</v>
      </c>
      <c r="K40" s="176"/>
      <c r="L40" s="177" t="e">
        <f aca="false">VLOOKUP(C40,#REF!,6,FALSE())</f>
        <v>#VALUE!</v>
      </c>
      <c r="M40" s="175" t="e">
        <f aca="false">K40-L40</f>
        <v>#VALUE!</v>
      </c>
    </row>
    <row r="41" customFormat="false" ht="12.75" hidden="false" customHeight="true" outlineLevel="0" collapsed="false">
      <c r="A41" s="2"/>
      <c r="B41" s="159"/>
      <c r="C41" s="178" t="n">
        <v>120</v>
      </c>
      <c r="D41" s="170" t="n">
        <v>3500</v>
      </c>
      <c r="E41" s="171" t="n">
        <v>0</v>
      </c>
      <c r="F41" s="172" t="n">
        <v>735.35</v>
      </c>
      <c r="G41" s="173"/>
      <c r="H41" s="174" t="e">
        <f aca="false">VLOOKUP(C41,#REF!,5,FALSE())</f>
        <v>#VALUE!</v>
      </c>
      <c r="I41" s="175" t="e">
        <f aca="false">G41-H41</f>
        <v>#VALUE!</v>
      </c>
      <c r="K41" s="176"/>
      <c r="L41" s="177" t="e">
        <f aca="false">VLOOKUP(C41,#REF!,6,FALSE())</f>
        <v>#VALUE!</v>
      </c>
      <c r="M41" s="175" t="e">
        <f aca="false">K41-L41</f>
        <v>#VALUE!</v>
      </c>
    </row>
    <row r="42" customFormat="false" ht="12.75" hidden="false" customHeight="true" outlineLevel="0" collapsed="false">
      <c r="A42" s="2"/>
      <c r="B42" s="159"/>
      <c r="C42" s="178" t="n">
        <v>121</v>
      </c>
      <c r="D42" s="170" t="n">
        <v>3575.25</v>
      </c>
      <c r="E42" s="171" t="n">
        <v>0</v>
      </c>
      <c r="F42" s="172" t="n">
        <v>725</v>
      </c>
      <c r="G42" s="173"/>
      <c r="H42" s="174" t="e">
        <f aca="false">VLOOKUP(C42,#REF!,5,FALSE())</f>
        <v>#VALUE!</v>
      </c>
      <c r="I42" s="175" t="e">
        <f aca="false">G42-H42</f>
        <v>#VALUE!</v>
      </c>
      <c r="K42" s="176"/>
      <c r="L42" s="177" t="e">
        <f aca="false">VLOOKUP(C42,#REF!,6,FALSE())</f>
        <v>#VALUE!</v>
      </c>
      <c r="M42" s="175" t="e">
        <f aca="false">K42-L42</f>
        <v>#VALUE!</v>
      </c>
    </row>
    <row r="43" customFormat="false" ht="12.75" hidden="false" customHeight="true" outlineLevel="0" collapsed="false">
      <c r="A43" s="2"/>
      <c r="B43" s="159"/>
      <c r="C43" s="178" t="n">
        <v>122</v>
      </c>
      <c r="D43" s="170" t="n">
        <v>3700</v>
      </c>
      <c r="E43" s="171" t="n">
        <v>0</v>
      </c>
      <c r="F43" s="172" t="n">
        <v>717.45</v>
      </c>
      <c r="G43" s="173"/>
      <c r="H43" s="174" t="e">
        <f aca="false">VLOOKUP(C43,#REF!,5,FALSE())</f>
        <v>#VALUE!</v>
      </c>
      <c r="I43" s="175" t="e">
        <f aca="false">G43-H43</f>
        <v>#VALUE!</v>
      </c>
      <c r="K43" s="176"/>
      <c r="L43" s="177" t="e">
        <f aca="false">VLOOKUP(C43,#REF!,6,FALSE())</f>
        <v>#VALUE!</v>
      </c>
      <c r="M43" s="175" t="e">
        <f aca="false">K43-L43</f>
        <v>#VALUE!</v>
      </c>
    </row>
    <row r="44" customFormat="false" ht="12.75" hidden="false" customHeight="true" outlineLevel="0" collapsed="false">
      <c r="A44" s="2"/>
      <c r="B44" s="159"/>
      <c r="C44" s="178" t="n">
        <v>123</v>
      </c>
      <c r="D44" s="170" t="n">
        <v>3709.73</v>
      </c>
      <c r="E44" s="171" t="n">
        <v>0</v>
      </c>
      <c r="F44" s="172" t="n">
        <v>650</v>
      </c>
      <c r="G44" s="173"/>
      <c r="H44" s="174" t="e">
        <f aca="false">VLOOKUP(C44,#REF!,5,FALSE())</f>
        <v>#VALUE!</v>
      </c>
      <c r="I44" s="175" t="e">
        <f aca="false">G44-H44</f>
        <v>#VALUE!</v>
      </c>
      <c r="K44" s="176"/>
      <c r="L44" s="177" t="e">
        <f aca="false">VLOOKUP(C44,#REF!,6,FALSE())</f>
        <v>#VALUE!</v>
      </c>
      <c r="M44" s="175" t="e">
        <f aca="false">K44-L44</f>
        <v>#VALUE!</v>
      </c>
    </row>
    <row r="45" customFormat="false" ht="12.75" hidden="false" customHeight="true" outlineLevel="0" collapsed="false">
      <c r="A45" s="2"/>
      <c r="B45" s="159"/>
      <c r="C45" s="178" t="n">
        <v>124</v>
      </c>
      <c r="D45" s="170" t="n">
        <v>3715.28</v>
      </c>
      <c r="E45" s="171" t="n">
        <v>0</v>
      </c>
      <c r="F45" s="172" t="n">
        <v>600</v>
      </c>
      <c r="G45" s="173"/>
      <c r="H45" s="174" t="e">
        <f aca="false">VLOOKUP(C45,#REF!,5,FALSE())</f>
        <v>#VALUE!</v>
      </c>
      <c r="I45" s="175" t="e">
        <f aca="false">G45-H45</f>
        <v>#VALUE!</v>
      </c>
      <c r="K45" s="176"/>
      <c r="L45" s="177" t="e">
        <f aca="false">VLOOKUP(C45,#REF!,6,FALSE())</f>
        <v>#VALUE!</v>
      </c>
      <c r="M45" s="175" t="e">
        <f aca="false">K45-L45</f>
        <v>#VALUE!</v>
      </c>
    </row>
    <row r="46" customFormat="false" ht="12.75" hidden="false" customHeight="true" outlineLevel="0" collapsed="false">
      <c r="A46" s="2"/>
      <c r="B46" s="159"/>
      <c r="C46" s="169" t="n">
        <v>21</v>
      </c>
      <c r="D46" s="170" t="n">
        <v>3752.7</v>
      </c>
      <c r="E46" s="171" t="n">
        <v>0</v>
      </c>
      <c r="F46" s="172" t="n">
        <v>450</v>
      </c>
      <c r="G46" s="173"/>
      <c r="H46" s="174" t="e">
        <f aca="false">VLOOKUP(C46,#REF!,5,FALSE())</f>
        <v>#VALUE!</v>
      </c>
      <c r="I46" s="175" t="e">
        <f aca="false">G46-H46</f>
        <v>#VALUE!</v>
      </c>
      <c r="K46" s="176"/>
      <c r="L46" s="177" t="e">
        <f aca="false">VLOOKUP(C46,#REF!,6,FALSE())</f>
        <v>#VALUE!</v>
      </c>
      <c r="M46" s="175" t="e">
        <f aca="false">K46-L46</f>
        <v>#VALUE!</v>
      </c>
    </row>
    <row r="47" customFormat="false" ht="12.75" hidden="false" customHeight="true" outlineLevel="0" collapsed="false">
      <c r="A47" s="2"/>
      <c r="B47" s="159"/>
      <c r="C47" s="169" t="n">
        <v>22</v>
      </c>
      <c r="D47" s="170" t="n">
        <v>3757.9</v>
      </c>
      <c r="E47" s="171" t="n">
        <v>0</v>
      </c>
      <c r="F47" s="172" t="n">
        <v>350</v>
      </c>
      <c r="G47" s="173"/>
      <c r="H47" s="174" t="e">
        <f aca="false">VLOOKUP(C47,#REF!,5,FALSE())</f>
        <v>#VALUE!</v>
      </c>
      <c r="I47" s="175" t="e">
        <f aca="false">G47-H47</f>
        <v>#VALUE!</v>
      </c>
      <c r="K47" s="176"/>
      <c r="L47" s="177" t="e">
        <f aca="false">VLOOKUP(C47,#REF!,6,FALSE())</f>
        <v>#VALUE!</v>
      </c>
      <c r="M47" s="175" t="e">
        <f aca="false">K47-L47</f>
        <v>#VALUE!</v>
      </c>
    </row>
    <row r="48" customFormat="false" ht="12.75" hidden="false" customHeight="true" outlineLevel="0" collapsed="false">
      <c r="A48" s="2"/>
      <c r="B48" s="159"/>
      <c r="C48" s="169" t="n">
        <v>23</v>
      </c>
      <c r="D48" s="170" t="n">
        <v>3804.1</v>
      </c>
      <c r="E48" s="171" t="n">
        <v>0</v>
      </c>
      <c r="F48" s="172" t="n">
        <v>250</v>
      </c>
      <c r="G48" s="173"/>
      <c r="H48" s="174" t="e">
        <f aca="false">VLOOKUP(C48,#REF!,5,FALSE())</f>
        <v>#VALUE!</v>
      </c>
      <c r="I48" s="175" t="e">
        <f aca="false">G48-H48</f>
        <v>#VALUE!</v>
      </c>
      <c r="K48" s="176"/>
      <c r="L48" s="177" t="e">
        <f aca="false">VLOOKUP(C48,#REF!,6,FALSE())</f>
        <v>#VALUE!</v>
      </c>
      <c r="M48" s="175" t="e">
        <f aca="false">K48-L48</f>
        <v>#VALUE!</v>
      </c>
    </row>
    <row r="49" customFormat="false" ht="12.75" hidden="false" customHeight="true" outlineLevel="0" collapsed="false">
      <c r="A49" s="2"/>
      <c r="B49" s="159"/>
      <c r="C49" s="160" t="n">
        <v>193</v>
      </c>
      <c r="D49" s="161" t="n">
        <v>3799.3</v>
      </c>
      <c r="E49" s="162" t="n">
        <v>0</v>
      </c>
      <c r="F49" s="163" t="n">
        <v>150</v>
      </c>
      <c r="G49" s="164"/>
      <c r="H49" s="165" t="e">
        <f aca="false">VLOOKUP(C49,#REF!,5,FALSE())</f>
        <v>#VALUE!</v>
      </c>
      <c r="I49" s="179" t="e">
        <f aca="false">G49-H49</f>
        <v>#VALUE!</v>
      </c>
      <c r="K49" s="176"/>
      <c r="L49" s="180" t="e">
        <f aca="false">VLOOKUP(C49,#REF!,6,FALSE())</f>
        <v>#VALUE!</v>
      </c>
      <c r="M49" s="179" t="e">
        <f aca="false">K49-L49</f>
        <v>#VALUE!</v>
      </c>
    </row>
    <row r="50" customFormat="false" ht="12.75" hidden="false" customHeight="true" outlineLevel="0" collapsed="false">
      <c r="A50" s="2"/>
      <c r="B50" s="159" t="s">
        <v>180</v>
      </c>
      <c r="C50" s="181" t="n">
        <v>191</v>
      </c>
      <c r="D50" s="182" t="n">
        <v>-804.8</v>
      </c>
      <c r="E50" s="182" t="n">
        <v>0</v>
      </c>
      <c r="F50" s="183" t="n">
        <v>-103</v>
      </c>
      <c r="G50" s="184"/>
      <c r="H50" s="185" t="e">
        <f aca="false">VLOOKUP(C50,#REF!,5,FALSE())</f>
        <v>#VALUE!</v>
      </c>
      <c r="I50" s="166" t="e">
        <f aca="false">G50-H50</f>
        <v>#VALUE!</v>
      </c>
    </row>
    <row r="51" customFormat="false" ht="12.75" hidden="false" customHeight="true" outlineLevel="0" collapsed="false">
      <c r="A51" s="2"/>
      <c r="B51" s="159"/>
      <c r="C51" s="186" t="n">
        <v>600</v>
      </c>
      <c r="D51" s="187" t="n">
        <v>-762.5</v>
      </c>
      <c r="E51" s="188" t="n">
        <v>0</v>
      </c>
      <c r="F51" s="189" t="n">
        <v>-111.2</v>
      </c>
      <c r="G51" s="164"/>
      <c r="H51" s="165" t="e">
        <f aca="false">VLOOKUP(C51,#REF!,5,FALSE())</f>
        <v>#VALUE!</v>
      </c>
      <c r="I51" s="166" t="e">
        <f aca="false">G51-H51</f>
        <v>#VALUE!</v>
      </c>
    </row>
    <row r="52" customFormat="false" ht="12.75" hidden="false" customHeight="true" outlineLevel="0" collapsed="false">
      <c r="A52" s="2"/>
      <c r="B52" s="159"/>
      <c r="C52" s="190" t="n">
        <v>601</v>
      </c>
      <c r="D52" s="191" t="n">
        <v>-729.72</v>
      </c>
      <c r="E52" s="192" t="n">
        <v>0</v>
      </c>
      <c r="F52" s="193" t="n">
        <v>-115</v>
      </c>
      <c r="G52" s="173"/>
      <c r="H52" s="174" t="e">
        <f aca="false">VLOOKUP(C52,#REF!,5,FALSE())</f>
        <v>#VALUE!</v>
      </c>
      <c r="I52" s="175" t="e">
        <f aca="false">G52-H52</f>
        <v>#VALUE!</v>
      </c>
    </row>
    <row r="53" customFormat="false" ht="12.75" hidden="false" customHeight="true" outlineLevel="0" collapsed="false">
      <c r="A53" s="2"/>
      <c r="B53" s="159"/>
      <c r="C53" s="190" t="n">
        <v>602</v>
      </c>
      <c r="D53" s="191" t="n">
        <v>-697</v>
      </c>
      <c r="E53" s="192" t="n">
        <v>0</v>
      </c>
      <c r="F53" s="193" t="n">
        <v>-118.78</v>
      </c>
      <c r="G53" s="173"/>
      <c r="H53" s="174" t="e">
        <f aca="false">VLOOKUP(C53,#REF!,5,FALSE())</f>
        <v>#VALUE!</v>
      </c>
      <c r="I53" s="175" t="e">
        <f aca="false">G53-H53</f>
        <v>#VALUE!</v>
      </c>
    </row>
    <row r="54" customFormat="false" ht="12.75" hidden="false" customHeight="true" outlineLevel="0" collapsed="false">
      <c r="A54" s="2"/>
      <c r="B54" s="159"/>
      <c r="C54" s="190" t="n">
        <v>603</v>
      </c>
      <c r="D54" s="191" t="n">
        <v>-600</v>
      </c>
      <c r="E54" s="192" t="n">
        <v>0</v>
      </c>
      <c r="F54" s="193" t="n">
        <v>-130</v>
      </c>
      <c r="G54" s="173"/>
      <c r="H54" s="174" t="e">
        <f aca="false">VLOOKUP(C54,#REF!,5,FALSE())</f>
        <v>#VALUE!</v>
      </c>
      <c r="I54" s="175" t="e">
        <f aca="false">G54-H54</f>
        <v>#VALUE!</v>
      </c>
    </row>
    <row r="55" customFormat="false" ht="12.75" hidden="false" customHeight="true" outlineLevel="0" collapsed="false">
      <c r="A55" s="2"/>
      <c r="B55" s="159"/>
      <c r="C55" s="190" t="n">
        <v>604</v>
      </c>
      <c r="D55" s="191" t="n">
        <v>-400</v>
      </c>
      <c r="E55" s="192" t="n">
        <v>0</v>
      </c>
      <c r="F55" s="193" t="n">
        <v>-153.125</v>
      </c>
      <c r="G55" s="173"/>
      <c r="H55" s="174" t="e">
        <f aca="false">VLOOKUP(C55,#REF!,5,FALSE())</f>
        <v>#VALUE!</v>
      </c>
      <c r="I55" s="175" t="e">
        <f aca="false">G55-H55</f>
        <v>#VALUE!</v>
      </c>
    </row>
    <row r="56" customFormat="false" ht="12.75" hidden="false" customHeight="true" outlineLevel="0" collapsed="false">
      <c r="A56" s="2"/>
      <c r="B56" s="159"/>
      <c r="C56" s="190" t="n">
        <v>605</v>
      </c>
      <c r="D56" s="191" t="n">
        <v>-200</v>
      </c>
      <c r="E56" s="192" t="n">
        <v>0</v>
      </c>
      <c r="F56" s="193" t="n">
        <v>-165.55</v>
      </c>
      <c r="G56" s="173"/>
      <c r="H56" s="174" t="e">
        <f aca="false">VLOOKUP(C56,#REF!,5,FALSE())</f>
        <v>#VALUE!</v>
      </c>
      <c r="I56" s="175" t="e">
        <f aca="false">G56-H56</f>
        <v>#VALUE!</v>
      </c>
    </row>
    <row r="57" customFormat="false" ht="12.75" hidden="false" customHeight="true" outlineLevel="0" collapsed="false">
      <c r="A57" s="2"/>
      <c r="B57" s="159"/>
      <c r="C57" s="190" t="n">
        <v>606</v>
      </c>
      <c r="D57" s="191" t="n">
        <v>0</v>
      </c>
      <c r="E57" s="192" t="n">
        <v>0</v>
      </c>
      <c r="F57" s="193" t="n">
        <v>-170.725</v>
      </c>
      <c r="G57" s="173"/>
      <c r="H57" s="174" t="e">
        <f aca="false">VLOOKUP(C57,#REF!,5,FALSE())</f>
        <v>#VALUE!</v>
      </c>
      <c r="I57" s="175" t="e">
        <f aca="false">G57-H57</f>
        <v>#VALUE!</v>
      </c>
    </row>
    <row r="58" customFormat="false" ht="12.75" hidden="false" customHeight="true" outlineLevel="0" collapsed="false">
      <c r="A58" s="2"/>
      <c r="B58" s="159"/>
      <c r="C58" s="190" t="n">
        <v>607</v>
      </c>
      <c r="D58" s="191" t="n">
        <v>200</v>
      </c>
      <c r="E58" s="192" t="n">
        <v>0</v>
      </c>
      <c r="F58" s="193" t="n">
        <v>-170.475</v>
      </c>
      <c r="G58" s="173"/>
      <c r="H58" s="174" t="e">
        <f aca="false">VLOOKUP(C58,#REF!,5,FALSE())</f>
        <v>#VALUE!</v>
      </c>
      <c r="I58" s="175" t="e">
        <f aca="false">G58-H58</f>
        <v>#VALUE!</v>
      </c>
    </row>
    <row r="59" customFormat="false" ht="12.75" hidden="false" customHeight="true" outlineLevel="0" collapsed="false">
      <c r="A59" s="2"/>
      <c r="B59" s="159"/>
      <c r="C59" s="190" t="n">
        <v>608</v>
      </c>
      <c r="D59" s="191" t="n">
        <v>580</v>
      </c>
      <c r="E59" s="192" t="n">
        <v>0</v>
      </c>
      <c r="F59" s="193" t="n">
        <v>211.4</v>
      </c>
      <c r="G59" s="173"/>
      <c r="H59" s="174" t="e">
        <f aca="false">VLOOKUP(C59,#REF!,5,FALSE())</f>
        <v>#VALUE!</v>
      </c>
      <c r="I59" s="175" t="e">
        <f aca="false">G59-H59</f>
        <v>#VALUE!</v>
      </c>
    </row>
    <row r="60" customFormat="false" ht="12.75" hidden="false" customHeight="true" outlineLevel="0" collapsed="false">
      <c r="A60" s="2"/>
      <c r="B60" s="159"/>
      <c r="C60" s="190" t="n">
        <v>609</v>
      </c>
      <c r="D60" s="191" t="n">
        <v>900</v>
      </c>
      <c r="E60" s="192" t="n">
        <v>0</v>
      </c>
      <c r="F60" s="193" t="n">
        <v>154.8</v>
      </c>
      <c r="G60" s="173"/>
      <c r="H60" s="174" t="e">
        <f aca="false">VLOOKUP(C60,#REF!,5,FALSE())</f>
        <v>#VALUE!</v>
      </c>
      <c r="I60" s="175" t="e">
        <f aca="false">G60-H60</f>
        <v>#VALUE!</v>
      </c>
    </row>
    <row r="61" customFormat="false" ht="12.75" hidden="false" customHeight="true" outlineLevel="0" collapsed="false">
      <c r="A61" s="2"/>
      <c r="B61" s="159"/>
      <c r="C61" s="190" t="n">
        <v>610</v>
      </c>
      <c r="D61" s="191" t="n">
        <v>1100</v>
      </c>
      <c r="E61" s="192" t="n">
        <v>0</v>
      </c>
      <c r="F61" s="193" t="n">
        <v>109.15</v>
      </c>
      <c r="G61" s="173"/>
      <c r="H61" s="174" t="e">
        <f aca="false">VLOOKUP(C61,#REF!,5,FALSE())</f>
        <v>#VALUE!</v>
      </c>
      <c r="I61" s="175" t="e">
        <f aca="false">G61-H61</f>
        <v>#VALUE!</v>
      </c>
    </row>
    <row r="62" customFormat="false" ht="12.75" hidden="false" customHeight="true" outlineLevel="0" collapsed="false">
      <c r="A62" s="2"/>
      <c r="B62" s="159"/>
      <c r="C62" s="190" t="n">
        <v>611</v>
      </c>
      <c r="D62" s="191" t="n">
        <v>1500</v>
      </c>
      <c r="E62" s="192" t="n">
        <v>0</v>
      </c>
      <c r="F62" s="193" t="n">
        <v>85.27</v>
      </c>
      <c r="G62" s="173"/>
      <c r="H62" s="174" t="e">
        <f aca="false">VLOOKUP(C62,#REF!,5,FALSE())</f>
        <v>#VALUE!</v>
      </c>
      <c r="I62" s="175" t="e">
        <f aca="false">G62-H62</f>
        <v>#VALUE!</v>
      </c>
    </row>
    <row r="63" customFormat="false" ht="12.75" hidden="false" customHeight="true" outlineLevel="0" collapsed="false">
      <c r="A63" s="2"/>
      <c r="B63" s="159"/>
      <c r="C63" s="190" t="n">
        <v>612</v>
      </c>
      <c r="D63" s="191" t="n">
        <v>1700</v>
      </c>
      <c r="E63" s="192" t="n">
        <v>0</v>
      </c>
      <c r="F63" s="193" t="n">
        <v>76.43</v>
      </c>
      <c r="G63" s="173"/>
      <c r="H63" s="174" t="e">
        <f aca="false">VLOOKUP(C63,#REF!,5,FALSE())</f>
        <v>#VALUE!</v>
      </c>
      <c r="I63" s="175" t="e">
        <f aca="false">G63-H63</f>
        <v>#VALUE!</v>
      </c>
    </row>
    <row r="64" customFormat="false" ht="12.75" hidden="false" customHeight="true" outlineLevel="0" collapsed="false">
      <c r="A64" s="2"/>
      <c r="B64" s="159"/>
      <c r="C64" s="190" t="n">
        <v>613</v>
      </c>
      <c r="D64" s="191" t="n">
        <v>1900</v>
      </c>
      <c r="E64" s="192" t="n">
        <v>0</v>
      </c>
      <c r="F64" s="193" t="n">
        <v>67</v>
      </c>
      <c r="G64" s="173"/>
      <c r="H64" s="174" t="e">
        <f aca="false">VLOOKUP(C64,#REF!,5,FALSE())</f>
        <v>#VALUE!</v>
      </c>
      <c r="I64" s="175" t="e">
        <f aca="false">G64-H64</f>
        <v>#VALUE!</v>
      </c>
    </row>
    <row r="65" customFormat="false" ht="12.75" hidden="false" customHeight="true" outlineLevel="0" collapsed="false">
      <c r="A65" s="2"/>
      <c r="B65" s="159"/>
      <c r="C65" s="190" t="n">
        <v>614</v>
      </c>
      <c r="D65" s="191" t="n">
        <v>2500</v>
      </c>
      <c r="E65" s="192" t="n">
        <v>0</v>
      </c>
      <c r="F65" s="193" t="n">
        <v>-82.77</v>
      </c>
      <c r="G65" s="173"/>
      <c r="H65" s="174" t="e">
        <f aca="false">VLOOKUP(C65,#REF!,5,FALSE())</f>
        <v>#VALUE!</v>
      </c>
      <c r="I65" s="175" t="e">
        <f aca="false">G65-H65</f>
        <v>#VALUE!</v>
      </c>
    </row>
    <row r="66" customFormat="false" ht="12.75" hidden="false" customHeight="true" outlineLevel="0" collapsed="false">
      <c r="A66" s="2"/>
      <c r="B66" s="159"/>
      <c r="C66" s="190" t="n">
        <v>615</v>
      </c>
      <c r="D66" s="191" t="n">
        <v>2700</v>
      </c>
      <c r="E66" s="192" t="n">
        <v>0</v>
      </c>
      <c r="F66" s="193" t="n">
        <v>-123.43</v>
      </c>
      <c r="G66" s="173"/>
      <c r="H66" s="174" t="e">
        <f aca="false">VLOOKUP(C66,#REF!,5,FALSE())</f>
        <v>#VALUE!</v>
      </c>
      <c r="I66" s="175" t="e">
        <f aca="false">G66-H66</f>
        <v>#VALUE!</v>
      </c>
    </row>
    <row r="67" customFormat="false" ht="12.75" hidden="false" customHeight="true" outlineLevel="0" collapsed="false">
      <c r="A67" s="2"/>
      <c r="B67" s="159"/>
      <c r="C67" s="190" t="n">
        <v>616</v>
      </c>
      <c r="D67" s="191" t="n">
        <v>2900</v>
      </c>
      <c r="E67" s="192" t="n">
        <v>0</v>
      </c>
      <c r="F67" s="193" t="n">
        <v>-118.44</v>
      </c>
      <c r="G67" s="173"/>
      <c r="H67" s="174" t="e">
        <f aca="false">VLOOKUP(C67,#REF!,5,FALSE())</f>
        <v>#VALUE!</v>
      </c>
      <c r="I67" s="175" t="e">
        <f aca="false">G67-H67</f>
        <v>#VALUE!</v>
      </c>
    </row>
    <row r="68" customFormat="false" ht="12.75" hidden="false" customHeight="true" outlineLevel="0" collapsed="false">
      <c r="A68" s="2"/>
      <c r="B68" s="159"/>
      <c r="C68" s="190" t="n">
        <v>617</v>
      </c>
      <c r="D68" s="191" t="n">
        <v>3100</v>
      </c>
      <c r="E68" s="192" t="n">
        <v>0</v>
      </c>
      <c r="F68" s="193" t="n">
        <v>-104.17</v>
      </c>
      <c r="G68" s="173"/>
      <c r="H68" s="174" t="e">
        <f aca="false">VLOOKUP(C68,#REF!,5,FALSE())</f>
        <v>#VALUE!</v>
      </c>
      <c r="I68" s="175" t="e">
        <f aca="false">G68-H68</f>
        <v>#VALUE!</v>
      </c>
    </row>
    <row r="69" customFormat="false" ht="12.75" hidden="false" customHeight="true" outlineLevel="0" collapsed="false">
      <c r="A69" s="2"/>
      <c r="B69" s="159"/>
      <c r="C69" s="190" t="n">
        <v>618</v>
      </c>
      <c r="D69" s="191" t="n">
        <v>3300</v>
      </c>
      <c r="E69" s="192" t="n">
        <v>0</v>
      </c>
      <c r="F69" s="193" t="n">
        <v>-89.08</v>
      </c>
      <c r="G69" s="173"/>
      <c r="H69" s="174" t="e">
        <f aca="false">VLOOKUP(C69,#REF!,5,FALSE())</f>
        <v>#VALUE!</v>
      </c>
      <c r="I69" s="175" t="e">
        <f aca="false">G69-H69</f>
        <v>#VALUE!</v>
      </c>
    </row>
    <row r="70" customFormat="false" ht="12.75" hidden="false" customHeight="true" outlineLevel="0" collapsed="false">
      <c r="A70" s="2"/>
      <c r="B70" s="159"/>
      <c r="C70" s="190" t="n">
        <v>619</v>
      </c>
      <c r="D70" s="191" t="n">
        <v>3500</v>
      </c>
      <c r="E70" s="192" t="n">
        <v>0</v>
      </c>
      <c r="F70" s="193" t="n">
        <v>-68.5</v>
      </c>
      <c r="G70" s="173"/>
      <c r="H70" s="174" t="e">
        <f aca="false">VLOOKUP(C70,#REF!,5,FALSE())</f>
        <v>#VALUE!</v>
      </c>
      <c r="I70" s="175" t="e">
        <f aca="false">G70-H70</f>
        <v>#VALUE!</v>
      </c>
    </row>
    <row r="71" customFormat="false" ht="12.75" hidden="false" customHeight="true" outlineLevel="0" collapsed="false">
      <c r="A71" s="2"/>
      <c r="B71" s="159"/>
      <c r="C71" s="194" t="n">
        <v>620</v>
      </c>
      <c r="D71" s="195" t="n">
        <v>3700</v>
      </c>
      <c r="E71" s="196" t="n">
        <v>0</v>
      </c>
      <c r="F71" s="197" t="n">
        <v>-31.07</v>
      </c>
      <c r="G71" s="198"/>
      <c r="H71" s="199" t="e">
        <f aca="false">VLOOKUP(C71,#REF!,5,FALSE())</f>
        <v>#VALUE!</v>
      </c>
      <c r="I71" s="200" t="e">
        <f aca="false">G71-H71</f>
        <v>#VALUE!</v>
      </c>
    </row>
    <row r="72" customFormat="false" ht="12.75" hidden="false" customHeight="true" outlineLevel="0" collapsed="false">
      <c r="A72" s="2"/>
      <c r="B72" s="201" t="s">
        <v>181</v>
      </c>
      <c r="C72" s="202" t="n">
        <v>24</v>
      </c>
      <c r="D72" s="203" t="n">
        <v>-793.1</v>
      </c>
      <c r="E72" s="204" t="n">
        <v>-200</v>
      </c>
      <c r="F72" s="205" t="n">
        <v>150</v>
      </c>
      <c r="G72" s="184"/>
      <c r="H72" s="185" t="e">
        <f aca="false">VLOOKUP(C72,#REF!,5,FALSE())</f>
        <v>#VALUE!</v>
      </c>
      <c r="I72" s="206" t="e">
        <f aca="false">G72-H72</f>
        <v>#VALUE!</v>
      </c>
    </row>
    <row r="73" customFormat="false" ht="12.75" hidden="false" customHeight="true" outlineLevel="0" collapsed="false">
      <c r="A73" s="2"/>
      <c r="B73" s="201"/>
      <c r="C73" s="190" t="n">
        <v>25</v>
      </c>
      <c r="D73" s="191" t="n">
        <v>-758.35</v>
      </c>
      <c r="E73" s="192" t="n">
        <v>-400</v>
      </c>
      <c r="F73" s="193" t="n">
        <v>150</v>
      </c>
      <c r="G73" s="173"/>
      <c r="H73" s="174" t="e">
        <f aca="false">VLOOKUP(C73,#REF!,5,FALSE())</f>
        <v>#VALUE!</v>
      </c>
      <c r="I73" s="175" t="e">
        <f aca="false">G73-H73</f>
        <v>#VALUE!</v>
      </c>
    </row>
    <row r="74" customFormat="false" ht="12.75" hidden="false" customHeight="true" outlineLevel="0" collapsed="false">
      <c r="A74" s="2"/>
      <c r="B74" s="201"/>
      <c r="C74" s="190" t="n">
        <v>26</v>
      </c>
      <c r="D74" s="191" t="n">
        <v>-671.63</v>
      </c>
      <c r="E74" s="192" t="n">
        <v>-600</v>
      </c>
      <c r="F74" s="193" t="n">
        <v>150</v>
      </c>
      <c r="G74" s="173"/>
      <c r="H74" s="174" t="e">
        <f aca="false">VLOOKUP(C74,#REF!,5,FALSE())</f>
        <v>#VALUE!</v>
      </c>
      <c r="I74" s="175" t="e">
        <f aca="false">G74-H74</f>
        <v>#VALUE!</v>
      </c>
    </row>
    <row r="75" customFormat="false" ht="12.75" hidden="false" customHeight="true" outlineLevel="0" collapsed="false">
      <c r="A75" s="2"/>
      <c r="B75" s="201"/>
      <c r="C75" s="190" t="n">
        <v>202</v>
      </c>
      <c r="D75" s="191" t="n">
        <v>-592</v>
      </c>
      <c r="E75" s="192" t="n">
        <v>-730.5</v>
      </c>
      <c r="F75" s="193" t="n">
        <v>150</v>
      </c>
      <c r="G75" s="173"/>
      <c r="H75" s="174" t="e">
        <f aca="false">VLOOKUP(C75,#REF!,5,FALSE())</f>
        <v>#VALUE!</v>
      </c>
      <c r="I75" s="175" t="e">
        <f aca="false">G75-H75</f>
        <v>#VALUE!</v>
      </c>
    </row>
    <row r="76" customFormat="false" ht="12.75" hidden="false" customHeight="true" outlineLevel="0" collapsed="false">
      <c r="A76" s="2"/>
      <c r="B76" s="201"/>
      <c r="C76" s="190" t="n">
        <v>27</v>
      </c>
      <c r="D76" s="191" t="n">
        <v>-526.25</v>
      </c>
      <c r="E76" s="192" t="n">
        <v>-800</v>
      </c>
      <c r="F76" s="193" t="n">
        <v>150</v>
      </c>
      <c r="G76" s="173"/>
      <c r="H76" s="174" t="e">
        <f aca="false">VLOOKUP(C76,#REF!,5,FALSE())</f>
        <v>#VALUE!</v>
      </c>
      <c r="I76" s="175" t="e">
        <f aca="false">G76-H76</f>
        <v>#VALUE!</v>
      </c>
    </row>
    <row r="77" customFormat="false" ht="12.75" hidden="false" customHeight="true" outlineLevel="0" collapsed="false">
      <c r="A77" s="2"/>
      <c r="B77" s="201"/>
      <c r="C77" s="190" t="n">
        <v>196</v>
      </c>
      <c r="D77" s="191" t="n">
        <v>-453</v>
      </c>
      <c r="E77" s="192" t="n">
        <v>-843.4</v>
      </c>
      <c r="F77" s="193" t="n">
        <v>150</v>
      </c>
      <c r="G77" s="173"/>
      <c r="H77" s="174" t="e">
        <f aca="false">VLOOKUP(C77,#REF!,5,FALSE())</f>
        <v>#VALUE!</v>
      </c>
      <c r="I77" s="175" t="e">
        <f aca="false">G77-H77</f>
        <v>#VALUE!</v>
      </c>
    </row>
    <row r="78" customFormat="false" ht="12.75" hidden="false" customHeight="true" outlineLevel="0" collapsed="false">
      <c r="A78" s="2"/>
      <c r="B78" s="201"/>
      <c r="C78" s="190" t="n">
        <v>203</v>
      </c>
      <c r="D78" s="191" t="n">
        <v>-394</v>
      </c>
      <c r="E78" s="192" t="n">
        <v>-859.9</v>
      </c>
      <c r="F78" s="193" t="n">
        <v>150</v>
      </c>
      <c r="G78" s="173"/>
      <c r="H78" s="174" t="e">
        <f aca="false">VLOOKUP(C78,#REF!,5,FALSE())</f>
        <v>#VALUE!</v>
      </c>
      <c r="I78" s="175" t="e">
        <f aca="false">G78-H78</f>
        <v>#VALUE!</v>
      </c>
    </row>
    <row r="79" customFormat="false" ht="12.75" hidden="false" customHeight="true" outlineLevel="0" collapsed="false">
      <c r="A79" s="2"/>
      <c r="B79" s="201"/>
      <c r="C79" s="190" t="n">
        <v>197</v>
      </c>
      <c r="D79" s="191" t="n">
        <v>375</v>
      </c>
      <c r="E79" s="192" t="n">
        <v>-887.8</v>
      </c>
      <c r="F79" s="193" t="n">
        <v>150</v>
      </c>
      <c r="G79" s="173"/>
      <c r="H79" s="174" t="e">
        <f aca="false">VLOOKUP(C79,#REF!,5,FALSE())</f>
        <v>#VALUE!</v>
      </c>
      <c r="I79" s="175" t="e">
        <f aca="false">G79-H79</f>
        <v>#VALUE!</v>
      </c>
    </row>
    <row r="80" customFormat="false" ht="12.75" hidden="false" customHeight="true" outlineLevel="0" collapsed="false">
      <c r="A80" s="2"/>
      <c r="B80" s="201"/>
      <c r="C80" s="190" t="n">
        <v>28</v>
      </c>
      <c r="D80" s="191" t="n">
        <v>500</v>
      </c>
      <c r="E80" s="192" t="n">
        <v>-880.55</v>
      </c>
      <c r="F80" s="193" t="n">
        <v>150</v>
      </c>
      <c r="G80" s="173"/>
      <c r="H80" s="174" t="e">
        <f aca="false">VLOOKUP(C80,#REF!,5,FALSE())</f>
        <v>#VALUE!</v>
      </c>
      <c r="I80" s="175" t="e">
        <f aca="false">G80-H80</f>
        <v>#VALUE!</v>
      </c>
    </row>
    <row r="81" customFormat="false" ht="12.75" hidden="false" customHeight="true" outlineLevel="0" collapsed="false">
      <c r="A81" s="2"/>
      <c r="B81" s="201"/>
      <c r="C81" s="190" t="n">
        <v>29</v>
      </c>
      <c r="D81" s="191" t="n">
        <v>700</v>
      </c>
      <c r="E81" s="192" t="n">
        <v>-883.25</v>
      </c>
      <c r="F81" s="193" t="n">
        <v>150</v>
      </c>
      <c r="G81" s="173"/>
      <c r="H81" s="174" t="e">
        <f aca="false">VLOOKUP(C81,#REF!,5,FALSE())</f>
        <v>#VALUE!</v>
      </c>
      <c r="I81" s="175" t="e">
        <f aca="false">G81-H81</f>
        <v>#VALUE!</v>
      </c>
    </row>
    <row r="82" customFormat="false" ht="12.75" hidden="false" customHeight="true" outlineLevel="0" collapsed="false">
      <c r="A82" s="2"/>
      <c r="B82" s="201"/>
      <c r="C82" s="190" t="n">
        <v>30</v>
      </c>
      <c r="D82" s="191" t="n">
        <v>900</v>
      </c>
      <c r="E82" s="192" t="n">
        <v>-889.2</v>
      </c>
      <c r="F82" s="193" t="n">
        <v>150</v>
      </c>
      <c r="G82" s="173"/>
      <c r="H82" s="174" t="e">
        <f aca="false">VLOOKUP(C82,#REF!,5,FALSE())</f>
        <v>#VALUE!</v>
      </c>
      <c r="I82" s="175" t="e">
        <f aca="false">G82-H82</f>
        <v>#VALUE!</v>
      </c>
    </row>
    <row r="83" customFormat="false" ht="12.75" hidden="false" customHeight="true" outlineLevel="0" collapsed="false">
      <c r="A83" s="2"/>
      <c r="B83" s="201"/>
      <c r="C83" s="190" t="n">
        <v>31</v>
      </c>
      <c r="D83" s="191" t="n">
        <v>1100</v>
      </c>
      <c r="E83" s="192" t="n">
        <v>-893.23</v>
      </c>
      <c r="F83" s="193" t="n">
        <v>150</v>
      </c>
      <c r="G83" s="173"/>
      <c r="H83" s="174" t="e">
        <f aca="false">VLOOKUP(C83,#REF!,5,FALSE())</f>
        <v>#VALUE!</v>
      </c>
      <c r="I83" s="175" t="e">
        <f aca="false">G83-H83</f>
        <v>#VALUE!</v>
      </c>
    </row>
    <row r="84" customFormat="false" ht="12.75" hidden="false" customHeight="true" outlineLevel="0" collapsed="false">
      <c r="A84" s="2"/>
      <c r="B84" s="201"/>
      <c r="C84" s="190" t="n">
        <v>32</v>
      </c>
      <c r="D84" s="191" t="n">
        <v>1300</v>
      </c>
      <c r="E84" s="192" t="n">
        <v>-895.28</v>
      </c>
      <c r="F84" s="193" t="n">
        <v>150</v>
      </c>
      <c r="G84" s="173"/>
      <c r="H84" s="174" t="e">
        <f aca="false">VLOOKUP(C84,#REF!,5,FALSE())</f>
        <v>#VALUE!</v>
      </c>
      <c r="I84" s="175" t="e">
        <f aca="false">G84-H84</f>
        <v>#VALUE!</v>
      </c>
    </row>
    <row r="85" customFormat="false" ht="12.75" hidden="false" customHeight="true" outlineLevel="0" collapsed="false">
      <c r="A85" s="2"/>
      <c r="B85" s="201"/>
      <c r="C85" s="190" t="n">
        <v>33</v>
      </c>
      <c r="D85" s="191" t="n">
        <v>1500</v>
      </c>
      <c r="E85" s="192" t="n">
        <v>-895.4</v>
      </c>
      <c r="F85" s="193" t="n">
        <v>150</v>
      </c>
      <c r="G85" s="173"/>
      <c r="H85" s="174" t="e">
        <f aca="false">VLOOKUP(C85,#REF!,5,FALSE())</f>
        <v>#VALUE!</v>
      </c>
      <c r="I85" s="175" t="e">
        <f aca="false">G85-H85</f>
        <v>#VALUE!</v>
      </c>
    </row>
    <row r="86" customFormat="false" ht="12.75" hidden="false" customHeight="true" outlineLevel="0" collapsed="false">
      <c r="A86" s="2"/>
      <c r="B86" s="201"/>
      <c r="C86" s="190" t="n">
        <v>34</v>
      </c>
      <c r="D86" s="191" t="n">
        <v>1700</v>
      </c>
      <c r="E86" s="192" t="n">
        <v>-893.55</v>
      </c>
      <c r="F86" s="193" t="n">
        <v>150</v>
      </c>
      <c r="G86" s="173"/>
      <c r="H86" s="174" t="e">
        <f aca="false">VLOOKUP(C86,#REF!,5,FALSE())</f>
        <v>#VALUE!</v>
      </c>
      <c r="I86" s="175" t="e">
        <f aca="false">G86-H86</f>
        <v>#VALUE!</v>
      </c>
    </row>
    <row r="87" customFormat="false" ht="12.75" hidden="false" customHeight="true" outlineLevel="0" collapsed="false">
      <c r="A87" s="2"/>
      <c r="B87" s="201"/>
      <c r="C87" s="190" t="n">
        <v>35</v>
      </c>
      <c r="D87" s="191" t="n">
        <v>1900</v>
      </c>
      <c r="E87" s="192" t="n">
        <v>-889.7</v>
      </c>
      <c r="F87" s="193" t="n">
        <v>150</v>
      </c>
      <c r="G87" s="173"/>
      <c r="H87" s="174" t="e">
        <f aca="false">VLOOKUP(C87,#REF!,5,FALSE())</f>
        <v>#VALUE!</v>
      </c>
      <c r="I87" s="175" t="e">
        <f aca="false">G87-H87</f>
        <v>#VALUE!</v>
      </c>
    </row>
    <row r="88" customFormat="false" ht="12.75" hidden="false" customHeight="true" outlineLevel="0" collapsed="false">
      <c r="A88" s="2"/>
      <c r="B88" s="201"/>
      <c r="C88" s="190" t="n">
        <v>36</v>
      </c>
      <c r="D88" s="191" t="n">
        <v>2100</v>
      </c>
      <c r="E88" s="192" t="n">
        <v>-883.78</v>
      </c>
      <c r="F88" s="193" t="n">
        <v>150</v>
      </c>
      <c r="G88" s="173"/>
      <c r="H88" s="174" t="e">
        <f aca="false">VLOOKUP(C88,#REF!,5,FALSE())</f>
        <v>#VALUE!</v>
      </c>
      <c r="I88" s="175" t="e">
        <f aca="false">G88-H88</f>
        <v>#VALUE!</v>
      </c>
    </row>
    <row r="89" customFormat="false" ht="12.75" hidden="false" customHeight="true" outlineLevel="0" collapsed="false">
      <c r="A89" s="2"/>
      <c r="B89" s="201"/>
      <c r="C89" s="190" t="n">
        <v>37</v>
      </c>
      <c r="D89" s="191" t="n">
        <v>2300</v>
      </c>
      <c r="E89" s="192" t="n">
        <v>-883.98</v>
      </c>
      <c r="F89" s="193" t="n">
        <v>150</v>
      </c>
      <c r="G89" s="173"/>
      <c r="H89" s="174" t="e">
        <f aca="false">VLOOKUP(C89,#REF!,5,FALSE())</f>
        <v>#VALUE!</v>
      </c>
      <c r="I89" s="175" t="e">
        <f aca="false">G89-H89</f>
        <v>#VALUE!</v>
      </c>
    </row>
    <row r="90" customFormat="false" ht="12.75" hidden="false" customHeight="true" outlineLevel="0" collapsed="false">
      <c r="A90" s="2"/>
      <c r="B90" s="201"/>
      <c r="C90" s="190" t="n">
        <v>204</v>
      </c>
      <c r="D90" s="191" t="n">
        <v>2400</v>
      </c>
      <c r="E90" s="192" t="n">
        <v>-888.9</v>
      </c>
      <c r="F90" s="193" t="n">
        <v>150</v>
      </c>
      <c r="G90" s="173"/>
      <c r="H90" s="174" t="e">
        <f aca="false">VLOOKUP(C90,#REF!,5,FALSE())</f>
        <v>#VALUE!</v>
      </c>
      <c r="I90" s="175" t="e">
        <f aca="false">G90-H90</f>
        <v>#VALUE!</v>
      </c>
    </row>
    <row r="91" customFormat="false" ht="12.75" hidden="false" customHeight="true" outlineLevel="0" collapsed="false">
      <c r="A91" s="2"/>
      <c r="B91" s="201"/>
      <c r="C91" s="190" t="n">
        <v>205</v>
      </c>
      <c r="D91" s="191" t="n">
        <v>3208</v>
      </c>
      <c r="E91" s="192" t="n">
        <v>-855.5</v>
      </c>
      <c r="F91" s="193" t="n">
        <v>150</v>
      </c>
      <c r="G91" s="173"/>
      <c r="H91" s="174" t="e">
        <f aca="false">VLOOKUP(C91,#REF!,5,FALSE())</f>
        <v>#VALUE!</v>
      </c>
      <c r="I91" s="175" t="e">
        <f aca="false">G91-H91</f>
        <v>#VALUE!</v>
      </c>
    </row>
    <row r="92" customFormat="false" ht="12.75" hidden="false" customHeight="true" outlineLevel="0" collapsed="false">
      <c r="A92" s="2"/>
      <c r="B92" s="201"/>
      <c r="C92" s="190" t="n">
        <v>38</v>
      </c>
      <c r="D92" s="191" t="n">
        <v>3300</v>
      </c>
      <c r="E92" s="192" t="n">
        <v>-830.78</v>
      </c>
      <c r="F92" s="193" t="n">
        <v>150</v>
      </c>
      <c r="G92" s="173"/>
      <c r="H92" s="174" t="e">
        <f aca="false">VLOOKUP(C92,#REF!,5,FALSE())</f>
        <v>#VALUE!</v>
      </c>
      <c r="I92" s="175" t="e">
        <f aca="false">G92-H92</f>
        <v>#VALUE!</v>
      </c>
    </row>
    <row r="93" customFormat="false" ht="12.75" hidden="false" customHeight="true" outlineLevel="0" collapsed="false">
      <c r="A93" s="2"/>
      <c r="B93" s="201"/>
      <c r="C93" s="190" t="n">
        <v>39</v>
      </c>
      <c r="D93" s="191" t="n">
        <v>3500</v>
      </c>
      <c r="E93" s="192" t="n">
        <v>-777.73</v>
      </c>
      <c r="F93" s="193" t="n">
        <v>150</v>
      </c>
      <c r="G93" s="173"/>
      <c r="H93" s="174" t="e">
        <f aca="false">VLOOKUP(C93,#REF!,5,FALSE())</f>
        <v>#VALUE!</v>
      </c>
      <c r="I93" s="175" t="e">
        <f aca="false">G93-H93</f>
        <v>#VALUE!</v>
      </c>
    </row>
    <row r="94" customFormat="false" ht="12.75" hidden="false" customHeight="true" outlineLevel="0" collapsed="false">
      <c r="A94" s="2"/>
      <c r="B94" s="201"/>
      <c r="C94" s="190" t="n">
        <v>198</v>
      </c>
      <c r="D94" s="191" t="n">
        <v>3588</v>
      </c>
      <c r="E94" s="192" t="n">
        <v>-748</v>
      </c>
      <c r="F94" s="193" t="n">
        <v>150</v>
      </c>
      <c r="G94" s="173"/>
      <c r="H94" s="174" t="e">
        <f aca="false">VLOOKUP(C94,#REF!,5,FALSE())</f>
        <v>#VALUE!</v>
      </c>
      <c r="I94" s="175" t="e">
        <f aca="false">G94-H94</f>
        <v>#VALUE!</v>
      </c>
    </row>
    <row r="95" customFormat="false" ht="12.75" hidden="false" customHeight="true" outlineLevel="0" collapsed="false">
      <c r="A95" s="2"/>
      <c r="B95" s="201"/>
      <c r="C95" s="190" t="n">
        <v>40</v>
      </c>
      <c r="D95" s="191" t="n">
        <v>3656.8</v>
      </c>
      <c r="E95" s="192" t="n">
        <v>-700</v>
      </c>
      <c r="F95" s="193" t="n">
        <v>150</v>
      </c>
      <c r="G95" s="173"/>
      <c r="H95" s="174" t="e">
        <f aca="false">VLOOKUP(C95,#REF!,5,FALSE())</f>
        <v>#VALUE!</v>
      </c>
      <c r="I95" s="175" t="e">
        <f aca="false">G95-H95</f>
        <v>#VALUE!</v>
      </c>
    </row>
    <row r="96" customFormat="false" ht="12.75" hidden="false" customHeight="true" outlineLevel="0" collapsed="false">
      <c r="A96" s="2"/>
      <c r="B96" s="201"/>
      <c r="C96" s="190" t="n">
        <v>41</v>
      </c>
      <c r="D96" s="191" t="n">
        <v>3712.5</v>
      </c>
      <c r="E96" s="192" t="n">
        <v>-600</v>
      </c>
      <c r="F96" s="193" t="n">
        <v>150</v>
      </c>
      <c r="G96" s="173"/>
      <c r="H96" s="174" t="e">
        <f aca="false">VLOOKUP(C96,#REF!,5,FALSE())</f>
        <v>#VALUE!</v>
      </c>
      <c r="I96" s="175" t="e">
        <f aca="false">G96-H96</f>
        <v>#VALUE!</v>
      </c>
    </row>
    <row r="97" customFormat="false" ht="12.75" hidden="false" customHeight="true" outlineLevel="0" collapsed="false">
      <c r="A97" s="2"/>
      <c r="B97" s="201"/>
      <c r="C97" s="190" t="n">
        <v>42</v>
      </c>
      <c r="D97" s="191" t="n">
        <v>3765.4</v>
      </c>
      <c r="E97" s="192" t="n">
        <v>-400</v>
      </c>
      <c r="F97" s="193" t="n">
        <v>150</v>
      </c>
      <c r="G97" s="173"/>
      <c r="H97" s="174" t="e">
        <f aca="false">VLOOKUP(C97,#REF!,5,FALSE())</f>
        <v>#VALUE!</v>
      </c>
      <c r="I97" s="175" t="e">
        <f aca="false">G97-H97</f>
        <v>#VALUE!</v>
      </c>
    </row>
    <row r="98" customFormat="false" ht="12.75" hidden="false" customHeight="true" outlineLevel="0" collapsed="false">
      <c r="A98" s="2"/>
      <c r="B98" s="201"/>
      <c r="C98" s="194" t="n">
        <v>43</v>
      </c>
      <c r="D98" s="195" t="n">
        <v>3791.3</v>
      </c>
      <c r="E98" s="196" t="n">
        <v>-200</v>
      </c>
      <c r="F98" s="197" t="n">
        <v>150</v>
      </c>
      <c r="G98" s="198"/>
      <c r="H98" s="199" t="e">
        <f aca="false">VLOOKUP(C98,#REF!,5,FALSE())</f>
        <v>#VALUE!</v>
      </c>
      <c r="I98" s="200" t="e">
        <f aca="false">G98-H98</f>
        <v>#VALUE!</v>
      </c>
    </row>
    <row r="99" customFormat="false" ht="12.75" hidden="false" customHeight="true" outlineLevel="0" collapsed="false">
      <c r="A99" s="2"/>
      <c r="B99" s="207" t="s">
        <v>182</v>
      </c>
      <c r="C99" s="202" t="n">
        <v>551</v>
      </c>
      <c r="D99" s="203" t="n">
        <v>-343.04</v>
      </c>
      <c r="E99" s="204" t="n">
        <v>-600</v>
      </c>
      <c r="F99" s="205" t="n">
        <v>-115</v>
      </c>
      <c r="G99" s="184"/>
      <c r="H99" s="185" t="e">
        <f aca="false">VLOOKUP(C99,#REF!,5,FALSE())</f>
        <v>#VALUE!</v>
      </c>
      <c r="I99" s="206" t="e">
        <f aca="false">G99-H99</f>
        <v>#VALUE!</v>
      </c>
    </row>
    <row r="100" customFormat="false" ht="12.75" hidden="false" customHeight="true" outlineLevel="0" collapsed="false">
      <c r="A100" s="2"/>
      <c r="B100" s="207"/>
      <c r="C100" s="190" t="n">
        <v>567</v>
      </c>
      <c r="D100" s="191" t="n">
        <v>-339.45</v>
      </c>
      <c r="E100" s="192" t="n">
        <v>-600</v>
      </c>
      <c r="F100" s="193" t="n">
        <v>30.23</v>
      </c>
      <c r="G100" s="173"/>
      <c r="H100" s="174" t="e">
        <f aca="false">VLOOKUP(C100,#REF!,5,FALSE())</f>
        <v>#VALUE!</v>
      </c>
      <c r="I100" s="175" t="e">
        <f aca="false">G100-H100</f>
        <v>#VALUE!</v>
      </c>
    </row>
    <row r="101" customFormat="false" ht="12.75" hidden="false" customHeight="true" outlineLevel="0" collapsed="false">
      <c r="A101" s="2"/>
      <c r="B101" s="207"/>
      <c r="C101" s="190" t="n">
        <v>568</v>
      </c>
      <c r="D101" s="191" t="n">
        <v>-318.19</v>
      </c>
      <c r="E101" s="192" t="n">
        <v>-600</v>
      </c>
      <c r="F101" s="193" t="n">
        <v>173.58</v>
      </c>
      <c r="G101" s="173"/>
      <c r="H101" s="174" t="e">
        <f aca="false">VLOOKUP(C101,#REF!,5,FALSE())</f>
        <v>#VALUE!</v>
      </c>
      <c r="I101" s="175" t="e">
        <f aca="false">G101-H101</f>
        <v>#VALUE!</v>
      </c>
    </row>
    <row r="102" customFormat="false" ht="12.75" hidden="false" customHeight="true" outlineLevel="0" collapsed="false">
      <c r="A102" s="2"/>
      <c r="B102" s="207"/>
      <c r="C102" s="190" t="n">
        <v>569</v>
      </c>
      <c r="D102" s="191" t="n">
        <v>-245.15</v>
      </c>
      <c r="E102" s="192" t="n">
        <v>-600</v>
      </c>
      <c r="F102" s="193" t="n">
        <v>298.08</v>
      </c>
      <c r="G102" s="173"/>
      <c r="H102" s="174" t="e">
        <f aca="false">VLOOKUP(C102,#REF!,5,FALSE())</f>
        <v>#VALUE!</v>
      </c>
      <c r="I102" s="175" t="e">
        <f aca="false">G102-H102</f>
        <v>#VALUE!</v>
      </c>
    </row>
    <row r="103" customFormat="false" ht="12.75" hidden="false" customHeight="true" outlineLevel="0" collapsed="false">
      <c r="A103" s="2"/>
      <c r="B103" s="207"/>
      <c r="C103" s="190" t="n">
        <v>570</v>
      </c>
      <c r="D103" s="191" t="n">
        <v>-127.79</v>
      </c>
      <c r="E103" s="192" t="n">
        <v>-600</v>
      </c>
      <c r="F103" s="193" t="n">
        <v>381.66</v>
      </c>
      <c r="G103" s="173"/>
      <c r="H103" s="174" t="e">
        <f aca="false">VLOOKUP(C103,#REF!,5,FALSE())</f>
        <v>#VALUE!</v>
      </c>
      <c r="I103" s="175" t="e">
        <f aca="false">G103-H103</f>
        <v>#VALUE!</v>
      </c>
    </row>
    <row r="104" customFormat="false" ht="12.75" hidden="false" customHeight="true" outlineLevel="0" collapsed="false">
      <c r="A104" s="2"/>
      <c r="B104" s="207"/>
      <c r="C104" s="190" t="n">
        <v>571</v>
      </c>
      <c r="D104" s="191" t="n">
        <v>13.6</v>
      </c>
      <c r="E104" s="192" t="n">
        <v>-600</v>
      </c>
      <c r="F104" s="193" t="n">
        <v>409.76</v>
      </c>
      <c r="G104" s="173"/>
      <c r="H104" s="174" t="e">
        <f aca="false">VLOOKUP(C104,#REF!,5,FALSE())</f>
        <v>#VALUE!</v>
      </c>
      <c r="I104" s="175" t="e">
        <f aca="false">G104-H104</f>
        <v>#VALUE!</v>
      </c>
    </row>
    <row r="105" customFormat="false" ht="12.75" hidden="false" customHeight="true" outlineLevel="0" collapsed="false">
      <c r="A105" s="2"/>
      <c r="B105" s="207"/>
      <c r="C105" s="190" t="n">
        <v>572</v>
      </c>
      <c r="D105" s="191" t="n">
        <v>154.19</v>
      </c>
      <c r="E105" s="192" t="n">
        <v>-600</v>
      </c>
      <c r="F105" s="193" t="n">
        <v>378.11</v>
      </c>
      <c r="G105" s="173"/>
      <c r="H105" s="174" t="e">
        <f aca="false">VLOOKUP(C105,#REF!,5,FALSE())</f>
        <v>#VALUE!</v>
      </c>
      <c r="I105" s="175" t="e">
        <f aca="false">G105-H105</f>
        <v>#VALUE!</v>
      </c>
    </row>
    <row r="106" customFormat="false" ht="12.75" hidden="false" customHeight="true" outlineLevel="0" collapsed="false">
      <c r="A106" s="2"/>
      <c r="B106" s="207"/>
      <c r="C106" s="190" t="n">
        <v>573</v>
      </c>
      <c r="D106" s="191" t="n">
        <v>270.12</v>
      </c>
      <c r="E106" s="192" t="n">
        <v>-600</v>
      </c>
      <c r="F106" s="193" t="n">
        <v>291.95</v>
      </c>
      <c r="G106" s="173"/>
      <c r="H106" s="174" t="e">
        <f aca="false">VLOOKUP(C106,#REF!,5,FALSE())</f>
        <v>#VALUE!</v>
      </c>
      <c r="I106" s="175" t="e">
        <f aca="false">G106-H106</f>
        <v>#VALUE!</v>
      </c>
    </row>
    <row r="107" customFormat="false" ht="12.75" hidden="false" customHeight="true" outlineLevel="0" collapsed="false">
      <c r="A107" s="2"/>
      <c r="B107" s="207"/>
      <c r="C107" s="190" t="n">
        <v>574</v>
      </c>
      <c r="D107" s="191" t="n">
        <v>351.02</v>
      </c>
      <c r="E107" s="192" t="n">
        <v>-600</v>
      </c>
      <c r="F107" s="193" t="n">
        <v>171.73</v>
      </c>
      <c r="G107" s="173"/>
      <c r="H107" s="174" t="e">
        <f aca="false">VLOOKUP(C107,#REF!,5,FALSE())</f>
        <v>#VALUE!</v>
      </c>
      <c r="I107" s="175" t="e">
        <f aca="false">G107-H107</f>
        <v>#VALUE!</v>
      </c>
    </row>
    <row r="108" customFormat="false" ht="12.75" hidden="false" customHeight="true" outlineLevel="0" collapsed="false">
      <c r="A108" s="2"/>
      <c r="B108" s="207"/>
      <c r="C108" s="190" t="n">
        <v>575</v>
      </c>
      <c r="D108" s="191" t="n">
        <v>379.08</v>
      </c>
      <c r="E108" s="192" t="n">
        <v>-600</v>
      </c>
      <c r="F108" s="193" t="n">
        <v>30.12</v>
      </c>
      <c r="G108" s="173"/>
      <c r="H108" s="174" t="e">
        <f aca="false">VLOOKUP(C108,#REF!,5,FALSE())</f>
        <v>#VALUE!</v>
      </c>
      <c r="I108" s="175" t="e">
        <f aca="false">G108-H108</f>
        <v>#VALUE!</v>
      </c>
    </row>
    <row r="109" customFormat="false" ht="12.75" hidden="false" customHeight="true" outlineLevel="0" collapsed="false">
      <c r="A109" s="2"/>
      <c r="B109" s="207"/>
      <c r="C109" s="194" t="n">
        <v>556</v>
      </c>
      <c r="D109" s="195" t="n">
        <v>384.79</v>
      </c>
      <c r="E109" s="196" t="n">
        <v>-600</v>
      </c>
      <c r="F109" s="197" t="n">
        <v>-115</v>
      </c>
      <c r="G109" s="198"/>
      <c r="H109" s="199" t="e">
        <f aca="false">VLOOKUP(C109,#REF!,5,FALSE())</f>
        <v>#VALUE!</v>
      </c>
      <c r="I109" s="200" t="e">
        <f aca="false">G109-H109</f>
        <v>#VALUE!</v>
      </c>
    </row>
    <row r="110" customFormat="false" ht="12.75" hidden="false" customHeight="true" outlineLevel="0" collapsed="false">
      <c r="A110" s="2"/>
      <c r="B110" s="207" t="s">
        <v>183</v>
      </c>
      <c r="C110" s="202" t="n">
        <v>550</v>
      </c>
      <c r="D110" s="203" t="n">
        <v>-380.29</v>
      </c>
      <c r="E110" s="204" t="n">
        <v>-750</v>
      </c>
      <c r="F110" s="205" t="n">
        <v>-115</v>
      </c>
      <c r="G110" s="184"/>
      <c r="H110" s="185" t="e">
        <f aca="false">VLOOKUP(C110,#REF!,5,FALSE())</f>
        <v>#VALUE!</v>
      </c>
      <c r="I110" s="206" t="e">
        <f aca="false">G110-H110</f>
        <v>#VALUE!</v>
      </c>
    </row>
    <row r="111" customFormat="false" ht="12.75" hidden="false" customHeight="true" outlineLevel="0" collapsed="false">
      <c r="A111" s="2"/>
      <c r="B111" s="207"/>
      <c r="C111" s="190" t="n">
        <v>558</v>
      </c>
      <c r="D111" s="191" t="n">
        <v>-377.67</v>
      </c>
      <c r="E111" s="192" t="n">
        <v>-750</v>
      </c>
      <c r="F111" s="193" t="n">
        <v>43.15</v>
      </c>
      <c r="G111" s="173"/>
      <c r="H111" s="174" t="e">
        <f aca="false">VLOOKUP(C111,#REF!,5,FALSE())</f>
        <v>#VALUE!</v>
      </c>
      <c r="I111" s="175" t="e">
        <f aca="false">G111-H111</f>
        <v>#VALUE!</v>
      </c>
    </row>
    <row r="112" customFormat="false" ht="12.75" hidden="false" customHeight="true" outlineLevel="0" collapsed="false">
      <c r="A112" s="2"/>
      <c r="B112" s="207"/>
      <c r="C112" s="190" t="n">
        <v>559</v>
      </c>
      <c r="D112" s="191" t="n">
        <v>-356.53</v>
      </c>
      <c r="E112" s="192" t="n">
        <v>-750</v>
      </c>
      <c r="F112" s="193" t="n">
        <v>199</v>
      </c>
      <c r="G112" s="173"/>
      <c r="H112" s="174" t="e">
        <f aca="false">VLOOKUP(C112,#REF!,5,FALSE())</f>
        <v>#VALUE!</v>
      </c>
      <c r="I112" s="175" t="e">
        <f aca="false">G112-H112</f>
        <v>#VALUE!</v>
      </c>
    </row>
    <row r="113" customFormat="false" ht="12.75" hidden="false" customHeight="true" outlineLevel="0" collapsed="false">
      <c r="A113" s="2"/>
      <c r="B113" s="207"/>
      <c r="C113" s="190" t="n">
        <v>560</v>
      </c>
      <c r="D113" s="191" t="n">
        <v>-272.73</v>
      </c>
      <c r="E113" s="192" t="n">
        <v>-750</v>
      </c>
      <c r="F113" s="193" t="n">
        <v>331.81</v>
      </c>
      <c r="G113" s="173"/>
      <c r="H113" s="174" t="e">
        <f aca="false">VLOOKUP(C113,#REF!,5,FALSE())</f>
        <v>#VALUE!</v>
      </c>
      <c r="I113" s="175" t="e">
        <f aca="false">G113-H113</f>
        <v>#VALUE!</v>
      </c>
    </row>
    <row r="114" customFormat="false" ht="12.75" hidden="false" customHeight="true" outlineLevel="0" collapsed="false">
      <c r="A114" s="2"/>
      <c r="B114" s="207"/>
      <c r="C114" s="190" t="n">
        <v>561</v>
      </c>
      <c r="D114" s="191" t="n">
        <v>-143.05</v>
      </c>
      <c r="E114" s="192" t="n">
        <v>-750</v>
      </c>
      <c r="F114" s="193" t="n">
        <v>420.67</v>
      </c>
      <c r="G114" s="173"/>
      <c r="H114" s="174" t="e">
        <f aca="false">VLOOKUP(C114,#REF!,5,FALSE())</f>
        <v>#VALUE!</v>
      </c>
      <c r="I114" s="175" t="e">
        <f aca="false">G114-H114</f>
        <v>#VALUE!</v>
      </c>
    </row>
    <row r="115" customFormat="false" ht="12.75" hidden="false" customHeight="true" outlineLevel="0" collapsed="false">
      <c r="A115" s="2"/>
      <c r="B115" s="207"/>
      <c r="C115" s="190" t="n">
        <v>562</v>
      </c>
      <c r="D115" s="191" t="n">
        <v>10.68</v>
      </c>
      <c r="E115" s="192" t="n">
        <v>-750</v>
      </c>
      <c r="F115" s="193" t="n">
        <v>452.54</v>
      </c>
      <c r="G115" s="173"/>
      <c r="H115" s="174" t="e">
        <f aca="false">VLOOKUP(C115,#REF!,5,FALSE())</f>
        <v>#VALUE!</v>
      </c>
      <c r="I115" s="175" t="e">
        <f aca="false">G115-H115</f>
        <v>#VALUE!</v>
      </c>
    </row>
    <row r="116" customFormat="false" ht="12.75" hidden="false" customHeight="true" outlineLevel="0" collapsed="false">
      <c r="A116" s="2"/>
      <c r="B116" s="207"/>
      <c r="C116" s="190" t="n">
        <v>563</v>
      </c>
      <c r="D116" s="191" t="n">
        <v>164.46</v>
      </c>
      <c r="E116" s="192" t="n">
        <v>-750</v>
      </c>
      <c r="F116" s="193" t="n">
        <v>420.88</v>
      </c>
      <c r="G116" s="173"/>
      <c r="H116" s="174" t="e">
        <f aca="false">VLOOKUP(C116,#REF!,5,FALSE())</f>
        <v>#VALUE!</v>
      </c>
      <c r="I116" s="175" t="e">
        <f aca="false">G116-H116</f>
        <v>#VALUE!</v>
      </c>
    </row>
    <row r="117" customFormat="false" ht="12.75" hidden="false" customHeight="true" outlineLevel="0" collapsed="false">
      <c r="A117" s="2"/>
      <c r="B117" s="207"/>
      <c r="C117" s="190" t="n">
        <v>564</v>
      </c>
      <c r="D117" s="191" t="n">
        <v>293.38</v>
      </c>
      <c r="E117" s="192" t="n">
        <v>-750</v>
      </c>
      <c r="F117" s="193" t="n">
        <v>330.82</v>
      </c>
      <c r="G117" s="173"/>
      <c r="H117" s="174" t="e">
        <f aca="false">VLOOKUP(C117,#REF!,5,FALSE())</f>
        <v>#VALUE!</v>
      </c>
      <c r="I117" s="175" t="e">
        <f aca="false">G117-H117</f>
        <v>#VALUE!</v>
      </c>
    </row>
    <row r="118" customFormat="false" ht="12.75" hidden="false" customHeight="true" outlineLevel="0" collapsed="false">
      <c r="A118" s="2"/>
      <c r="B118" s="207"/>
      <c r="C118" s="190" t="n">
        <v>565</v>
      </c>
      <c r="D118" s="191" t="n">
        <v>378.34</v>
      </c>
      <c r="E118" s="192" t="n">
        <v>-750</v>
      </c>
      <c r="F118" s="193" t="n">
        <v>198.6</v>
      </c>
      <c r="G118" s="173"/>
      <c r="H118" s="174" t="e">
        <f aca="false">VLOOKUP(C118,#REF!,5,FALSE())</f>
        <v>#VALUE!</v>
      </c>
      <c r="I118" s="175" t="e">
        <f aca="false">G118-H118</f>
        <v>#VALUE!</v>
      </c>
    </row>
    <row r="119" customFormat="false" ht="12.75" hidden="false" customHeight="true" outlineLevel="0" collapsed="false">
      <c r="A119" s="2"/>
      <c r="B119" s="207"/>
      <c r="C119" s="190" t="n">
        <v>566</v>
      </c>
      <c r="D119" s="191" t="n">
        <v>401.96</v>
      </c>
      <c r="E119" s="192" t="n">
        <v>-750</v>
      </c>
      <c r="F119" s="193" t="n">
        <v>43.11</v>
      </c>
      <c r="G119" s="173"/>
      <c r="H119" s="174" t="e">
        <f aca="false">VLOOKUP(C119,#REF!,5,FALSE())</f>
        <v>#VALUE!</v>
      </c>
      <c r="I119" s="175" t="e">
        <f aca="false">G119-H119</f>
        <v>#VALUE!</v>
      </c>
    </row>
    <row r="120" customFormat="false" ht="12.75" hidden="false" customHeight="true" outlineLevel="0" collapsed="false">
      <c r="A120" s="2"/>
      <c r="B120" s="207"/>
      <c r="C120" s="194" t="n">
        <v>557</v>
      </c>
      <c r="D120" s="195" t="n">
        <v>406</v>
      </c>
      <c r="E120" s="196" t="n">
        <v>-750</v>
      </c>
      <c r="F120" s="197" t="n">
        <v>-115</v>
      </c>
      <c r="G120" s="198"/>
      <c r="H120" s="199" t="e">
        <f aca="false">VLOOKUP(C120,#REF!,5,FALSE())</f>
        <v>#VALUE!</v>
      </c>
      <c r="I120" s="200" t="e">
        <f aca="false">G120-H120</f>
        <v>#VALUE!</v>
      </c>
    </row>
    <row r="121" customFormat="false" ht="12.75" hidden="false" customHeight="true" outlineLevel="0" collapsed="false">
      <c r="A121" s="2"/>
      <c r="B121" s="208" t="s">
        <v>184</v>
      </c>
      <c r="C121" s="202" t="n">
        <v>552</v>
      </c>
      <c r="D121" s="203" t="n">
        <v>-130</v>
      </c>
      <c r="E121" s="204" t="n">
        <v>-479</v>
      </c>
      <c r="F121" s="205" t="n">
        <v>-155</v>
      </c>
      <c r="G121" s="184"/>
      <c r="H121" s="185" t="e">
        <f aca="false">VLOOKUP(C121,#REF!,5,FALSE())</f>
        <v>#VALUE!</v>
      </c>
      <c r="I121" s="206" t="e">
        <f aca="false">G121-H121</f>
        <v>#VALUE!</v>
      </c>
    </row>
    <row r="122" customFormat="false" ht="12.75" hidden="false" customHeight="true" outlineLevel="0" collapsed="false">
      <c r="A122" s="2"/>
      <c r="B122" s="208"/>
      <c r="C122" s="190" t="n">
        <v>553</v>
      </c>
      <c r="D122" s="191" t="n">
        <v>0</v>
      </c>
      <c r="E122" s="192" t="n">
        <v>-473.4</v>
      </c>
      <c r="F122" s="193" t="n">
        <v>-155</v>
      </c>
      <c r="G122" s="173"/>
      <c r="H122" s="174" t="e">
        <f aca="false">VLOOKUP(C122,#REF!,5,FALSE())</f>
        <v>#VALUE!</v>
      </c>
      <c r="I122" s="175" t="e">
        <f aca="false">G122-H122</f>
        <v>#VALUE!</v>
      </c>
    </row>
    <row r="123" customFormat="false" ht="12.75" hidden="false" customHeight="true" outlineLevel="0" collapsed="false">
      <c r="A123" s="2"/>
      <c r="B123" s="208"/>
      <c r="C123" s="190" t="n">
        <v>554</v>
      </c>
      <c r="D123" s="191" t="n">
        <v>130</v>
      </c>
      <c r="E123" s="192" t="n">
        <v>-467.81</v>
      </c>
      <c r="F123" s="193" t="n">
        <v>-155</v>
      </c>
      <c r="G123" s="173"/>
      <c r="H123" s="174" t="e">
        <f aca="false">VLOOKUP(C123,#REF!,5,FALSE())</f>
        <v>#VALUE!</v>
      </c>
      <c r="I123" s="175" t="e">
        <f aca="false">G123-H123</f>
        <v>#VALUE!</v>
      </c>
    </row>
    <row r="124" customFormat="false" ht="12.75" hidden="false" customHeight="true" outlineLevel="0" collapsed="false">
      <c r="A124" s="2"/>
      <c r="B124" s="208"/>
      <c r="C124" s="194" t="n">
        <v>555</v>
      </c>
      <c r="D124" s="195" t="n">
        <v>334.9</v>
      </c>
      <c r="E124" s="196" t="n">
        <v>-506.09</v>
      </c>
      <c r="F124" s="197" t="n">
        <v>-115</v>
      </c>
      <c r="G124" s="198"/>
      <c r="H124" s="199" t="e">
        <f aca="false">VLOOKUP(C124,#REF!,5,FALSE())</f>
        <v>#VALUE!</v>
      </c>
      <c r="I124" s="200" t="e">
        <f aca="false">G124-H124</f>
        <v>#VALUE!</v>
      </c>
    </row>
    <row r="125" customFormat="false" ht="12.75" hidden="false" customHeight="true" outlineLevel="0" collapsed="false">
      <c r="A125" s="2"/>
      <c r="B125" s="201" t="s">
        <v>185</v>
      </c>
      <c r="C125" s="202" t="n">
        <v>219</v>
      </c>
      <c r="D125" s="203" t="n">
        <v>728.2</v>
      </c>
      <c r="E125" s="204" t="n">
        <v>-733</v>
      </c>
      <c r="F125" s="205" t="n">
        <v>675</v>
      </c>
      <c r="G125" s="184"/>
      <c r="H125" s="185" t="e">
        <f aca="false">VLOOKUP(C125,#REF!,5,FALSE())</f>
        <v>#VALUE!</v>
      </c>
      <c r="I125" s="206" t="e">
        <f aca="false">G125-H125</f>
        <v>#VALUE!</v>
      </c>
    </row>
    <row r="126" customFormat="false" ht="12.75" hidden="false" customHeight="true" outlineLevel="0" collapsed="false">
      <c r="A126" s="2"/>
      <c r="B126" s="201"/>
      <c r="C126" s="190" t="n">
        <v>220</v>
      </c>
      <c r="D126" s="191" t="n">
        <v>874.3</v>
      </c>
      <c r="E126" s="192" t="n">
        <v>-701.5</v>
      </c>
      <c r="F126" s="193" t="n">
        <v>775</v>
      </c>
      <c r="G126" s="173"/>
      <c r="H126" s="174" t="e">
        <f aca="false">VLOOKUP(C126,#REF!,5,FALSE())</f>
        <v>#VALUE!</v>
      </c>
      <c r="I126" s="175" t="e">
        <f aca="false">G126-H126</f>
        <v>#VALUE!</v>
      </c>
    </row>
    <row r="127" customFormat="false" ht="12.75" hidden="false" customHeight="true" outlineLevel="0" collapsed="false">
      <c r="A127" s="2"/>
      <c r="B127" s="201"/>
      <c r="C127" s="190" t="n">
        <v>223</v>
      </c>
      <c r="D127" s="191" t="n">
        <v>1018.3</v>
      </c>
      <c r="E127" s="192" t="n">
        <v>-648.7</v>
      </c>
      <c r="F127" s="193" t="n">
        <v>875</v>
      </c>
      <c r="G127" s="173"/>
      <c r="H127" s="174" t="e">
        <f aca="false">VLOOKUP(C127,#REF!,5,FALSE())</f>
        <v>#VALUE!</v>
      </c>
      <c r="I127" s="175" t="e">
        <f aca="false">G127-H127</f>
        <v>#VALUE!</v>
      </c>
    </row>
    <row r="128" customFormat="false" ht="12.75" hidden="false" customHeight="true" outlineLevel="0" collapsed="false">
      <c r="A128" s="2"/>
      <c r="B128" s="201"/>
      <c r="C128" s="190" t="n">
        <v>221</v>
      </c>
      <c r="D128" s="191" t="n">
        <v>1034.3</v>
      </c>
      <c r="E128" s="192" t="n">
        <v>-664.5</v>
      </c>
      <c r="F128" s="193" t="n">
        <v>875</v>
      </c>
      <c r="G128" s="173"/>
      <c r="H128" s="174" t="e">
        <f aca="false">VLOOKUP(C128,#REF!,5,FALSE())</f>
        <v>#VALUE!</v>
      </c>
      <c r="I128" s="175" t="e">
        <f aca="false">G128-H128</f>
        <v>#VALUE!</v>
      </c>
    </row>
    <row r="129" customFormat="false" ht="12.75" hidden="false" customHeight="true" outlineLevel="0" collapsed="false">
      <c r="A129" s="2"/>
      <c r="B129" s="201"/>
      <c r="C129" s="190" t="n">
        <v>224</v>
      </c>
      <c r="D129" s="191" t="n">
        <v>1060</v>
      </c>
      <c r="E129" s="192" t="n">
        <v>-675.8</v>
      </c>
      <c r="F129" s="193" t="n">
        <v>875</v>
      </c>
      <c r="G129" s="173"/>
      <c r="H129" s="174" t="e">
        <f aca="false">VLOOKUP(C129,#REF!,5,FALSE())</f>
        <v>#VALUE!</v>
      </c>
      <c r="I129" s="175" t="e">
        <f aca="false">G129-H129</f>
        <v>#VALUE!</v>
      </c>
    </row>
    <row r="130" customFormat="false" ht="12.75" hidden="false" customHeight="true" outlineLevel="0" collapsed="false">
      <c r="A130" s="2"/>
      <c r="B130" s="201"/>
      <c r="C130" s="190" t="n">
        <v>44</v>
      </c>
      <c r="D130" s="191" t="n">
        <v>1100</v>
      </c>
      <c r="E130" s="192" t="n">
        <v>-681.75</v>
      </c>
      <c r="F130" s="193" t="n">
        <v>875</v>
      </c>
      <c r="G130" s="173"/>
      <c r="H130" s="174" t="e">
        <f aca="false">VLOOKUP(C130,#REF!,5,FALSE())</f>
        <v>#VALUE!</v>
      </c>
      <c r="I130" s="175" t="e">
        <f aca="false">G130-H130</f>
        <v>#VALUE!</v>
      </c>
    </row>
    <row r="131" customFormat="false" ht="12.75" hidden="false" customHeight="true" outlineLevel="0" collapsed="false">
      <c r="A131" s="2"/>
      <c r="B131" s="201"/>
      <c r="C131" s="190" t="n">
        <v>222</v>
      </c>
      <c r="D131" s="191" t="n">
        <v>1219</v>
      </c>
      <c r="E131" s="192" t="n">
        <v>-617</v>
      </c>
      <c r="F131" s="193" t="n">
        <v>975</v>
      </c>
      <c r="G131" s="173"/>
      <c r="H131" s="174" t="e">
        <f aca="false">VLOOKUP(C131,#REF!,5,FALSE())</f>
        <v>#VALUE!</v>
      </c>
      <c r="I131" s="175" t="e">
        <f aca="false">G131-H131</f>
        <v>#VALUE!</v>
      </c>
    </row>
    <row r="132" customFormat="false" ht="12.75" hidden="false" customHeight="true" outlineLevel="0" collapsed="false">
      <c r="A132" s="2"/>
      <c r="B132" s="201"/>
      <c r="C132" s="194" t="n">
        <v>45</v>
      </c>
      <c r="D132" s="195" t="n">
        <v>1300</v>
      </c>
      <c r="E132" s="196" t="n">
        <v>-630.23</v>
      </c>
      <c r="F132" s="197" t="n">
        <v>975</v>
      </c>
      <c r="G132" s="198"/>
      <c r="H132" s="199" t="e">
        <f aca="false">VLOOKUP(C132,#REF!,5,FALSE())</f>
        <v>#VALUE!</v>
      </c>
      <c r="I132" s="200" t="e">
        <f aca="false">G132-H132</f>
        <v>#VALUE!</v>
      </c>
    </row>
    <row r="133" customFormat="false" ht="12.75" hidden="false" customHeight="true" outlineLevel="0" collapsed="false">
      <c r="A133" s="2"/>
      <c r="B133" s="201" t="s">
        <v>186</v>
      </c>
      <c r="C133" s="202" t="n">
        <v>38</v>
      </c>
      <c r="D133" s="203" t="n">
        <v>3300</v>
      </c>
      <c r="E133" s="204" t="n">
        <v>-830.78</v>
      </c>
      <c r="F133" s="205" t="n">
        <v>150</v>
      </c>
      <c r="G133" s="184"/>
      <c r="H133" s="185" t="e">
        <f aca="false">VLOOKUP(C133,#REF!,5,FALSE())</f>
        <v>#VALUE!</v>
      </c>
      <c r="I133" s="206" t="e">
        <f aca="false">G133-H133</f>
        <v>#VALUE!</v>
      </c>
    </row>
    <row r="134" customFormat="false" ht="12.75" hidden="false" customHeight="true" outlineLevel="0" collapsed="false">
      <c r="A134" s="2"/>
      <c r="B134" s="201"/>
      <c r="C134" s="190" t="n">
        <v>39</v>
      </c>
      <c r="D134" s="191" t="n">
        <v>3500</v>
      </c>
      <c r="E134" s="192" t="n">
        <v>-777.73</v>
      </c>
      <c r="F134" s="193" t="n">
        <v>150</v>
      </c>
      <c r="G134" s="173"/>
      <c r="H134" s="174" t="e">
        <f aca="false">VLOOKUP(C134,#REF!,5,FALSE())</f>
        <v>#VALUE!</v>
      </c>
      <c r="I134" s="175" t="e">
        <f aca="false">G134-H134</f>
        <v>#VALUE!</v>
      </c>
    </row>
    <row r="135" customFormat="false" ht="12.75" hidden="false" customHeight="true" outlineLevel="0" collapsed="false">
      <c r="A135" s="2"/>
      <c r="B135" s="201"/>
      <c r="C135" s="190" t="n">
        <v>198</v>
      </c>
      <c r="D135" s="191" t="n">
        <v>3588</v>
      </c>
      <c r="E135" s="192" t="n">
        <v>-748</v>
      </c>
      <c r="F135" s="193" t="n">
        <v>150</v>
      </c>
      <c r="G135" s="173"/>
      <c r="H135" s="174" t="e">
        <f aca="false">VLOOKUP(C135,#REF!,5,FALSE())</f>
        <v>#VALUE!</v>
      </c>
      <c r="I135" s="175" t="e">
        <f aca="false">G135-H135</f>
        <v>#VALUE!</v>
      </c>
    </row>
    <row r="136" customFormat="false" ht="12.75" hidden="false" customHeight="true" outlineLevel="0" collapsed="false">
      <c r="A136" s="2"/>
      <c r="B136" s="201"/>
      <c r="C136" s="190" t="n">
        <v>40</v>
      </c>
      <c r="D136" s="191" t="n">
        <v>3656.8</v>
      </c>
      <c r="E136" s="192" t="n">
        <v>-700</v>
      </c>
      <c r="F136" s="193" t="n">
        <v>150</v>
      </c>
      <c r="G136" s="173"/>
      <c r="H136" s="174" t="e">
        <f aca="false">VLOOKUP(C136,#REF!,5,FALSE())</f>
        <v>#VALUE!</v>
      </c>
      <c r="I136" s="175" t="e">
        <f aca="false">G136-H136</f>
        <v>#VALUE!</v>
      </c>
    </row>
    <row r="137" customFormat="false" ht="12.75" hidden="false" customHeight="true" outlineLevel="0" collapsed="false">
      <c r="A137" s="2"/>
      <c r="B137" s="201"/>
      <c r="C137" s="190" t="n">
        <v>42</v>
      </c>
      <c r="D137" s="191" t="n">
        <v>3765.4</v>
      </c>
      <c r="E137" s="192" t="n">
        <v>-400</v>
      </c>
      <c r="F137" s="193" t="n">
        <v>150</v>
      </c>
      <c r="G137" s="173"/>
      <c r="H137" s="174" t="e">
        <f aca="false">VLOOKUP(C137,#REF!,5,FALSE())</f>
        <v>#VALUE!</v>
      </c>
      <c r="I137" s="175" t="e">
        <f aca="false">G137-H137</f>
        <v>#VALUE!</v>
      </c>
    </row>
    <row r="138" customFormat="false" ht="12.75" hidden="false" customHeight="true" outlineLevel="0" collapsed="false">
      <c r="A138" s="2"/>
      <c r="B138" s="201"/>
      <c r="C138" s="190" t="n">
        <v>207</v>
      </c>
      <c r="D138" s="191" t="n">
        <v>3765</v>
      </c>
      <c r="E138" s="192" t="n">
        <v>400</v>
      </c>
      <c r="F138" s="193" t="n">
        <v>150</v>
      </c>
      <c r="G138" s="173"/>
      <c r="H138" s="174" t="e">
        <f aca="false">VLOOKUP(C138,#REF!,5,FALSE())</f>
        <v>#VALUE!</v>
      </c>
      <c r="I138" s="175" t="e">
        <f aca="false">G138-H138</f>
        <v>#VALUE!</v>
      </c>
    </row>
    <row r="139" customFormat="false" ht="12.75" hidden="false" customHeight="true" outlineLevel="0" collapsed="false">
      <c r="A139" s="2"/>
      <c r="B139" s="201"/>
      <c r="C139" s="190" t="n">
        <v>201</v>
      </c>
      <c r="D139" s="191" t="n">
        <v>3656.8</v>
      </c>
      <c r="E139" s="192" t="n">
        <v>700</v>
      </c>
      <c r="F139" s="193" t="n">
        <v>150</v>
      </c>
      <c r="G139" s="173"/>
      <c r="H139" s="174" t="e">
        <f aca="false">VLOOKUP(C139,#REF!,5,FALSE())</f>
        <v>#VALUE!</v>
      </c>
      <c r="I139" s="175" t="e">
        <f aca="false">G139-H139</f>
        <v>#VALUE!</v>
      </c>
    </row>
    <row r="140" customFormat="false" ht="12.75" hidden="false" customHeight="true" outlineLevel="0" collapsed="false">
      <c r="A140" s="2"/>
      <c r="B140" s="201"/>
      <c r="C140" s="190" t="n">
        <v>206</v>
      </c>
      <c r="D140" s="191" t="n">
        <v>3588</v>
      </c>
      <c r="E140" s="192" t="n">
        <v>748</v>
      </c>
      <c r="F140" s="193" t="n">
        <v>150</v>
      </c>
      <c r="G140" s="173"/>
      <c r="H140" s="174" t="e">
        <f aca="false">VLOOKUP(C140,#REF!,5,FALSE())</f>
        <v>#VALUE!</v>
      </c>
      <c r="I140" s="175" t="e">
        <f aca="false">G140-H140</f>
        <v>#VALUE!</v>
      </c>
    </row>
    <row r="141" customFormat="false" ht="12.75" hidden="false" customHeight="true" outlineLevel="0" collapsed="false">
      <c r="A141" s="2"/>
      <c r="B141" s="201"/>
      <c r="C141" s="190" t="n">
        <v>200</v>
      </c>
      <c r="D141" s="191" t="n">
        <v>3500</v>
      </c>
      <c r="E141" s="192" t="n">
        <v>777.7</v>
      </c>
      <c r="F141" s="193" t="n">
        <v>150</v>
      </c>
      <c r="G141" s="173"/>
      <c r="H141" s="174" t="e">
        <f aca="false">VLOOKUP(C141,#REF!,5,FALSE())</f>
        <v>#VALUE!</v>
      </c>
      <c r="I141" s="175" t="e">
        <f aca="false">G141-H141</f>
        <v>#VALUE!</v>
      </c>
    </row>
    <row r="142" customFormat="false" ht="12.75" hidden="false" customHeight="true" outlineLevel="0" collapsed="false">
      <c r="A142" s="2"/>
      <c r="B142" s="201"/>
      <c r="C142" s="194" t="n">
        <v>199</v>
      </c>
      <c r="D142" s="195" t="n">
        <v>3300</v>
      </c>
      <c r="E142" s="196" t="n">
        <v>830.8</v>
      </c>
      <c r="F142" s="197" t="n">
        <v>150</v>
      </c>
      <c r="G142" s="198"/>
      <c r="H142" s="199" t="e">
        <f aca="false">VLOOKUP(C142,#REF!,5,FALSE())</f>
        <v>#VALUE!</v>
      </c>
      <c r="I142" s="200" t="e">
        <f aca="false">G142-H142</f>
        <v>#VALUE!</v>
      </c>
    </row>
    <row r="143" customFormat="false" ht="12.75" hidden="false" customHeight="true" outlineLevel="0" collapsed="false">
      <c r="A143" s="2"/>
      <c r="B143" s="207" t="s">
        <v>187</v>
      </c>
      <c r="C143" s="202" t="n">
        <v>225</v>
      </c>
      <c r="D143" s="203" t="n">
        <v>3300</v>
      </c>
      <c r="E143" s="204" t="n">
        <v>-782.4</v>
      </c>
      <c r="F143" s="205" t="n">
        <v>500</v>
      </c>
      <c r="G143" s="184"/>
      <c r="H143" s="185" t="e">
        <f aca="false">VLOOKUP(C143,#REF!,5,FALSE())</f>
        <v>#VALUE!</v>
      </c>
      <c r="I143" s="206" t="e">
        <f aca="false">G143-H143</f>
        <v>#VALUE!</v>
      </c>
    </row>
    <row r="144" customFormat="false" ht="12.75" hidden="false" customHeight="true" outlineLevel="0" collapsed="false">
      <c r="A144" s="2"/>
      <c r="B144" s="207"/>
      <c r="C144" s="190" t="n">
        <v>226</v>
      </c>
      <c r="D144" s="191" t="n">
        <v>3425</v>
      </c>
      <c r="E144" s="192" t="n">
        <v>-762.3</v>
      </c>
      <c r="F144" s="193" t="n">
        <v>500</v>
      </c>
      <c r="G144" s="173"/>
      <c r="H144" s="174" t="e">
        <f aca="false">VLOOKUP(C144,#REF!,5,FALSE())</f>
        <v>#VALUE!</v>
      </c>
      <c r="I144" s="175" t="e">
        <f aca="false">G144-H144</f>
        <v>#VALUE!</v>
      </c>
    </row>
    <row r="145" customFormat="false" ht="12.75" hidden="false" customHeight="true" outlineLevel="0" collapsed="false">
      <c r="A145" s="2"/>
      <c r="B145" s="207"/>
      <c r="C145" s="190" t="n">
        <v>227</v>
      </c>
      <c r="D145" s="191" t="n">
        <v>3525</v>
      </c>
      <c r="E145" s="192" t="n">
        <v>-743.3</v>
      </c>
      <c r="F145" s="193" t="n">
        <v>500</v>
      </c>
      <c r="G145" s="173"/>
      <c r="H145" s="174" t="e">
        <f aca="false">VLOOKUP(C145,#REF!,5,FALSE())</f>
        <v>#VALUE!</v>
      </c>
      <c r="I145" s="175" t="e">
        <f aca="false">G145-H145</f>
        <v>#VALUE!</v>
      </c>
    </row>
    <row r="146" customFormat="false" ht="12.75" hidden="false" customHeight="true" outlineLevel="0" collapsed="false">
      <c r="A146" s="2"/>
      <c r="B146" s="207"/>
      <c r="C146" s="190" t="n">
        <v>228</v>
      </c>
      <c r="D146" s="191" t="n">
        <v>3599.5</v>
      </c>
      <c r="E146" s="192" t="n">
        <v>-690</v>
      </c>
      <c r="F146" s="193" t="n">
        <v>500</v>
      </c>
      <c r="G146" s="173"/>
      <c r="H146" s="174" t="e">
        <f aca="false">VLOOKUP(C146,#REF!,5,FALSE())</f>
        <v>#VALUE!</v>
      </c>
      <c r="I146" s="175" t="e">
        <f aca="false">G146-H146</f>
        <v>#VALUE!</v>
      </c>
    </row>
    <row r="147" customFormat="false" ht="12.75" hidden="false" customHeight="true" outlineLevel="0" collapsed="false">
      <c r="A147" s="2"/>
      <c r="B147" s="207"/>
      <c r="C147" s="190" t="n">
        <v>229</v>
      </c>
      <c r="D147" s="191" t="n">
        <v>3646.2</v>
      </c>
      <c r="E147" s="192" t="n">
        <v>-600</v>
      </c>
      <c r="F147" s="193" t="n">
        <v>500</v>
      </c>
      <c r="G147" s="173"/>
      <c r="H147" s="174" t="e">
        <f aca="false">VLOOKUP(C147,#REF!,5,FALSE())</f>
        <v>#VALUE!</v>
      </c>
      <c r="I147" s="175" t="e">
        <f aca="false">G147-H147</f>
        <v>#VALUE!</v>
      </c>
    </row>
    <row r="148" customFormat="false" ht="12.75" hidden="false" customHeight="true" outlineLevel="0" collapsed="false">
      <c r="A148" s="2"/>
      <c r="B148" s="207"/>
      <c r="C148" s="190" t="n">
        <v>234</v>
      </c>
      <c r="D148" s="191" t="n">
        <v>3646.2</v>
      </c>
      <c r="E148" s="192" t="n">
        <v>600</v>
      </c>
      <c r="F148" s="193" t="n">
        <v>500</v>
      </c>
      <c r="G148" s="173"/>
      <c r="H148" s="174" t="e">
        <f aca="false">VLOOKUP(C148,#REF!,5,FALSE())</f>
        <v>#VALUE!</v>
      </c>
      <c r="I148" s="175" t="e">
        <f aca="false">G148-H148</f>
        <v>#VALUE!</v>
      </c>
    </row>
    <row r="149" customFormat="false" ht="12.75" hidden="false" customHeight="true" outlineLevel="0" collapsed="false">
      <c r="A149" s="2"/>
      <c r="B149" s="207"/>
      <c r="C149" s="190" t="n">
        <v>233</v>
      </c>
      <c r="D149" s="191" t="n">
        <v>3599.5</v>
      </c>
      <c r="E149" s="192" t="n">
        <v>690</v>
      </c>
      <c r="F149" s="193" t="n">
        <v>500</v>
      </c>
      <c r="G149" s="173"/>
      <c r="H149" s="174" t="e">
        <f aca="false">VLOOKUP(C149,#REF!,5,FALSE())</f>
        <v>#VALUE!</v>
      </c>
      <c r="I149" s="175" t="e">
        <f aca="false">G149-H149</f>
        <v>#VALUE!</v>
      </c>
    </row>
    <row r="150" customFormat="false" ht="12.75" hidden="false" customHeight="true" outlineLevel="0" collapsed="false">
      <c r="A150" s="2"/>
      <c r="B150" s="207"/>
      <c r="C150" s="190" t="n">
        <v>232</v>
      </c>
      <c r="D150" s="191" t="n">
        <v>3525</v>
      </c>
      <c r="E150" s="192" t="n">
        <v>743.3</v>
      </c>
      <c r="F150" s="193" t="n">
        <v>500</v>
      </c>
      <c r="G150" s="173"/>
      <c r="H150" s="174" t="e">
        <f aca="false">VLOOKUP(C150,#REF!,5,FALSE())</f>
        <v>#VALUE!</v>
      </c>
      <c r="I150" s="175"/>
    </row>
    <row r="151" customFormat="false" ht="12.75" hidden="false" customHeight="true" outlineLevel="0" collapsed="false">
      <c r="A151" s="2"/>
      <c r="B151" s="207"/>
      <c r="C151" s="190" t="n">
        <v>231</v>
      </c>
      <c r="D151" s="191" t="n">
        <v>3425</v>
      </c>
      <c r="E151" s="192" t="n">
        <v>762.3</v>
      </c>
      <c r="F151" s="193" t="n">
        <v>500</v>
      </c>
      <c r="G151" s="173"/>
      <c r="H151" s="174" t="e">
        <f aca="false">VLOOKUP(C151,#REF!,5,FALSE())</f>
        <v>#VALUE!</v>
      </c>
      <c r="I151" s="175" t="e">
        <f aca="false">G151-H151</f>
        <v>#VALUE!</v>
      </c>
    </row>
    <row r="152" customFormat="false" ht="12.75" hidden="false" customHeight="true" outlineLevel="0" collapsed="false">
      <c r="A152" s="2"/>
      <c r="B152" s="207"/>
      <c r="C152" s="194" t="n">
        <v>230</v>
      </c>
      <c r="D152" s="195" t="n">
        <v>3300</v>
      </c>
      <c r="E152" s="196" t="n">
        <v>782.4</v>
      </c>
      <c r="F152" s="197" t="n">
        <v>500</v>
      </c>
      <c r="G152" s="198"/>
      <c r="H152" s="199" t="e">
        <f aca="false">VLOOKUP(C152,#REF!,5,FALSE())</f>
        <v>#VALUE!</v>
      </c>
      <c r="I152" s="200" t="e">
        <f aca="false">G152-H152</f>
        <v>#VALUE!</v>
      </c>
    </row>
    <row r="153" customFormat="false" ht="12.75" hidden="false" customHeight="true" outlineLevel="0" collapsed="false">
      <c r="A153" s="2"/>
      <c r="B153" s="209" t="s">
        <v>188</v>
      </c>
      <c r="C153" s="210" t="n">
        <v>260</v>
      </c>
      <c r="D153" s="204" t="n">
        <v>3008.4</v>
      </c>
      <c r="E153" s="204" t="n">
        <v>-677.2</v>
      </c>
      <c r="F153" s="205" t="n">
        <v>775</v>
      </c>
      <c r="G153" s="184"/>
      <c r="H153" s="185" t="e">
        <f aca="false">VLOOKUP(C153,#REF!,5,FALSE())</f>
        <v>#VALUE!</v>
      </c>
      <c r="I153" s="206" t="e">
        <f aca="false">G153-H153</f>
        <v>#VALUE!</v>
      </c>
    </row>
    <row r="154" customFormat="false" ht="12.75" hidden="false" customHeight="true" outlineLevel="0" collapsed="false">
      <c r="A154" s="2"/>
      <c r="B154" s="209"/>
      <c r="C154" s="211" t="n">
        <v>263</v>
      </c>
      <c r="D154" s="192" t="n">
        <v>2831.7</v>
      </c>
      <c r="E154" s="192" t="n">
        <v>-643.3</v>
      </c>
      <c r="F154" s="193" t="n">
        <v>875</v>
      </c>
      <c r="G154" s="173"/>
      <c r="H154" s="174" t="e">
        <f aca="false">VLOOKUP(C154,#REF!,5,FALSE())</f>
        <v>#VALUE!</v>
      </c>
      <c r="I154" s="175" t="e">
        <f aca="false">G154-H154</f>
        <v>#VALUE!</v>
      </c>
    </row>
    <row r="155" customFormat="false" ht="12.75" hidden="false" customHeight="true" outlineLevel="0" collapsed="false">
      <c r="A155" s="2"/>
      <c r="B155" s="209"/>
      <c r="C155" s="211" t="n">
        <v>133</v>
      </c>
      <c r="D155" s="192" t="n">
        <v>2619.5</v>
      </c>
      <c r="E155" s="192" t="n">
        <v>-600</v>
      </c>
      <c r="F155" s="193" t="n">
        <v>975</v>
      </c>
      <c r="G155" s="173"/>
      <c r="H155" s="174" t="e">
        <f aca="false">VLOOKUP(C155,#REF!,5,FALSE())</f>
        <v>#VALUE!</v>
      </c>
      <c r="I155" s="175" t="e">
        <f aca="false">G155-H155</f>
        <v>#VALUE!</v>
      </c>
    </row>
    <row r="156" customFormat="false" ht="12.75" hidden="false" customHeight="true" outlineLevel="0" collapsed="false">
      <c r="A156" s="2"/>
      <c r="B156" s="209"/>
      <c r="C156" s="211" t="n">
        <v>272</v>
      </c>
      <c r="D156" s="192" t="n">
        <v>2619.5</v>
      </c>
      <c r="E156" s="192" t="n">
        <v>600</v>
      </c>
      <c r="F156" s="193" t="n">
        <v>975</v>
      </c>
      <c r="G156" s="173"/>
      <c r="H156" s="174" t="e">
        <f aca="false">VLOOKUP(C156,#REF!,5,FALSE())</f>
        <v>#VALUE!</v>
      </c>
      <c r="I156" s="175" t="e">
        <f aca="false">G156-H156</f>
        <v>#VALUE!</v>
      </c>
    </row>
    <row r="157" customFormat="false" ht="12.75" hidden="false" customHeight="true" outlineLevel="0" collapsed="false">
      <c r="A157" s="2"/>
      <c r="B157" s="209"/>
      <c r="C157" s="211" t="n">
        <v>271</v>
      </c>
      <c r="D157" s="192" t="n">
        <v>2831.7</v>
      </c>
      <c r="E157" s="192" t="n">
        <v>643.3</v>
      </c>
      <c r="F157" s="193" t="n">
        <v>875</v>
      </c>
      <c r="G157" s="173"/>
      <c r="H157" s="174" t="e">
        <f aca="false">VLOOKUP(C157,#REF!,5,FALSE())</f>
        <v>#VALUE!</v>
      </c>
      <c r="I157" s="175" t="e">
        <f aca="false">G157-H157</f>
        <v>#VALUE!</v>
      </c>
    </row>
    <row r="158" customFormat="false" ht="12.75" hidden="false" customHeight="true" outlineLevel="0" collapsed="false">
      <c r="A158" s="2"/>
      <c r="B158" s="209"/>
      <c r="C158" s="212" t="n">
        <v>270</v>
      </c>
      <c r="D158" s="196" t="n">
        <v>3008.4</v>
      </c>
      <c r="E158" s="196" t="n">
        <v>677.2</v>
      </c>
      <c r="F158" s="197" t="n">
        <v>775</v>
      </c>
      <c r="G158" s="198"/>
      <c r="H158" s="199" t="e">
        <f aca="false">VLOOKUP(C158,#REF!,5,FALSE())</f>
        <v>#VALUE!</v>
      </c>
      <c r="I158" s="200" t="e">
        <f aca="false">G158-H158</f>
        <v>#VALUE!</v>
      </c>
    </row>
    <row r="159" customFormat="false" ht="12.75" hidden="false" customHeight="true" outlineLevel="0" collapsed="false">
      <c r="A159" s="2"/>
      <c r="B159" s="207" t="s">
        <v>189</v>
      </c>
      <c r="C159" s="213" t="n">
        <v>265</v>
      </c>
      <c r="D159" s="203" t="n">
        <v>2561.2</v>
      </c>
      <c r="E159" s="204" t="n">
        <v>-619.1</v>
      </c>
      <c r="F159" s="205" t="n">
        <v>963.8</v>
      </c>
      <c r="G159" s="184"/>
      <c r="H159" s="185" t="e">
        <f aca="false">VLOOKUP(C159,#REF!,5,FALSE())</f>
        <v>#VALUE!</v>
      </c>
      <c r="I159" s="206" t="e">
        <f aca="false">G159-H159</f>
        <v>#VALUE!</v>
      </c>
    </row>
    <row r="160" customFormat="false" ht="12.75" hidden="false" customHeight="true" outlineLevel="0" collapsed="false">
      <c r="A160" s="2"/>
      <c r="B160" s="207"/>
      <c r="C160" s="178" t="n">
        <v>133</v>
      </c>
      <c r="D160" s="191" t="n">
        <v>2619.5</v>
      </c>
      <c r="E160" s="192" t="n">
        <v>-600</v>
      </c>
      <c r="F160" s="193" t="n">
        <v>975</v>
      </c>
      <c r="G160" s="173"/>
      <c r="H160" s="174" t="e">
        <f aca="false">VLOOKUP(C160,#REF!,5,FALSE())</f>
        <v>#VALUE!</v>
      </c>
      <c r="I160" s="175" t="e">
        <f aca="false">G160-H160</f>
        <v>#VALUE!</v>
      </c>
    </row>
    <row r="161" customFormat="false" ht="12.75" hidden="false" customHeight="true" outlineLevel="0" collapsed="false">
      <c r="A161" s="2"/>
      <c r="B161" s="207"/>
      <c r="C161" s="178" t="n">
        <v>266</v>
      </c>
      <c r="D161" s="191" t="n">
        <v>2664.2</v>
      </c>
      <c r="E161" s="192" t="n">
        <v>-576</v>
      </c>
      <c r="F161" s="193" t="n">
        <v>975</v>
      </c>
      <c r="G161" s="173"/>
      <c r="H161" s="174" t="e">
        <f aca="false">VLOOKUP(C161,#REF!,5,FALSE())</f>
        <v>#VALUE!</v>
      </c>
      <c r="I161" s="175" t="e">
        <f aca="false">G161-H161</f>
        <v>#VALUE!</v>
      </c>
    </row>
    <row r="162" customFormat="false" ht="12.75" hidden="false" customHeight="true" outlineLevel="0" collapsed="false">
      <c r="A162" s="2"/>
      <c r="B162" s="207"/>
      <c r="C162" s="178" t="n">
        <v>134</v>
      </c>
      <c r="D162" s="191" t="n">
        <v>2778.4</v>
      </c>
      <c r="E162" s="192" t="n">
        <v>-600</v>
      </c>
      <c r="F162" s="193" t="n">
        <v>925</v>
      </c>
      <c r="G162" s="173"/>
      <c r="H162" s="174" t="e">
        <f aca="false">VLOOKUP(C162,#REF!,5,FALSE())</f>
        <v>#VALUE!</v>
      </c>
      <c r="I162" s="175" t="e">
        <f aca="false">G162-H162</f>
        <v>#VALUE!</v>
      </c>
    </row>
    <row r="163" customFormat="false" ht="12.75" hidden="false" customHeight="true" outlineLevel="0" collapsed="false">
      <c r="A163" s="2"/>
      <c r="B163" s="207"/>
      <c r="C163" s="178" t="n">
        <v>262</v>
      </c>
      <c r="D163" s="191" t="n">
        <v>2753.8</v>
      </c>
      <c r="E163" s="192" t="n">
        <v>-656.6</v>
      </c>
      <c r="F163" s="193" t="n">
        <v>875</v>
      </c>
      <c r="G163" s="173"/>
      <c r="H163" s="174" t="e">
        <f aca="false">VLOOKUP(C163,#REF!,5,FALSE())</f>
        <v>#VALUE!</v>
      </c>
      <c r="I163" s="175" t="e">
        <f aca="false">G163-H163</f>
        <v>#VALUE!</v>
      </c>
    </row>
    <row r="164" customFormat="false" ht="12.75" hidden="false" customHeight="true" outlineLevel="0" collapsed="false">
      <c r="A164" s="2"/>
      <c r="B164" s="207"/>
      <c r="C164" s="178" t="n">
        <v>263</v>
      </c>
      <c r="D164" s="191" t="n">
        <v>2831.7</v>
      </c>
      <c r="E164" s="192" t="n">
        <v>-643.3</v>
      </c>
      <c r="F164" s="193" t="n">
        <v>875</v>
      </c>
      <c r="G164" s="173"/>
      <c r="H164" s="174" t="e">
        <f aca="false">VLOOKUP(C164,#REF!,5,FALSE())</f>
        <v>#VALUE!</v>
      </c>
      <c r="I164" s="175" t="e">
        <f aca="false">G164-H164</f>
        <v>#VALUE!</v>
      </c>
    </row>
    <row r="165" customFormat="false" ht="12.75" hidden="false" customHeight="true" outlineLevel="0" collapsed="false">
      <c r="A165" s="2"/>
      <c r="B165" s="207"/>
      <c r="C165" s="178" t="n">
        <v>264</v>
      </c>
      <c r="D165" s="191" t="n">
        <v>2872.8</v>
      </c>
      <c r="E165" s="192" t="n">
        <v>-625.7</v>
      </c>
      <c r="F165" s="193" t="n">
        <v>875</v>
      </c>
      <c r="G165" s="173"/>
      <c r="H165" s="174" t="e">
        <f aca="false">VLOOKUP(C165,#REF!,5,FALSE())</f>
        <v>#VALUE!</v>
      </c>
      <c r="I165" s="175" t="e">
        <f aca="false">G165-H165</f>
        <v>#VALUE!</v>
      </c>
    </row>
    <row r="166" customFormat="false" ht="12.75" hidden="false" customHeight="true" outlineLevel="0" collapsed="false">
      <c r="A166" s="2"/>
      <c r="B166" s="207"/>
      <c r="C166" s="178" t="n">
        <v>259</v>
      </c>
      <c r="D166" s="191" t="n">
        <v>2930.6</v>
      </c>
      <c r="E166" s="192" t="n">
        <v>-689.8</v>
      </c>
      <c r="F166" s="193" t="n">
        <v>775</v>
      </c>
      <c r="G166" s="173"/>
      <c r="H166" s="174" t="e">
        <f aca="false">VLOOKUP(C166,#REF!,5,FALSE())</f>
        <v>#VALUE!</v>
      </c>
      <c r="I166" s="175" t="e">
        <f aca="false">G166-H166</f>
        <v>#VALUE!</v>
      </c>
    </row>
    <row r="167" customFormat="false" ht="12.75" hidden="false" customHeight="true" outlineLevel="0" collapsed="false">
      <c r="A167" s="2"/>
      <c r="B167" s="207"/>
      <c r="C167" s="178" t="n">
        <v>260</v>
      </c>
      <c r="D167" s="191" t="n">
        <v>3008.4</v>
      </c>
      <c r="E167" s="192" t="n">
        <v>-677.2</v>
      </c>
      <c r="F167" s="193" t="n">
        <v>775</v>
      </c>
      <c r="G167" s="173"/>
      <c r="H167" s="174" t="e">
        <f aca="false">VLOOKUP(C167,#REF!,5,FALSE())</f>
        <v>#VALUE!</v>
      </c>
      <c r="I167" s="175" t="e">
        <f aca="false">G167-H167</f>
        <v>#VALUE!</v>
      </c>
    </row>
    <row r="168" customFormat="false" ht="12.75" hidden="false" customHeight="true" outlineLevel="0" collapsed="false">
      <c r="A168" s="2"/>
      <c r="B168" s="207"/>
      <c r="C168" s="178" t="n">
        <v>261</v>
      </c>
      <c r="D168" s="191" t="n">
        <v>3085.5</v>
      </c>
      <c r="E168" s="192" t="n">
        <v>-643.1</v>
      </c>
      <c r="F168" s="193" t="n">
        <v>775</v>
      </c>
      <c r="G168" s="173"/>
      <c r="H168" s="174" t="e">
        <f aca="false">VLOOKUP(C168,#REF!,5,FALSE())</f>
        <v>#VALUE!</v>
      </c>
      <c r="I168" s="175" t="e">
        <f aca="false">G168-H168</f>
        <v>#VALUE!</v>
      </c>
    </row>
    <row r="169" customFormat="false" ht="12.75" hidden="false" customHeight="true" outlineLevel="0" collapsed="false">
      <c r="A169" s="2"/>
      <c r="B169" s="207"/>
      <c r="C169" s="178" t="n">
        <v>269</v>
      </c>
      <c r="D169" s="191" t="n">
        <v>2667.9</v>
      </c>
      <c r="E169" s="192" t="n">
        <v>-529.1</v>
      </c>
      <c r="F169" s="193" t="n">
        <v>975</v>
      </c>
      <c r="G169" s="173"/>
      <c r="H169" s="174" t="e">
        <f aca="false">VLOOKUP(C169,#REF!,5,FALSE())</f>
        <v>#VALUE!</v>
      </c>
      <c r="I169" s="175" t="e">
        <f aca="false">G169-H169</f>
        <v>#VALUE!</v>
      </c>
    </row>
    <row r="170" customFormat="false" ht="12.75" hidden="false" customHeight="true" outlineLevel="0" collapsed="false">
      <c r="A170" s="2"/>
      <c r="B170" s="207"/>
      <c r="C170" s="178" t="n">
        <v>268</v>
      </c>
      <c r="D170" s="191" t="n">
        <v>2897.9</v>
      </c>
      <c r="E170" s="192" t="n">
        <v>-565.2</v>
      </c>
      <c r="F170" s="193" t="n">
        <v>875</v>
      </c>
      <c r="G170" s="173"/>
      <c r="H170" s="174" t="e">
        <f aca="false">VLOOKUP(C170,#REF!,5,FALSE())</f>
        <v>#VALUE!</v>
      </c>
      <c r="I170" s="175" t="e">
        <f aca="false">G170-H170</f>
        <v>#VALUE!</v>
      </c>
    </row>
    <row r="171" customFormat="false" ht="12.75" hidden="false" customHeight="true" outlineLevel="0" collapsed="false">
      <c r="A171" s="2"/>
      <c r="B171" s="207"/>
      <c r="C171" s="214" t="n">
        <v>267</v>
      </c>
      <c r="D171" s="195" t="n">
        <v>3099.9</v>
      </c>
      <c r="E171" s="196" t="n">
        <v>-588.4</v>
      </c>
      <c r="F171" s="197" t="n">
        <v>775</v>
      </c>
      <c r="G171" s="198"/>
      <c r="H171" s="199" t="e">
        <f aca="false">VLOOKUP(C171,#REF!,5,FALSE())</f>
        <v>#VALUE!</v>
      </c>
      <c r="I171" s="200" t="e">
        <f aca="false">G171-H171</f>
        <v>#VALUE!</v>
      </c>
    </row>
    <row r="172" customFormat="false" ht="12.75" hidden="false" customHeight="true" outlineLevel="0" collapsed="false">
      <c r="A172" s="2"/>
      <c r="B172" s="207" t="s">
        <v>190</v>
      </c>
      <c r="C172" s="202" t="n">
        <v>621</v>
      </c>
      <c r="D172" s="203" t="n">
        <v>540</v>
      </c>
      <c r="E172" s="204" t="n">
        <v>-339.3</v>
      </c>
      <c r="F172" s="205" t="n">
        <v>-120</v>
      </c>
      <c r="G172" s="184"/>
      <c r="H172" s="185" t="e">
        <f aca="false">VLOOKUP(C172,#REF!,5,FALSE())</f>
        <v>#VALUE!</v>
      </c>
      <c r="I172" s="206" t="e">
        <f aca="false">G172-H172</f>
        <v>#VALUE!</v>
      </c>
    </row>
    <row r="173" customFormat="false" ht="12.75" hidden="false" customHeight="true" outlineLevel="0" collapsed="false">
      <c r="A173" s="2"/>
      <c r="B173" s="207"/>
      <c r="C173" s="190" t="n">
        <v>622</v>
      </c>
      <c r="D173" s="191" t="n">
        <v>750</v>
      </c>
      <c r="E173" s="192" t="n">
        <v>-328.45</v>
      </c>
      <c r="F173" s="193" t="n">
        <v>-120</v>
      </c>
      <c r="G173" s="173"/>
      <c r="H173" s="174" t="e">
        <f aca="false">VLOOKUP(C173,#REF!,5,FALSE())</f>
        <v>#VALUE!</v>
      </c>
      <c r="I173" s="175" t="e">
        <f aca="false">G173-H173</f>
        <v>#VALUE!</v>
      </c>
    </row>
    <row r="174" customFormat="false" ht="12.75" hidden="false" customHeight="true" outlineLevel="0" collapsed="false">
      <c r="A174" s="2"/>
      <c r="B174" s="207"/>
      <c r="C174" s="190" t="n">
        <v>623</v>
      </c>
      <c r="D174" s="191" t="n">
        <v>1100</v>
      </c>
      <c r="E174" s="192" t="n">
        <v>-360</v>
      </c>
      <c r="F174" s="193" t="n">
        <v>-155.66</v>
      </c>
      <c r="G174" s="173"/>
      <c r="H174" s="174" t="e">
        <f aca="false">VLOOKUP(C174,#REF!,5,FALSE())</f>
        <v>#VALUE!</v>
      </c>
      <c r="I174" s="175" t="e">
        <f aca="false">G174-H174</f>
        <v>#VALUE!</v>
      </c>
    </row>
    <row r="175" customFormat="false" ht="12.75" hidden="false" customHeight="true" outlineLevel="0" collapsed="false">
      <c r="A175" s="2"/>
      <c r="B175" s="207"/>
      <c r="C175" s="190" t="n">
        <v>624</v>
      </c>
      <c r="D175" s="191" t="n">
        <v>1500</v>
      </c>
      <c r="E175" s="192" t="n">
        <v>-360</v>
      </c>
      <c r="F175" s="193" t="n">
        <v>-150.12</v>
      </c>
      <c r="G175" s="173"/>
      <c r="H175" s="174" t="e">
        <f aca="false">VLOOKUP(C175,#REF!,5,FALSE())</f>
        <v>#VALUE!</v>
      </c>
      <c r="I175" s="175" t="e">
        <f aca="false">G175-H175</f>
        <v>#VALUE!</v>
      </c>
    </row>
    <row r="176" customFormat="false" ht="12.75" hidden="false" customHeight="true" outlineLevel="0" collapsed="false">
      <c r="A176" s="2"/>
      <c r="B176" s="207"/>
      <c r="C176" s="190" t="n">
        <v>625</v>
      </c>
      <c r="D176" s="191" t="n">
        <v>400</v>
      </c>
      <c r="E176" s="192" t="n">
        <v>-550</v>
      </c>
      <c r="F176" s="193" t="n">
        <v>-159.6</v>
      </c>
      <c r="G176" s="173"/>
      <c r="H176" s="174" t="e">
        <f aca="false">VLOOKUP(C176,#REF!,5,FALSE())</f>
        <v>#VALUE!</v>
      </c>
      <c r="I176" s="175" t="e">
        <f aca="false">G176-H176</f>
        <v>#VALUE!</v>
      </c>
    </row>
    <row r="177" customFormat="false" ht="12.75" hidden="false" customHeight="true" outlineLevel="0" collapsed="false">
      <c r="A177" s="2"/>
      <c r="B177" s="207"/>
      <c r="C177" s="190" t="n">
        <v>626</v>
      </c>
      <c r="D177" s="191" t="n">
        <v>500</v>
      </c>
      <c r="E177" s="192" t="n">
        <v>-700</v>
      </c>
      <c r="F177" s="193" t="n">
        <v>-159.7</v>
      </c>
      <c r="G177" s="173"/>
      <c r="H177" s="174" t="e">
        <f aca="false">VLOOKUP(C177,#REF!,5,FALSE())</f>
        <v>#VALUE!</v>
      </c>
      <c r="I177" s="175" t="e">
        <f aca="false">G177-H177</f>
        <v>#VALUE!</v>
      </c>
    </row>
    <row r="178" customFormat="false" ht="12.75" hidden="false" customHeight="true" outlineLevel="0" collapsed="false">
      <c r="A178" s="2"/>
      <c r="B178" s="207"/>
      <c r="C178" s="190" t="n">
        <v>627</v>
      </c>
      <c r="D178" s="191" t="n">
        <v>540</v>
      </c>
      <c r="E178" s="192" t="n">
        <v>-590</v>
      </c>
      <c r="F178" s="193" t="n">
        <v>-164.6</v>
      </c>
      <c r="G178" s="173"/>
      <c r="H178" s="174" t="e">
        <f aca="false">VLOOKUP(C178,#REF!,5,FALSE())</f>
        <v>#VALUE!</v>
      </c>
      <c r="I178" s="175" t="e">
        <f aca="false">G178-H178</f>
        <v>#VALUE!</v>
      </c>
    </row>
    <row r="179" customFormat="false" ht="12.75" hidden="false" customHeight="true" outlineLevel="0" collapsed="false">
      <c r="A179" s="2"/>
      <c r="B179" s="207"/>
      <c r="C179" s="190" t="n">
        <v>628</v>
      </c>
      <c r="D179" s="191" t="n">
        <v>750</v>
      </c>
      <c r="E179" s="192" t="n">
        <v>-590</v>
      </c>
      <c r="F179" s="193" t="n">
        <v>-160.05</v>
      </c>
      <c r="G179" s="173"/>
      <c r="H179" s="174" t="e">
        <f aca="false">VLOOKUP(C179,#REF!,5,FALSE())</f>
        <v>#VALUE!</v>
      </c>
      <c r="I179" s="175" t="e">
        <f aca="false">G179-H179</f>
        <v>#VALUE!</v>
      </c>
    </row>
    <row r="180" customFormat="false" ht="12.75" hidden="false" customHeight="true" outlineLevel="0" collapsed="false">
      <c r="A180" s="2"/>
      <c r="B180" s="207"/>
      <c r="C180" s="190" t="n">
        <v>629</v>
      </c>
      <c r="D180" s="191" t="n">
        <v>1100</v>
      </c>
      <c r="E180" s="192" t="n">
        <v>-590</v>
      </c>
      <c r="F180" s="193" t="n">
        <v>-155.66</v>
      </c>
      <c r="G180" s="173"/>
      <c r="H180" s="174" t="e">
        <f aca="false">VLOOKUP(C180,#REF!,5,FALSE())</f>
        <v>#VALUE!</v>
      </c>
      <c r="I180" s="175" t="e">
        <f aca="false">G180-H180</f>
        <v>#VALUE!</v>
      </c>
    </row>
    <row r="181" customFormat="false" ht="12.75" hidden="false" customHeight="true" outlineLevel="0" collapsed="false">
      <c r="A181" s="2"/>
      <c r="B181" s="207"/>
      <c r="C181" s="190" t="n">
        <v>630</v>
      </c>
      <c r="D181" s="191" t="n">
        <v>1500</v>
      </c>
      <c r="E181" s="192" t="n">
        <v>-590</v>
      </c>
      <c r="F181" s="193" t="n">
        <v>-150.12</v>
      </c>
      <c r="G181" s="173"/>
      <c r="H181" s="174" t="e">
        <f aca="false">VLOOKUP(C181,#REF!,5,FALSE())</f>
        <v>#VALUE!</v>
      </c>
      <c r="I181" s="175" t="e">
        <f aca="false">G181-H181</f>
        <v>#VALUE!</v>
      </c>
    </row>
    <row r="182" customFormat="false" ht="12.75" hidden="false" customHeight="true" outlineLevel="0" collapsed="false">
      <c r="A182" s="2"/>
      <c r="B182" s="207"/>
      <c r="C182" s="190" t="n">
        <v>631</v>
      </c>
      <c r="D182" s="191" t="n">
        <v>2403.7</v>
      </c>
      <c r="E182" s="192" t="n">
        <v>-740</v>
      </c>
      <c r="F182" s="193" t="n">
        <v>-97.1</v>
      </c>
      <c r="G182" s="173"/>
      <c r="H182" s="174" t="e">
        <f aca="false">VLOOKUP(C182,#REF!,5,FALSE())</f>
        <v>#VALUE!</v>
      </c>
      <c r="I182" s="175" t="e">
        <f aca="false">G182-H182</f>
        <v>#VALUE!</v>
      </c>
    </row>
    <row r="183" customFormat="false" ht="12.75" hidden="false" customHeight="true" outlineLevel="0" collapsed="false">
      <c r="A183" s="2"/>
      <c r="B183" s="207"/>
      <c r="C183" s="190" t="n">
        <v>632</v>
      </c>
      <c r="D183" s="191" t="n">
        <v>2793.2</v>
      </c>
      <c r="E183" s="192" t="n">
        <v>-740</v>
      </c>
      <c r="F183" s="193" t="n">
        <v>461.5</v>
      </c>
      <c r="G183" s="173"/>
      <c r="H183" s="174" t="e">
        <f aca="false">VLOOKUP(C183,#REF!,5,FALSE())</f>
        <v>#VALUE!</v>
      </c>
      <c r="I183" s="175" t="e">
        <f aca="false">G183-H183</f>
        <v>#VALUE!</v>
      </c>
    </row>
    <row r="184" customFormat="false" ht="12.75" hidden="false" customHeight="true" outlineLevel="0" collapsed="false">
      <c r="A184" s="2"/>
      <c r="B184" s="207"/>
      <c r="C184" s="194" t="n">
        <v>633</v>
      </c>
      <c r="D184" s="195" t="n">
        <v>3172.9</v>
      </c>
      <c r="E184" s="196" t="n">
        <v>-740</v>
      </c>
      <c r="F184" s="197" t="n">
        <v>185.2</v>
      </c>
      <c r="G184" s="198"/>
      <c r="H184" s="199" t="e">
        <f aca="false">VLOOKUP(C184,#REF!,5,FALSE())</f>
        <v>#VALUE!</v>
      </c>
      <c r="I184" s="200" t="e">
        <f aca="false">G184-H184</f>
        <v>#VALUE!</v>
      </c>
    </row>
    <row r="185" customFormat="false" ht="12.75" hidden="false" customHeight="true" outlineLevel="0" collapsed="false">
      <c r="A185" s="2"/>
      <c r="B185" s="207" t="s">
        <v>191</v>
      </c>
      <c r="C185" s="202" t="n">
        <v>55</v>
      </c>
      <c r="D185" s="203" t="n">
        <v>553.5</v>
      </c>
      <c r="E185" s="204" t="n">
        <v>-200</v>
      </c>
      <c r="F185" s="205" t="n">
        <v>675</v>
      </c>
      <c r="G185" s="184"/>
      <c r="H185" s="185" t="e">
        <f aca="false">VLOOKUP(C185,#REF!,5,FALSE())</f>
        <v>#VALUE!</v>
      </c>
      <c r="I185" s="206" t="e">
        <f aca="false">G185-H185</f>
        <v>#VALUE!</v>
      </c>
    </row>
    <row r="186" customFormat="false" ht="12.75" hidden="false" customHeight="true" outlineLevel="0" collapsed="false">
      <c r="A186" s="2"/>
      <c r="B186" s="207"/>
      <c r="C186" s="190" t="n">
        <v>59</v>
      </c>
      <c r="D186" s="191" t="n">
        <v>589.2</v>
      </c>
      <c r="E186" s="192" t="n">
        <v>-400</v>
      </c>
      <c r="F186" s="193" t="n">
        <v>675</v>
      </c>
      <c r="G186" s="173"/>
      <c r="H186" s="174" t="e">
        <f aca="false">VLOOKUP(C186,#REF!,5,FALSE())</f>
        <v>#VALUE!</v>
      </c>
      <c r="I186" s="175" t="e">
        <f aca="false">G186-H186</f>
        <v>#VALUE!</v>
      </c>
    </row>
    <row r="187" customFormat="false" ht="12.75" hidden="false" customHeight="true" outlineLevel="0" collapsed="false">
      <c r="A187" s="2"/>
      <c r="B187" s="207"/>
      <c r="C187" s="190" t="n">
        <v>63</v>
      </c>
      <c r="D187" s="191" t="n">
        <v>661.1</v>
      </c>
      <c r="E187" s="192" t="n">
        <v>-600</v>
      </c>
      <c r="F187" s="193" t="n">
        <v>675</v>
      </c>
      <c r="G187" s="173"/>
      <c r="H187" s="174" t="e">
        <f aca="false">VLOOKUP(C187,#REF!,5,FALSE())</f>
        <v>#VALUE!</v>
      </c>
      <c r="I187" s="175" t="e">
        <f aca="false">G187-H187</f>
        <v>#VALUE!</v>
      </c>
    </row>
    <row r="188" customFormat="false" ht="12.75" hidden="false" customHeight="true" outlineLevel="0" collapsed="false">
      <c r="A188" s="2"/>
      <c r="B188" s="207"/>
      <c r="C188" s="190" t="n">
        <v>56</v>
      </c>
      <c r="D188" s="191" t="n">
        <v>718.28</v>
      </c>
      <c r="E188" s="192" t="n">
        <v>-200</v>
      </c>
      <c r="F188" s="193" t="n">
        <v>775</v>
      </c>
      <c r="G188" s="173"/>
      <c r="H188" s="174" t="e">
        <f aca="false">VLOOKUP(C188,#REF!,5,FALSE())</f>
        <v>#VALUE!</v>
      </c>
      <c r="I188" s="175" t="e">
        <f aca="false">G188-H188</f>
        <v>#VALUE!</v>
      </c>
    </row>
    <row r="189" customFormat="false" ht="12.75" hidden="false" customHeight="true" outlineLevel="0" collapsed="false">
      <c r="A189" s="2"/>
      <c r="B189" s="207"/>
      <c r="C189" s="190" t="n">
        <v>60</v>
      </c>
      <c r="D189" s="191" t="n">
        <v>754.38</v>
      </c>
      <c r="E189" s="192" t="n">
        <v>-400</v>
      </c>
      <c r="F189" s="193" t="n">
        <v>775</v>
      </c>
      <c r="G189" s="173"/>
      <c r="H189" s="174" t="e">
        <f aca="false">VLOOKUP(C189,#REF!,5,FALSE())</f>
        <v>#VALUE!</v>
      </c>
      <c r="I189" s="175" t="e">
        <f aca="false">G189-H189</f>
        <v>#VALUE!</v>
      </c>
    </row>
    <row r="190" customFormat="false" ht="12.75" hidden="false" customHeight="true" outlineLevel="0" collapsed="false">
      <c r="A190" s="2"/>
      <c r="B190" s="207"/>
      <c r="C190" s="190" t="n">
        <v>64</v>
      </c>
      <c r="D190" s="191" t="n">
        <v>827.65</v>
      </c>
      <c r="E190" s="192" t="n">
        <v>-600</v>
      </c>
      <c r="F190" s="193" t="n">
        <v>775</v>
      </c>
      <c r="G190" s="173"/>
      <c r="H190" s="174" t="e">
        <f aca="false">VLOOKUP(C190,#REF!,5,FALSE())</f>
        <v>#VALUE!</v>
      </c>
      <c r="I190" s="175" t="e">
        <f aca="false">G190-H190</f>
        <v>#VALUE!</v>
      </c>
    </row>
    <row r="191" customFormat="false" ht="12.75" hidden="false" customHeight="true" outlineLevel="0" collapsed="false">
      <c r="A191" s="2"/>
      <c r="B191" s="207"/>
      <c r="C191" s="190" t="n">
        <v>57</v>
      </c>
      <c r="D191" s="191" t="n">
        <v>895.8</v>
      </c>
      <c r="E191" s="192" t="n">
        <v>-200</v>
      </c>
      <c r="F191" s="193" t="n">
        <v>875</v>
      </c>
      <c r="G191" s="173"/>
      <c r="H191" s="174" t="e">
        <f aca="false">VLOOKUP(C191,#REF!,5,FALSE())</f>
        <v>#VALUE!</v>
      </c>
      <c r="I191" s="175" t="e">
        <f aca="false">G191-H191</f>
        <v>#VALUE!</v>
      </c>
    </row>
    <row r="192" customFormat="false" ht="12.75" hidden="false" customHeight="true" outlineLevel="0" collapsed="false">
      <c r="A192" s="2"/>
      <c r="B192" s="207"/>
      <c r="C192" s="190" t="n">
        <v>61</v>
      </c>
      <c r="D192" s="191" t="n">
        <v>932.43</v>
      </c>
      <c r="E192" s="192" t="n">
        <v>-400</v>
      </c>
      <c r="F192" s="193" t="n">
        <v>875</v>
      </c>
      <c r="G192" s="173"/>
      <c r="H192" s="174" t="e">
        <f aca="false">VLOOKUP(C192,#REF!,5,FALSE())</f>
        <v>#VALUE!</v>
      </c>
      <c r="I192" s="175" t="e">
        <f aca="false">G192-H192</f>
        <v>#VALUE!</v>
      </c>
    </row>
    <row r="193" customFormat="false" ht="12.75" hidden="false" customHeight="true" outlineLevel="0" collapsed="false">
      <c r="A193" s="2"/>
      <c r="B193" s="207"/>
      <c r="C193" s="190" t="n">
        <v>65</v>
      </c>
      <c r="D193" s="191" t="n">
        <v>1007.9</v>
      </c>
      <c r="E193" s="192" t="n">
        <v>-600</v>
      </c>
      <c r="F193" s="193" t="n">
        <v>875</v>
      </c>
      <c r="G193" s="173"/>
      <c r="H193" s="174" t="e">
        <f aca="false">VLOOKUP(C193,#REF!,5,FALSE())</f>
        <v>#VALUE!</v>
      </c>
      <c r="I193" s="175" t="e">
        <f aca="false">G193-H193</f>
        <v>#VALUE!</v>
      </c>
    </row>
    <row r="194" customFormat="false" ht="12.75" hidden="false" customHeight="true" outlineLevel="0" collapsed="false">
      <c r="A194" s="2"/>
      <c r="B194" s="207"/>
      <c r="C194" s="190" t="n">
        <v>58</v>
      </c>
      <c r="D194" s="191" t="n">
        <v>1095.9</v>
      </c>
      <c r="E194" s="192" t="n">
        <v>-200</v>
      </c>
      <c r="F194" s="193" t="n">
        <v>975</v>
      </c>
      <c r="G194" s="173"/>
      <c r="H194" s="174" t="e">
        <f aca="false">VLOOKUP(C194,#REF!,5,FALSE())</f>
        <v>#VALUE!</v>
      </c>
      <c r="I194" s="175" t="e">
        <f aca="false">G194-H194</f>
        <v>#VALUE!</v>
      </c>
    </row>
    <row r="195" customFormat="false" ht="12.75" hidden="false" customHeight="true" outlineLevel="0" collapsed="false">
      <c r="A195" s="2"/>
      <c r="B195" s="207"/>
      <c r="C195" s="194" t="n">
        <v>62</v>
      </c>
      <c r="D195" s="195" t="n">
        <v>1134.9</v>
      </c>
      <c r="E195" s="196" t="n">
        <v>-400</v>
      </c>
      <c r="F195" s="197" t="n">
        <v>975</v>
      </c>
      <c r="G195" s="198"/>
      <c r="H195" s="199" t="e">
        <f aca="false">VLOOKUP(C195,#REF!,5,FALSE())</f>
        <v>#VALUE!</v>
      </c>
      <c r="I195" s="200" t="e">
        <f aca="false">G195-H195</f>
        <v>#VALUE!</v>
      </c>
    </row>
    <row r="196" customFormat="false" ht="12.75" hidden="false" customHeight="true" outlineLevel="0" collapsed="false">
      <c r="A196" s="2"/>
      <c r="B196" s="201" t="s">
        <v>192</v>
      </c>
      <c r="C196" s="213" t="n">
        <v>129</v>
      </c>
      <c r="D196" s="203" t="n">
        <v>2743.55</v>
      </c>
      <c r="E196" s="204" t="n">
        <v>-400</v>
      </c>
      <c r="F196" s="205" t="n">
        <v>975</v>
      </c>
      <c r="G196" s="184"/>
      <c r="H196" s="185" t="e">
        <f aca="false">VLOOKUP(C196,#REF!,5,FALSE())</f>
        <v>#VALUE!</v>
      </c>
      <c r="I196" s="206" t="e">
        <f aca="false">G196-H196</f>
        <v>#VALUE!</v>
      </c>
    </row>
    <row r="197" customFormat="false" ht="12.75" hidden="false" customHeight="true" outlineLevel="0" collapsed="false">
      <c r="A197" s="2"/>
      <c r="B197" s="201"/>
      <c r="C197" s="178" t="n">
        <v>125</v>
      </c>
      <c r="D197" s="191" t="n">
        <v>2803.68</v>
      </c>
      <c r="E197" s="192" t="n">
        <v>-200</v>
      </c>
      <c r="F197" s="193" t="n">
        <v>975</v>
      </c>
      <c r="G197" s="173"/>
      <c r="H197" s="174" t="e">
        <f aca="false">VLOOKUP(C197,#REF!,5,FALSE())</f>
        <v>#VALUE!</v>
      </c>
      <c r="I197" s="175" t="e">
        <f aca="false">G197-H197</f>
        <v>#VALUE!</v>
      </c>
    </row>
    <row r="198" customFormat="false" ht="12.75" hidden="false" customHeight="true" outlineLevel="0" collapsed="false">
      <c r="A198" s="2"/>
      <c r="B198" s="201"/>
      <c r="C198" s="178" t="n">
        <v>130</v>
      </c>
      <c r="D198" s="191" t="n">
        <v>2989.1</v>
      </c>
      <c r="E198" s="192" t="n">
        <v>-400</v>
      </c>
      <c r="F198" s="193" t="n">
        <v>875</v>
      </c>
      <c r="G198" s="173"/>
      <c r="H198" s="174" t="e">
        <f aca="false">VLOOKUP(C198,#REF!,5,FALSE())</f>
        <v>#VALUE!</v>
      </c>
      <c r="I198" s="175" t="e">
        <f aca="false">G198-H198</f>
        <v>#VALUE!</v>
      </c>
    </row>
    <row r="199" customFormat="false" ht="12.75" hidden="false" customHeight="true" outlineLevel="0" collapsed="false">
      <c r="A199" s="2"/>
      <c r="B199" s="201"/>
      <c r="C199" s="178" t="n">
        <v>126</v>
      </c>
      <c r="D199" s="191" t="n">
        <v>3042.9</v>
      </c>
      <c r="E199" s="192" t="n">
        <v>-200</v>
      </c>
      <c r="F199" s="193" t="n">
        <v>875</v>
      </c>
      <c r="G199" s="173"/>
      <c r="H199" s="174" t="e">
        <f aca="false">VLOOKUP(C199,#REF!,5,FALSE())</f>
        <v>#VALUE!</v>
      </c>
      <c r="I199" s="175" t="e">
        <f aca="false">G199-H199</f>
        <v>#VALUE!</v>
      </c>
    </row>
    <row r="200" customFormat="false" ht="12.75" hidden="false" customHeight="true" outlineLevel="0" collapsed="false">
      <c r="A200" s="2"/>
      <c r="B200" s="201"/>
      <c r="C200" s="178" t="n">
        <v>131</v>
      </c>
      <c r="D200" s="191" t="n">
        <v>3200.9</v>
      </c>
      <c r="E200" s="192" t="n">
        <v>-400</v>
      </c>
      <c r="F200" s="193" t="n">
        <v>775</v>
      </c>
      <c r="G200" s="173"/>
      <c r="H200" s="174" t="e">
        <f aca="false">VLOOKUP(C200,#REF!,5,FALSE())</f>
        <v>#VALUE!</v>
      </c>
      <c r="I200" s="175" t="e">
        <f aca="false">G200-H200</f>
        <v>#VALUE!</v>
      </c>
    </row>
    <row r="201" customFormat="false" ht="12.75" hidden="false" customHeight="true" outlineLevel="0" collapsed="false">
      <c r="A201" s="2"/>
      <c r="B201" s="201"/>
      <c r="C201" s="178" t="n">
        <v>127</v>
      </c>
      <c r="D201" s="191" t="n">
        <v>3251.25</v>
      </c>
      <c r="E201" s="192" t="n">
        <v>-200</v>
      </c>
      <c r="F201" s="193" t="n">
        <v>775</v>
      </c>
      <c r="G201" s="173"/>
      <c r="H201" s="174" t="e">
        <f aca="false">VLOOKUP(C201,#REF!,5,FALSE())</f>
        <v>#VALUE!</v>
      </c>
      <c r="I201" s="175" t="e">
        <f aca="false">G201-H201</f>
        <v>#VALUE!</v>
      </c>
    </row>
    <row r="202" customFormat="false" ht="12.75" hidden="false" customHeight="true" outlineLevel="0" collapsed="false">
      <c r="A202" s="2"/>
      <c r="B202" s="201"/>
      <c r="C202" s="178" t="n">
        <v>128</v>
      </c>
      <c r="D202" s="191" t="n">
        <v>3500</v>
      </c>
      <c r="E202" s="192" t="n">
        <v>-200</v>
      </c>
      <c r="F202" s="193" t="n">
        <v>731.48</v>
      </c>
      <c r="G202" s="173"/>
      <c r="H202" s="174" t="e">
        <f aca="false">VLOOKUP(C202,#REF!,5,FALSE())</f>
        <v>#VALUE!</v>
      </c>
      <c r="I202" s="175" t="e">
        <f aca="false">G202-H202</f>
        <v>#VALUE!</v>
      </c>
    </row>
    <row r="203" customFormat="false" ht="12.75" hidden="false" customHeight="true" outlineLevel="0" collapsed="false">
      <c r="A203" s="2"/>
      <c r="B203" s="201"/>
      <c r="C203" s="214" t="n">
        <v>132</v>
      </c>
      <c r="D203" s="195" t="n">
        <v>3500</v>
      </c>
      <c r="E203" s="196" t="n">
        <v>-400</v>
      </c>
      <c r="F203" s="197" t="n">
        <v>721.2</v>
      </c>
      <c r="G203" s="198"/>
      <c r="H203" s="199" t="e">
        <f aca="false">VLOOKUP(C203,#REF!,5,FALSE())</f>
        <v>#VALUE!</v>
      </c>
      <c r="I203" s="200" t="e">
        <f aca="false">G203-H203</f>
        <v>#VALUE!</v>
      </c>
    </row>
    <row r="204" customFormat="false" ht="12.75" hidden="false" customHeight="true" outlineLevel="0" collapsed="false">
      <c r="A204" s="2"/>
      <c r="B204" s="201" t="s">
        <v>193</v>
      </c>
      <c r="C204" s="202" t="n">
        <v>210</v>
      </c>
      <c r="D204" s="203" t="n">
        <v>1020</v>
      </c>
      <c r="E204" s="204" t="n">
        <v>-720.9</v>
      </c>
      <c r="F204" s="205" t="n">
        <v>775</v>
      </c>
      <c r="G204" s="184"/>
      <c r="H204" s="185" t="e">
        <f aca="false">VLOOKUP(C204,#REF!,5,FALSE())</f>
        <v>#VALUE!</v>
      </c>
      <c r="I204" s="206" t="e">
        <f aca="false">G204-H204</f>
        <v>#VALUE!</v>
      </c>
    </row>
    <row r="205" customFormat="false" ht="12.75" hidden="false" customHeight="true" outlineLevel="0" collapsed="false">
      <c r="A205" s="2"/>
      <c r="B205" s="201"/>
      <c r="C205" s="190" t="n">
        <v>211</v>
      </c>
      <c r="D205" s="191" t="n">
        <v>1100</v>
      </c>
      <c r="E205" s="192" t="n">
        <v>-698.8</v>
      </c>
      <c r="F205" s="193" t="n">
        <v>830</v>
      </c>
      <c r="G205" s="173"/>
      <c r="H205" s="174" t="e">
        <f aca="false">VLOOKUP(C205,#REF!,5,FALSE())</f>
        <v>#VALUE!</v>
      </c>
      <c r="I205" s="175" t="e">
        <f aca="false">G205-H205</f>
        <v>#VALUE!</v>
      </c>
    </row>
    <row r="206" customFormat="false" ht="12.75" hidden="false" customHeight="true" outlineLevel="0" collapsed="false">
      <c r="A206" s="2"/>
      <c r="B206" s="201"/>
      <c r="C206" s="190" t="n">
        <v>212</v>
      </c>
      <c r="D206" s="191" t="n">
        <v>1200</v>
      </c>
      <c r="E206" s="192" t="n">
        <v>-676.7</v>
      </c>
      <c r="F206" s="193" t="n">
        <v>880</v>
      </c>
      <c r="G206" s="173"/>
      <c r="H206" s="174" t="e">
        <f aca="false">VLOOKUP(C206,#REF!,5,FALSE())</f>
        <v>#VALUE!</v>
      </c>
      <c r="I206" s="175" t="e">
        <f aca="false">G206-H206</f>
        <v>#VALUE!</v>
      </c>
    </row>
    <row r="207" customFormat="false" ht="12.75" hidden="false" customHeight="true" outlineLevel="0" collapsed="false">
      <c r="A207" s="2"/>
      <c r="B207" s="201"/>
      <c r="C207" s="190" t="n">
        <v>213</v>
      </c>
      <c r="D207" s="191" t="n">
        <v>1300</v>
      </c>
      <c r="E207" s="192" t="n">
        <v>-654.5</v>
      </c>
      <c r="F207" s="193" t="n">
        <v>925</v>
      </c>
      <c r="G207" s="173"/>
      <c r="H207" s="174" t="e">
        <f aca="false">VLOOKUP(C207,#REF!,5,FALSE())</f>
        <v>#VALUE!</v>
      </c>
      <c r="I207" s="175" t="e">
        <f aca="false">G207-H207</f>
        <v>#VALUE!</v>
      </c>
    </row>
    <row r="208" customFormat="false" ht="12.75" hidden="false" customHeight="true" outlineLevel="0" collapsed="false">
      <c r="A208" s="2"/>
      <c r="B208" s="201"/>
      <c r="C208" s="190" t="n">
        <v>214</v>
      </c>
      <c r="D208" s="191" t="n">
        <v>1400</v>
      </c>
      <c r="E208" s="192" t="n">
        <v>-641.8</v>
      </c>
      <c r="F208" s="193" t="n">
        <v>950</v>
      </c>
      <c r="G208" s="173"/>
      <c r="H208" s="174" t="e">
        <f aca="false">VLOOKUP(C208,#REF!,5,FALSE())</f>
        <v>#VALUE!</v>
      </c>
      <c r="I208" s="175" t="e">
        <f aca="false">G208-H208</f>
        <v>#VALUE!</v>
      </c>
    </row>
    <row r="209" customFormat="false" ht="12.75" hidden="false" customHeight="true" outlineLevel="0" collapsed="false">
      <c r="A209" s="2"/>
      <c r="B209" s="201"/>
      <c r="C209" s="190" t="n">
        <v>54</v>
      </c>
      <c r="D209" s="191" t="n">
        <v>1500</v>
      </c>
      <c r="E209" s="192" t="n">
        <v>-628.05</v>
      </c>
      <c r="F209" s="193" t="n">
        <v>975</v>
      </c>
      <c r="G209" s="173"/>
      <c r="H209" s="174" t="e">
        <f aca="false">VLOOKUP(C209,#REF!,5,FALSE())</f>
        <v>#VALUE!</v>
      </c>
      <c r="I209" s="175" t="e">
        <f aca="false">G209-H209</f>
        <v>#VALUE!</v>
      </c>
    </row>
    <row r="210" customFormat="false" ht="12.75" hidden="false" customHeight="true" outlineLevel="0" collapsed="false">
      <c r="A210" s="2"/>
      <c r="B210" s="201"/>
      <c r="C210" s="190" t="n">
        <v>209</v>
      </c>
      <c r="D210" s="191" t="n">
        <v>1020</v>
      </c>
      <c r="E210" s="192" t="n">
        <v>-741.1</v>
      </c>
      <c r="F210" s="193" t="n">
        <v>725</v>
      </c>
      <c r="G210" s="173"/>
      <c r="H210" s="174" t="e">
        <f aca="false">VLOOKUP(C210,#REF!,5,FALSE())</f>
        <v>#VALUE!</v>
      </c>
      <c r="I210" s="175" t="e">
        <f aca="false">G210-H210</f>
        <v>#VALUE!</v>
      </c>
    </row>
    <row r="211" customFormat="false" ht="12.75" hidden="false" customHeight="true" outlineLevel="0" collapsed="false">
      <c r="A211" s="2"/>
      <c r="B211" s="201"/>
      <c r="C211" s="190" t="n">
        <v>46</v>
      </c>
      <c r="D211" s="191" t="n">
        <v>1100</v>
      </c>
      <c r="E211" s="192" t="n">
        <v>-723.63</v>
      </c>
      <c r="F211" s="193" t="n">
        <v>775</v>
      </c>
      <c r="G211" s="173"/>
      <c r="H211" s="174" t="e">
        <f aca="false">VLOOKUP(C211,#REF!,5,FALSE())</f>
        <v>#VALUE!</v>
      </c>
      <c r="I211" s="175" t="e">
        <f aca="false">G211-H211</f>
        <v>#VALUE!</v>
      </c>
    </row>
    <row r="212" customFormat="false" ht="12.75" hidden="false" customHeight="true" outlineLevel="0" collapsed="false">
      <c r="A212" s="2"/>
      <c r="B212" s="201"/>
      <c r="C212" s="190" t="n">
        <v>215</v>
      </c>
      <c r="D212" s="191" t="n">
        <v>1200</v>
      </c>
      <c r="E212" s="192" t="n">
        <v>-706.5</v>
      </c>
      <c r="F212" s="193" t="n">
        <v>820</v>
      </c>
      <c r="G212" s="173"/>
      <c r="H212" s="174" t="e">
        <f aca="false">VLOOKUP(C212,#REF!,5,FALSE())</f>
        <v>#VALUE!</v>
      </c>
      <c r="I212" s="175" t="e">
        <f aca="false">G212-H212</f>
        <v>#VALUE!</v>
      </c>
    </row>
    <row r="213" customFormat="false" ht="12.75" hidden="false" customHeight="true" outlineLevel="0" collapsed="false">
      <c r="A213" s="2"/>
      <c r="B213" s="201"/>
      <c r="C213" s="190" t="n">
        <v>47</v>
      </c>
      <c r="D213" s="191" t="n">
        <v>1300</v>
      </c>
      <c r="E213" s="192" t="n">
        <v>-681.85</v>
      </c>
      <c r="F213" s="193" t="n">
        <v>875</v>
      </c>
      <c r="G213" s="173"/>
      <c r="H213" s="174" t="e">
        <f aca="false">VLOOKUP(C213,#REF!,5,FALSE())</f>
        <v>#VALUE!</v>
      </c>
      <c r="I213" s="175" t="e">
        <f aca="false">G213-H213</f>
        <v>#VALUE!</v>
      </c>
    </row>
    <row r="214" customFormat="false" ht="12.75" hidden="false" customHeight="true" outlineLevel="0" collapsed="false">
      <c r="A214" s="2"/>
      <c r="B214" s="201"/>
      <c r="C214" s="190" t="n">
        <v>217</v>
      </c>
      <c r="D214" s="191" t="n">
        <v>1400</v>
      </c>
      <c r="E214" s="192" t="n">
        <v>-681.2</v>
      </c>
      <c r="F214" s="193" t="n">
        <v>880</v>
      </c>
      <c r="G214" s="173"/>
      <c r="H214" s="174" t="e">
        <f aca="false">VLOOKUP(C214,#REF!,5,FALSE())</f>
        <v>#VALUE!</v>
      </c>
      <c r="I214" s="175" t="e">
        <f aca="false">G214-H214</f>
        <v>#VALUE!</v>
      </c>
    </row>
    <row r="215" customFormat="false" ht="12.75" hidden="false" customHeight="true" outlineLevel="0" collapsed="false">
      <c r="A215" s="2"/>
      <c r="B215" s="201"/>
      <c r="C215" s="190" t="n">
        <v>53</v>
      </c>
      <c r="D215" s="191" t="n">
        <v>1500</v>
      </c>
      <c r="E215" s="192" t="n">
        <v>-685.2</v>
      </c>
      <c r="F215" s="193" t="n">
        <v>875</v>
      </c>
      <c r="G215" s="173"/>
      <c r="H215" s="174" t="e">
        <f aca="false">VLOOKUP(C215,#REF!,5,FALSE())</f>
        <v>#VALUE!</v>
      </c>
      <c r="I215" s="175" t="e">
        <f aca="false">G215-H215</f>
        <v>#VALUE!</v>
      </c>
    </row>
    <row r="216" customFormat="false" ht="12.75" hidden="false" customHeight="true" outlineLevel="0" collapsed="false">
      <c r="A216" s="2"/>
      <c r="B216" s="201"/>
      <c r="C216" s="190" t="n">
        <v>216</v>
      </c>
      <c r="D216" s="191" t="n">
        <v>1200</v>
      </c>
      <c r="E216" s="192" t="n">
        <v>-724.4</v>
      </c>
      <c r="F216" s="193" t="n">
        <v>780</v>
      </c>
      <c r="G216" s="173"/>
      <c r="H216" s="174" t="e">
        <f aca="false">VLOOKUP(C216,#REF!,5,FALSE())</f>
        <v>#VALUE!</v>
      </c>
      <c r="I216" s="175" t="e">
        <f aca="false">G216-H216</f>
        <v>#VALUE!</v>
      </c>
    </row>
    <row r="217" customFormat="false" ht="12.75" hidden="false" customHeight="true" outlineLevel="0" collapsed="false">
      <c r="A217" s="2"/>
      <c r="B217" s="201"/>
      <c r="C217" s="190" t="n">
        <v>50</v>
      </c>
      <c r="D217" s="191" t="n">
        <v>1300</v>
      </c>
      <c r="E217" s="192" t="n">
        <v>-728.8</v>
      </c>
      <c r="F217" s="193" t="n">
        <v>775</v>
      </c>
      <c r="G217" s="173"/>
      <c r="H217" s="174" t="e">
        <f aca="false">VLOOKUP(C217,#REF!,5,FALSE())</f>
        <v>#VALUE!</v>
      </c>
      <c r="I217" s="175" t="e">
        <f aca="false">G217-H217</f>
        <v>#VALUE!</v>
      </c>
    </row>
    <row r="218" customFormat="false" ht="12.75" hidden="false" customHeight="true" outlineLevel="0" collapsed="false">
      <c r="A218" s="2"/>
      <c r="B218" s="201"/>
      <c r="C218" s="190" t="n">
        <v>218</v>
      </c>
      <c r="D218" s="191" t="n">
        <v>1400</v>
      </c>
      <c r="E218" s="192" t="n">
        <v>-728.5</v>
      </c>
      <c r="F218" s="193" t="n">
        <v>780</v>
      </c>
      <c r="G218" s="173"/>
      <c r="H218" s="174" t="e">
        <f aca="false">VLOOKUP(C218,#REF!,5,FALSE())</f>
        <v>#VALUE!</v>
      </c>
      <c r="I218" s="175" t="e">
        <f aca="false">G218-H218</f>
        <v>#VALUE!</v>
      </c>
    </row>
    <row r="219" customFormat="false" ht="12.75" hidden="false" customHeight="true" outlineLevel="0" collapsed="false">
      <c r="A219" s="2"/>
      <c r="B219" s="201"/>
      <c r="C219" s="190" t="n">
        <v>52</v>
      </c>
      <c r="D219" s="191" t="n">
        <v>1500</v>
      </c>
      <c r="E219" s="192" t="n">
        <v>-731.85</v>
      </c>
      <c r="F219" s="193" t="n">
        <v>775</v>
      </c>
      <c r="G219" s="173"/>
      <c r="H219" s="174" t="e">
        <f aca="false">VLOOKUP(C219,#REF!,5,FALSE())</f>
        <v>#VALUE!</v>
      </c>
      <c r="I219" s="175" t="e">
        <f aca="false">G219-H219</f>
        <v>#VALUE!</v>
      </c>
    </row>
    <row r="220" customFormat="false" ht="12.75" hidden="false" customHeight="true" outlineLevel="0" collapsed="false">
      <c r="A220" s="2"/>
      <c r="B220" s="201"/>
      <c r="C220" s="190" t="n">
        <v>208</v>
      </c>
      <c r="D220" s="191" t="n">
        <v>1020</v>
      </c>
      <c r="E220" s="192" t="n">
        <v>-759</v>
      </c>
      <c r="F220" s="193" t="n">
        <v>675</v>
      </c>
      <c r="G220" s="173"/>
      <c r="H220" s="174" t="e">
        <f aca="false">VLOOKUP(C220,#REF!,5,FALSE())</f>
        <v>#VALUE!</v>
      </c>
      <c r="I220" s="175" t="e">
        <f aca="false">G220-H220</f>
        <v>#VALUE!</v>
      </c>
    </row>
    <row r="221" customFormat="false" ht="12.75" hidden="false" customHeight="true" outlineLevel="0" collapsed="false">
      <c r="A221" s="2"/>
      <c r="B221" s="201"/>
      <c r="C221" s="190" t="n">
        <v>48</v>
      </c>
      <c r="D221" s="191" t="n">
        <v>1100</v>
      </c>
      <c r="E221" s="192" t="n">
        <v>-761.53</v>
      </c>
      <c r="F221" s="193" t="n">
        <v>675</v>
      </c>
      <c r="G221" s="173"/>
      <c r="H221" s="174" t="e">
        <f aca="false">VLOOKUP(C221,#REF!,5,FALSE())</f>
        <v>#VALUE!</v>
      </c>
      <c r="I221" s="175" t="e">
        <f aca="false">G221-H221</f>
        <v>#VALUE!</v>
      </c>
    </row>
    <row r="222" customFormat="false" ht="12.75" hidden="false" customHeight="true" outlineLevel="0" collapsed="false">
      <c r="A222" s="2"/>
      <c r="B222" s="201"/>
      <c r="C222" s="190" t="n">
        <v>49</v>
      </c>
      <c r="D222" s="191" t="n">
        <v>1300</v>
      </c>
      <c r="E222" s="192" t="n">
        <v>-766.35</v>
      </c>
      <c r="F222" s="193" t="n">
        <v>675</v>
      </c>
      <c r="G222" s="173"/>
      <c r="H222" s="174" t="e">
        <f aca="false">VLOOKUP(C222,#REF!,5,FALSE())</f>
        <v>#VALUE!</v>
      </c>
      <c r="I222" s="175" t="e">
        <f aca="false">G222-H222</f>
        <v>#VALUE!</v>
      </c>
    </row>
    <row r="223" customFormat="false" ht="12.75" hidden="false" customHeight="true" outlineLevel="0" collapsed="false">
      <c r="A223" s="2"/>
      <c r="B223" s="201"/>
      <c r="C223" s="194" t="n">
        <v>51</v>
      </c>
      <c r="D223" s="195" t="n">
        <v>1500</v>
      </c>
      <c r="E223" s="196" t="n">
        <v>-769.13</v>
      </c>
      <c r="F223" s="197" t="n">
        <v>675</v>
      </c>
      <c r="G223" s="198"/>
      <c r="H223" s="199" t="e">
        <f aca="false">VLOOKUP(C223,#REF!,5,FALSE())</f>
        <v>#VALUE!</v>
      </c>
      <c r="I223" s="200" t="e">
        <f aca="false">G223-H223</f>
        <v>#VALUE!</v>
      </c>
    </row>
    <row r="224" customFormat="false" ht="12.75" hidden="false" customHeight="true" outlineLevel="0" collapsed="false">
      <c r="A224" s="2"/>
      <c r="B224" s="215"/>
      <c r="C224" s="2"/>
      <c r="D224" s="2"/>
      <c r="E224" s="2"/>
      <c r="F224" s="2"/>
      <c r="G224" s="2"/>
      <c r="H224" s="2"/>
      <c r="I224" s="2"/>
    </row>
    <row r="225" customFormat="false" ht="12.75" hidden="false" customHeight="true" outlineLevel="0" collapsed="false">
      <c r="A225" s="2"/>
      <c r="B225" s="215"/>
      <c r="C225" s="2"/>
      <c r="D225" s="2"/>
      <c r="E225" s="2"/>
      <c r="F225" s="2"/>
      <c r="G225" s="2"/>
      <c r="H225" s="2"/>
      <c r="I225" s="2"/>
    </row>
    <row r="226" customFormat="false" ht="12.75" hidden="false" customHeight="true" outlineLevel="0" collapsed="false">
      <c r="A226" s="2"/>
      <c r="B226" s="215"/>
      <c r="C226" s="2"/>
      <c r="D226" s="2"/>
      <c r="E226" s="2"/>
      <c r="F226" s="2"/>
      <c r="G226" s="2"/>
      <c r="H226" s="2"/>
      <c r="I226" s="2"/>
    </row>
    <row r="227" customFormat="false" ht="12.75" hidden="false" customHeight="true" outlineLevel="0" collapsed="false">
      <c r="B227" s="215"/>
      <c r="C227" s="2"/>
      <c r="D227" s="2"/>
      <c r="E227" s="2"/>
      <c r="F227" s="2"/>
    </row>
    <row r="228" customFormat="false" ht="12.75" hidden="false" customHeight="true" outlineLevel="0" collapsed="false">
      <c r="B228" s="215"/>
      <c r="C228" s="2"/>
      <c r="D228" s="2"/>
      <c r="E228" s="2"/>
      <c r="F228" s="2"/>
    </row>
    <row r="229" customFormat="false" ht="12.75" hidden="false" customHeight="true" outlineLevel="0" collapsed="false">
      <c r="B229" s="215"/>
      <c r="C229" s="2"/>
      <c r="D229" s="2"/>
      <c r="E229" s="2"/>
      <c r="F229" s="2"/>
    </row>
    <row r="230" customFormat="false" ht="12.75" hidden="false" customHeight="true" outlineLevel="0" collapsed="false">
      <c r="B230" s="215"/>
      <c r="C230" s="2"/>
      <c r="D230" s="2"/>
      <c r="E230" s="2"/>
      <c r="F230" s="2"/>
    </row>
    <row r="231" customFormat="false" ht="12.75" hidden="false" customHeight="true" outlineLevel="0" collapsed="false">
      <c r="B231" s="215"/>
      <c r="C231" s="2"/>
      <c r="D231" s="2"/>
      <c r="E231" s="2"/>
      <c r="F231" s="2"/>
    </row>
    <row r="232" customFormat="false" ht="12.75" hidden="false" customHeight="true" outlineLevel="0" collapsed="false">
      <c r="B232" s="215"/>
      <c r="C232" s="2"/>
      <c r="D232" s="2"/>
      <c r="E232" s="2"/>
      <c r="F232" s="2"/>
    </row>
    <row r="233" customFormat="false" ht="12.75" hidden="false" customHeight="true" outlineLevel="0" collapsed="false">
      <c r="B233" s="215"/>
      <c r="C233" s="2"/>
      <c r="D233" s="2"/>
      <c r="E233" s="2"/>
      <c r="F233" s="2"/>
    </row>
    <row r="234" customFormat="false" ht="12.75" hidden="false" customHeight="true" outlineLevel="0" collapsed="false">
      <c r="B234" s="215"/>
      <c r="C234" s="2"/>
      <c r="D234" s="2"/>
      <c r="E234" s="2"/>
      <c r="F234" s="2"/>
    </row>
    <row r="235" customFormat="false" ht="12.75" hidden="false" customHeight="true" outlineLevel="0" collapsed="false">
      <c r="B235" s="215"/>
      <c r="C235" s="2"/>
      <c r="D235" s="2"/>
      <c r="E235" s="2"/>
      <c r="F235" s="2"/>
    </row>
    <row r="236" customFormat="false" ht="12.75" hidden="false" customHeight="true" outlineLevel="0" collapsed="false">
      <c r="B236" s="215"/>
      <c r="C236" s="2"/>
      <c r="D236" s="2"/>
      <c r="E236" s="2"/>
      <c r="F236" s="2"/>
    </row>
    <row r="237" customFormat="false" ht="12.75" hidden="false" customHeight="true" outlineLevel="0" collapsed="false">
      <c r="B237" s="215"/>
      <c r="C237" s="2"/>
      <c r="D237" s="2"/>
      <c r="E237" s="2"/>
      <c r="F237" s="2"/>
    </row>
    <row r="238" customFormat="false" ht="12.75" hidden="false" customHeight="true" outlineLevel="0" collapsed="false">
      <c r="B238" s="215"/>
      <c r="C238" s="2"/>
      <c r="D238" s="2"/>
      <c r="E238" s="2"/>
      <c r="F238" s="2"/>
    </row>
    <row r="239" customFormat="false" ht="12.75" hidden="false" customHeight="true" outlineLevel="0" collapsed="false">
      <c r="B239" s="215"/>
      <c r="C239" s="2"/>
      <c r="D239" s="2"/>
      <c r="E239" s="2"/>
      <c r="F239" s="2"/>
    </row>
    <row r="240" customFormat="false" ht="12.75" hidden="false" customHeight="true" outlineLevel="0" collapsed="false">
      <c r="B240" s="215"/>
      <c r="C240" s="2"/>
      <c r="D240" s="2"/>
      <c r="E240" s="2"/>
      <c r="F240" s="2"/>
    </row>
    <row r="241" customFormat="false" ht="12.75" hidden="false" customHeight="true" outlineLevel="0" collapsed="false">
      <c r="B241" s="215"/>
      <c r="C241" s="2"/>
      <c r="D241" s="2"/>
      <c r="E241" s="2"/>
      <c r="F241" s="2"/>
    </row>
    <row r="242" customFormat="false" ht="12.75" hidden="false" customHeight="true" outlineLevel="0" collapsed="false">
      <c r="B242" s="215"/>
      <c r="C242" s="2"/>
      <c r="D242" s="2"/>
      <c r="E242" s="2"/>
      <c r="F242" s="2"/>
    </row>
    <row r="243" customFormat="false" ht="12.75" hidden="false" customHeight="true" outlineLevel="0" collapsed="false">
      <c r="B243" s="215"/>
      <c r="C243" s="2"/>
      <c r="D243" s="2"/>
      <c r="E243" s="2"/>
      <c r="F243" s="2"/>
    </row>
    <row r="244" customFormat="false" ht="12.75" hidden="false" customHeight="true" outlineLevel="0" collapsed="false">
      <c r="B244" s="215"/>
      <c r="C244" s="2"/>
      <c r="D244" s="2"/>
      <c r="E244" s="2"/>
      <c r="F244" s="2"/>
    </row>
    <row r="245" customFormat="false" ht="12.75" hidden="false" customHeight="true" outlineLevel="0" collapsed="false">
      <c r="B245" s="215"/>
      <c r="C245" s="2"/>
      <c r="D245" s="2"/>
      <c r="E245" s="2"/>
      <c r="F245" s="2"/>
    </row>
    <row r="246" customFormat="false" ht="12.75" hidden="false" customHeight="true" outlineLevel="0" collapsed="false">
      <c r="B246" s="215"/>
      <c r="C246" s="2"/>
      <c r="D246" s="2"/>
      <c r="E246" s="2"/>
      <c r="F246" s="2"/>
    </row>
    <row r="247" customFormat="false" ht="12.75" hidden="false" customHeight="true" outlineLevel="0" collapsed="false">
      <c r="B247" s="215"/>
      <c r="C247" s="2"/>
      <c r="D247" s="2"/>
      <c r="E247" s="2"/>
      <c r="F247" s="2"/>
    </row>
    <row r="248" customFormat="false" ht="12.75" hidden="false" customHeight="true" outlineLevel="0" collapsed="false">
      <c r="B248" s="215"/>
      <c r="C248" s="2"/>
      <c r="D248" s="2"/>
      <c r="E248" s="2"/>
      <c r="F248" s="2"/>
    </row>
    <row r="249" customFormat="false" ht="12.75" hidden="false" customHeight="true" outlineLevel="0" collapsed="false">
      <c r="B249" s="215"/>
      <c r="C249" s="2"/>
      <c r="D249" s="2"/>
      <c r="E249" s="2"/>
      <c r="F249" s="2"/>
    </row>
    <row r="250" customFormat="false" ht="12.75" hidden="false" customHeight="true" outlineLevel="0" collapsed="false">
      <c r="B250" s="215"/>
      <c r="C250" s="2"/>
      <c r="D250" s="2"/>
      <c r="E250" s="2"/>
      <c r="F250" s="2"/>
    </row>
    <row r="251" customFormat="false" ht="12.75" hidden="false" customHeight="true" outlineLevel="0" collapsed="false">
      <c r="B251" s="215"/>
      <c r="C251" s="2"/>
      <c r="D251" s="2"/>
      <c r="E251" s="2"/>
      <c r="F251" s="2"/>
    </row>
    <row r="252" customFormat="false" ht="12.75" hidden="false" customHeight="true" outlineLevel="0" collapsed="false">
      <c r="B252" s="215"/>
      <c r="C252" s="2"/>
      <c r="D252" s="2"/>
      <c r="E252" s="2"/>
      <c r="F252" s="2"/>
    </row>
    <row r="253" customFormat="false" ht="12.75" hidden="false" customHeight="true" outlineLevel="0" collapsed="false">
      <c r="B253" s="215"/>
      <c r="C253" s="2"/>
      <c r="D253" s="2"/>
      <c r="E253" s="2"/>
      <c r="F253" s="2"/>
    </row>
    <row r="254" customFormat="false" ht="12.75" hidden="false" customHeight="true" outlineLevel="0" collapsed="false">
      <c r="B254" s="215"/>
      <c r="C254" s="2"/>
      <c r="D254" s="2"/>
      <c r="E254" s="2"/>
      <c r="F254" s="2"/>
    </row>
    <row r="255" customFormat="false" ht="12.75" hidden="false" customHeight="true" outlineLevel="0" collapsed="false">
      <c r="B255" s="215"/>
      <c r="C255" s="2"/>
      <c r="D255" s="2"/>
      <c r="E255" s="2"/>
      <c r="F255" s="2"/>
    </row>
    <row r="256" customFormat="false" ht="12.75" hidden="false" customHeight="true" outlineLevel="0" collapsed="false">
      <c r="B256" s="215"/>
      <c r="C256" s="2"/>
      <c r="D256" s="2"/>
      <c r="E256" s="2"/>
      <c r="F256" s="2"/>
    </row>
    <row r="257" customFormat="false" ht="12.75" hidden="false" customHeight="true" outlineLevel="0" collapsed="false">
      <c r="B257" s="215"/>
      <c r="C257" s="2"/>
      <c r="D257" s="2"/>
      <c r="E257" s="2"/>
      <c r="F257" s="2"/>
    </row>
    <row r="258" customFormat="false" ht="12.75" hidden="false" customHeight="true" outlineLevel="0" collapsed="false">
      <c r="B258" s="215"/>
      <c r="C258" s="2"/>
      <c r="D258" s="2"/>
      <c r="E258" s="2"/>
      <c r="F258" s="2"/>
    </row>
    <row r="259" customFormat="false" ht="12.75" hidden="false" customHeight="true" outlineLevel="0" collapsed="false">
      <c r="B259" s="215"/>
      <c r="C259" s="2"/>
      <c r="D259" s="2"/>
      <c r="E259" s="2"/>
      <c r="F259" s="2"/>
    </row>
    <row r="260" customFormat="false" ht="12.75" hidden="false" customHeight="true" outlineLevel="0" collapsed="false">
      <c r="B260" s="215"/>
      <c r="C260" s="2"/>
      <c r="D260" s="2"/>
      <c r="E260" s="2"/>
      <c r="F260" s="2"/>
    </row>
    <row r="261" customFormat="false" ht="12.75" hidden="false" customHeight="true" outlineLevel="0" collapsed="false">
      <c r="B261" s="215"/>
      <c r="C261" s="2"/>
      <c r="D261" s="2"/>
      <c r="E261" s="2"/>
      <c r="F261" s="2"/>
    </row>
    <row r="262" customFormat="false" ht="12.75" hidden="false" customHeight="true" outlineLevel="0" collapsed="false">
      <c r="B262" s="215"/>
      <c r="C262" s="2"/>
      <c r="D262" s="2"/>
      <c r="E262" s="2"/>
      <c r="F262" s="2"/>
    </row>
    <row r="263" customFormat="false" ht="12.75" hidden="false" customHeight="true" outlineLevel="0" collapsed="false">
      <c r="B263" s="215"/>
      <c r="C263" s="2"/>
      <c r="D263" s="2"/>
      <c r="E263" s="2"/>
      <c r="F263" s="2"/>
    </row>
    <row r="264" customFormat="false" ht="12.75" hidden="false" customHeight="true" outlineLevel="0" collapsed="false">
      <c r="B264" s="215"/>
      <c r="C264" s="2"/>
      <c r="D264" s="2"/>
      <c r="E264" s="2"/>
      <c r="F264" s="2"/>
    </row>
    <row r="265" customFormat="false" ht="12.75" hidden="false" customHeight="true" outlineLevel="0" collapsed="false">
      <c r="B265" s="215"/>
      <c r="C265" s="2"/>
      <c r="D265" s="2"/>
      <c r="E265" s="2"/>
      <c r="F265" s="2"/>
    </row>
    <row r="266" customFormat="false" ht="12.75" hidden="false" customHeight="true" outlineLevel="0" collapsed="false">
      <c r="B266" s="215"/>
      <c r="C266" s="2"/>
      <c r="D266" s="2"/>
      <c r="E266" s="2"/>
      <c r="F266" s="2"/>
    </row>
    <row r="267" customFormat="false" ht="12.75" hidden="false" customHeight="true" outlineLevel="0" collapsed="false">
      <c r="B267" s="215"/>
      <c r="C267" s="2"/>
      <c r="D267" s="2"/>
      <c r="E267" s="2"/>
      <c r="F267" s="2"/>
    </row>
    <row r="268" customFormat="false" ht="12.75" hidden="false" customHeight="true" outlineLevel="0" collapsed="false">
      <c r="B268" s="215"/>
      <c r="C268" s="2"/>
      <c r="D268" s="2"/>
      <c r="E268" s="2"/>
      <c r="F268" s="2"/>
    </row>
    <row r="269" customFormat="false" ht="12.75" hidden="false" customHeight="true" outlineLevel="0" collapsed="false">
      <c r="B269" s="215"/>
      <c r="C269" s="2"/>
      <c r="D269" s="2"/>
      <c r="E269" s="2"/>
      <c r="F269" s="2"/>
    </row>
    <row r="270" customFormat="false" ht="12.75" hidden="false" customHeight="true" outlineLevel="0" collapsed="false">
      <c r="B270" s="215"/>
      <c r="C270" s="2"/>
      <c r="D270" s="2"/>
      <c r="E270" s="2"/>
      <c r="F270" s="2"/>
    </row>
    <row r="271" customFormat="false" ht="12.75" hidden="false" customHeight="true" outlineLevel="0" collapsed="false">
      <c r="B271" s="215"/>
      <c r="C271" s="2"/>
      <c r="D271" s="2"/>
      <c r="E271" s="2"/>
      <c r="F271" s="2"/>
    </row>
    <row r="272" customFormat="false" ht="12.75" hidden="false" customHeight="true" outlineLevel="0" collapsed="false">
      <c r="B272" s="215"/>
      <c r="C272" s="2"/>
      <c r="D272" s="2"/>
      <c r="E272" s="2"/>
      <c r="F272" s="2"/>
    </row>
    <row r="273" customFormat="false" ht="12.75" hidden="false" customHeight="true" outlineLevel="0" collapsed="false">
      <c r="B273" s="215"/>
      <c r="C273" s="2"/>
      <c r="D273" s="2"/>
      <c r="E273" s="2"/>
      <c r="F273" s="2"/>
    </row>
    <row r="274" customFormat="false" ht="12.75" hidden="false" customHeight="true" outlineLevel="0" collapsed="false">
      <c r="B274" s="215"/>
      <c r="C274" s="2"/>
      <c r="D274" s="2"/>
      <c r="E274" s="2"/>
      <c r="F274" s="2"/>
    </row>
    <row r="275" customFormat="false" ht="12.75" hidden="false" customHeight="true" outlineLevel="0" collapsed="false">
      <c r="B275" s="215"/>
      <c r="C275" s="2"/>
      <c r="D275" s="2"/>
      <c r="E275" s="2"/>
      <c r="F275" s="2"/>
    </row>
    <row r="276" customFormat="false" ht="12.75" hidden="false" customHeight="true" outlineLevel="0" collapsed="false">
      <c r="B276" s="215"/>
      <c r="C276" s="2"/>
      <c r="D276" s="2"/>
      <c r="E276" s="2"/>
      <c r="F276" s="2"/>
    </row>
    <row r="277" customFormat="false" ht="12.75" hidden="false" customHeight="true" outlineLevel="0" collapsed="false">
      <c r="B277" s="215"/>
      <c r="C277" s="2"/>
      <c r="D277" s="2"/>
      <c r="E277" s="2"/>
      <c r="F277" s="2"/>
    </row>
    <row r="278" customFormat="false" ht="12.75" hidden="false" customHeight="true" outlineLevel="0" collapsed="false">
      <c r="B278" s="215"/>
      <c r="C278" s="2"/>
      <c r="D278" s="2"/>
      <c r="E278" s="2"/>
      <c r="F278" s="2"/>
    </row>
    <row r="279" customFormat="false" ht="12.75" hidden="false" customHeight="true" outlineLevel="0" collapsed="false">
      <c r="B279" s="215"/>
      <c r="C279" s="2"/>
      <c r="D279" s="2"/>
      <c r="E279" s="2"/>
      <c r="F279" s="2"/>
    </row>
    <row r="280" customFormat="false" ht="12.75" hidden="false" customHeight="true" outlineLevel="0" collapsed="false">
      <c r="B280" s="215"/>
      <c r="C280" s="2"/>
      <c r="D280" s="2"/>
      <c r="E280" s="2"/>
      <c r="F280" s="2"/>
    </row>
    <row r="281" customFormat="false" ht="12.75" hidden="false" customHeight="true" outlineLevel="0" collapsed="false">
      <c r="B281" s="215"/>
      <c r="C281" s="2"/>
      <c r="D281" s="2"/>
      <c r="E281" s="2"/>
      <c r="F281" s="2"/>
    </row>
    <row r="282" customFormat="false" ht="12.75" hidden="false" customHeight="true" outlineLevel="0" collapsed="false">
      <c r="B282" s="215"/>
      <c r="C282" s="2"/>
      <c r="D282" s="2"/>
      <c r="E282" s="2"/>
      <c r="F282" s="2"/>
    </row>
    <row r="283" customFormat="false" ht="12.75" hidden="false" customHeight="true" outlineLevel="0" collapsed="false">
      <c r="B283" s="215"/>
      <c r="C283" s="2"/>
      <c r="D283" s="2"/>
      <c r="E283" s="2"/>
      <c r="F283" s="2"/>
    </row>
    <row r="284" customFormat="false" ht="12.75" hidden="false" customHeight="true" outlineLevel="0" collapsed="false">
      <c r="B284" s="215"/>
      <c r="C284" s="2"/>
      <c r="D284" s="2"/>
      <c r="E284" s="2"/>
      <c r="F284" s="2"/>
    </row>
    <row r="285" customFormat="false" ht="12.75" hidden="false" customHeight="true" outlineLevel="0" collapsed="false">
      <c r="B285" s="215"/>
      <c r="C285" s="2"/>
      <c r="D285" s="2"/>
      <c r="E285" s="2"/>
      <c r="F285" s="2"/>
    </row>
    <row r="286" customFormat="false" ht="12.75" hidden="false" customHeight="true" outlineLevel="0" collapsed="false">
      <c r="B286" s="215"/>
      <c r="C286" s="2"/>
      <c r="D286" s="2"/>
      <c r="E286" s="2"/>
      <c r="F286" s="2"/>
    </row>
    <row r="287" customFormat="false" ht="12.75" hidden="false" customHeight="true" outlineLevel="0" collapsed="false">
      <c r="B287" s="215"/>
      <c r="C287" s="2"/>
      <c r="D287" s="2"/>
      <c r="E287" s="2"/>
      <c r="F287" s="2"/>
    </row>
    <row r="288" customFormat="false" ht="12.75" hidden="false" customHeight="true" outlineLevel="0" collapsed="false">
      <c r="B288" s="215"/>
      <c r="C288" s="2"/>
      <c r="D288" s="2"/>
      <c r="E288" s="2"/>
      <c r="F288" s="2"/>
    </row>
    <row r="289" customFormat="false" ht="12.75" hidden="false" customHeight="true" outlineLevel="0" collapsed="false">
      <c r="B289" s="215"/>
      <c r="C289" s="2"/>
      <c r="D289" s="2"/>
      <c r="E289" s="2"/>
      <c r="F289" s="2"/>
    </row>
    <row r="290" customFormat="false" ht="12.75" hidden="false" customHeight="true" outlineLevel="0" collapsed="false">
      <c r="B290" s="215"/>
      <c r="C290" s="2"/>
      <c r="D290" s="2"/>
      <c r="E290" s="2"/>
      <c r="F290" s="2"/>
    </row>
    <row r="291" customFormat="false" ht="12.75" hidden="false" customHeight="true" outlineLevel="0" collapsed="false">
      <c r="B291" s="215"/>
      <c r="C291" s="2"/>
      <c r="D291" s="2"/>
      <c r="E291" s="2"/>
      <c r="F291" s="2"/>
    </row>
    <row r="292" customFormat="false" ht="12.75" hidden="false" customHeight="true" outlineLevel="0" collapsed="false">
      <c r="B292" s="215"/>
      <c r="C292" s="2"/>
      <c r="D292" s="2"/>
      <c r="E292" s="2"/>
      <c r="F292" s="2"/>
    </row>
    <row r="293" customFormat="false" ht="12.75" hidden="false" customHeight="true" outlineLevel="0" collapsed="false">
      <c r="B293" s="215"/>
      <c r="C293" s="2"/>
      <c r="D293" s="2"/>
      <c r="E293" s="2"/>
      <c r="F293" s="2"/>
    </row>
    <row r="294" customFormat="false" ht="12.75" hidden="false" customHeight="true" outlineLevel="0" collapsed="false">
      <c r="B294" s="215"/>
      <c r="C294" s="2"/>
      <c r="D294" s="2"/>
      <c r="E294" s="2"/>
      <c r="F294" s="2"/>
    </row>
    <row r="295" customFormat="false" ht="12.75" hidden="false" customHeight="true" outlineLevel="0" collapsed="false">
      <c r="B295" s="215"/>
      <c r="C295" s="2"/>
      <c r="D295" s="2"/>
      <c r="E295" s="2"/>
      <c r="F295" s="2"/>
    </row>
    <row r="296" customFormat="false" ht="12.75" hidden="false" customHeight="true" outlineLevel="0" collapsed="false">
      <c r="B296" s="215"/>
      <c r="C296" s="2"/>
      <c r="D296" s="2"/>
      <c r="E296" s="2"/>
      <c r="F296" s="2"/>
    </row>
    <row r="297" customFormat="false" ht="12.75" hidden="false" customHeight="true" outlineLevel="0" collapsed="false">
      <c r="B297" s="215"/>
      <c r="C297" s="2"/>
      <c r="D297" s="2"/>
      <c r="E297" s="2"/>
      <c r="F297" s="2"/>
    </row>
    <row r="298" customFormat="false" ht="12.75" hidden="false" customHeight="true" outlineLevel="0" collapsed="false">
      <c r="B298" s="215"/>
      <c r="C298" s="2"/>
      <c r="D298" s="2"/>
      <c r="E298" s="2"/>
      <c r="F298" s="2"/>
    </row>
    <row r="299" customFormat="false" ht="12.75" hidden="false" customHeight="true" outlineLevel="0" collapsed="false">
      <c r="B299" s="215"/>
      <c r="C299" s="2"/>
      <c r="D299" s="2"/>
      <c r="E299" s="2"/>
      <c r="F299" s="2"/>
    </row>
    <row r="300" customFormat="false" ht="12.75" hidden="false" customHeight="true" outlineLevel="0" collapsed="false">
      <c r="B300" s="215"/>
      <c r="C300" s="2"/>
      <c r="D300" s="2"/>
      <c r="E300" s="2"/>
      <c r="F300" s="2"/>
    </row>
    <row r="301" customFormat="false" ht="12.75" hidden="false" customHeight="true" outlineLevel="0" collapsed="false">
      <c r="B301" s="215"/>
      <c r="C301" s="2"/>
      <c r="D301" s="2"/>
      <c r="E301" s="2"/>
      <c r="F301" s="2"/>
    </row>
    <row r="302" customFormat="false" ht="12.75" hidden="false" customHeight="true" outlineLevel="0" collapsed="false">
      <c r="B302" s="215"/>
      <c r="C302" s="2"/>
      <c r="D302" s="2"/>
      <c r="E302" s="2"/>
      <c r="F302" s="2"/>
    </row>
    <row r="303" customFormat="false" ht="12.75" hidden="false" customHeight="true" outlineLevel="0" collapsed="false">
      <c r="B303" s="215"/>
      <c r="C303" s="2"/>
      <c r="D303" s="2"/>
      <c r="E303" s="2"/>
      <c r="F303" s="2"/>
    </row>
    <row r="304" customFormat="false" ht="12.75" hidden="false" customHeight="true" outlineLevel="0" collapsed="false">
      <c r="B304" s="215"/>
      <c r="C304" s="2"/>
      <c r="D304" s="2"/>
      <c r="E304" s="2"/>
      <c r="F304" s="2"/>
    </row>
    <row r="305" customFormat="false" ht="12.75" hidden="false" customHeight="true" outlineLevel="0" collapsed="false">
      <c r="B305" s="215"/>
      <c r="C305" s="2"/>
      <c r="D305" s="2"/>
      <c r="E305" s="2"/>
      <c r="F305" s="2"/>
    </row>
    <row r="306" customFormat="false" ht="12.75" hidden="false" customHeight="true" outlineLevel="0" collapsed="false">
      <c r="B306" s="215"/>
      <c r="C306" s="2"/>
      <c r="D306" s="2"/>
      <c r="E306" s="2"/>
      <c r="F306" s="2"/>
    </row>
    <row r="307" customFormat="false" ht="12.75" hidden="false" customHeight="true" outlineLevel="0" collapsed="false">
      <c r="B307" s="215"/>
      <c r="C307" s="2"/>
      <c r="D307" s="2"/>
      <c r="E307" s="2"/>
      <c r="F307" s="2"/>
    </row>
    <row r="308" customFormat="false" ht="12.75" hidden="false" customHeight="true" outlineLevel="0" collapsed="false">
      <c r="B308" s="215"/>
      <c r="C308" s="2"/>
      <c r="D308" s="2"/>
      <c r="E308" s="2"/>
      <c r="F308" s="2"/>
    </row>
    <row r="309" customFormat="false" ht="12.75" hidden="false" customHeight="true" outlineLevel="0" collapsed="false">
      <c r="B309" s="215"/>
      <c r="C309" s="2"/>
      <c r="D309" s="2"/>
      <c r="E309" s="2"/>
      <c r="F309" s="2"/>
    </row>
    <row r="310" customFormat="false" ht="12.75" hidden="false" customHeight="true" outlineLevel="0" collapsed="false">
      <c r="B310" s="215"/>
      <c r="C310" s="2"/>
      <c r="D310" s="2"/>
      <c r="E310" s="2"/>
      <c r="F310" s="2"/>
    </row>
    <row r="311" customFormat="false" ht="12.75" hidden="false" customHeight="true" outlineLevel="0" collapsed="false">
      <c r="B311" s="215"/>
      <c r="C311" s="2"/>
      <c r="D311" s="2"/>
      <c r="E311" s="2"/>
      <c r="F311" s="2"/>
    </row>
    <row r="312" customFormat="false" ht="12.75" hidden="false" customHeight="true" outlineLevel="0" collapsed="false">
      <c r="B312" s="215"/>
      <c r="C312" s="2"/>
      <c r="D312" s="2"/>
      <c r="E312" s="2"/>
      <c r="F312" s="2"/>
    </row>
    <row r="313" customFormat="false" ht="12.75" hidden="false" customHeight="true" outlineLevel="0" collapsed="false">
      <c r="B313" s="215"/>
      <c r="C313" s="2"/>
      <c r="D313" s="2"/>
      <c r="E313" s="2"/>
      <c r="F313" s="2"/>
    </row>
    <row r="314" customFormat="false" ht="12.75" hidden="false" customHeight="true" outlineLevel="0" collapsed="false">
      <c r="B314" s="215"/>
      <c r="C314" s="2"/>
      <c r="D314" s="2"/>
      <c r="E314" s="2"/>
      <c r="F314" s="2"/>
    </row>
    <row r="315" customFormat="false" ht="12.75" hidden="false" customHeight="true" outlineLevel="0" collapsed="false">
      <c r="B315" s="215"/>
      <c r="C315" s="2"/>
      <c r="D315" s="2"/>
      <c r="E315" s="2"/>
      <c r="F315" s="2"/>
    </row>
    <row r="316" customFormat="false" ht="12.75" hidden="false" customHeight="true" outlineLevel="0" collapsed="false">
      <c r="B316" s="215"/>
      <c r="C316" s="2"/>
      <c r="D316" s="2"/>
      <c r="E316" s="2"/>
      <c r="F316" s="2"/>
    </row>
    <row r="317" customFormat="false" ht="12.75" hidden="false" customHeight="true" outlineLevel="0" collapsed="false">
      <c r="B317" s="215"/>
      <c r="C317" s="2"/>
      <c r="D317" s="2"/>
      <c r="E317" s="2"/>
      <c r="F317" s="2"/>
    </row>
    <row r="318" customFormat="false" ht="12.75" hidden="false" customHeight="true" outlineLevel="0" collapsed="false">
      <c r="B318" s="215"/>
      <c r="C318" s="2"/>
      <c r="D318" s="2"/>
      <c r="E318" s="2"/>
      <c r="F318" s="2"/>
    </row>
    <row r="319" customFormat="false" ht="12.75" hidden="false" customHeight="true" outlineLevel="0" collapsed="false">
      <c r="B319" s="215"/>
      <c r="C319" s="2"/>
      <c r="D319" s="2"/>
      <c r="E319" s="2"/>
      <c r="F319" s="2"/>
    </row>
    <row r="320" customFormat="false" ht="12.75" hidden="false" customHeight="true" outlineLevel="0" collapsed="false">
      <c r="B320" s="215"/>
      <c r="C320" s="2"/>
      <c r="D320" s="2"/>
      <c r="E320" s="2"/>
      <c r="F320" s="2"/>
    </row>
    <row r="321" customFormat="false" ht="12.75" hidden="false" customHeight="true" outlineLevel="0" collapsed="false">
      <c r="B321" s="215"/>
      <c r="C321" s="2"/>
      <c r="D321" s="2"/>
      <c r="E321" s="2"/>
      <c r="F321" s="2"/>
    </row>
    <row r="322" customFormat="false" ht="12.75" hidden="false" customHeight="true" outlineLevel="0" collapsed="false">
      <c r="B322" s="215"/>
      <c r="C322" s="2"/>
      <c r="D322" s="2"/>
      <c r="E322" s="2"/>
      <c r="F322" s="2"/>
    </row>
    <row r="323" customFormat="false" ht="12.75" hidden="false" customHeight="true" outlineLevel="0" collapsed="false">
      <c r="B323" s="215"/>
      <c r="C323" s="2"/>
      <c r="D323" s="2"/>
      <c r="E323" s="2"/>
      <c r="F323" s="2"/>
    </row>
    <row r="324" customFormat="false" ht="12.75" hidden="false" customHeight="true" outlineLevel="0" collapsed="false">
      <c r="B324" s="215"/>
      <c r="C324" s="2"/>
      <c r="D324" s="2"/>
      <c r="E324" s="2"/>
      <c r="F324" s="2"/>
    </row>
    <row r="325" customFormat="false" ht="12.75" hidden="false" customHeight="true" outlineLevel="0" collapsed="false">
      <c r="B325" s="215"/>
      <c r="C325" s="2"/>
      <c r="D325" s="2"/>
      <c r="E325" s="2"/>
      <c r="F325" s="2"/>
    </row>
    <row r="326" customFormat="false" ht="12.75" hidden="false" customHeight="true" outlineLevel="0" collapsed="false">
      <c r="B326" s="215"/>
      <c r="C326" s="2"/>
      <c r="D326" s="2"/>
      <c r="E326" s="2"/>
      <c r="F326" s="2"/>
    </row>
    <row r="327" customFormat="false" ht="12.75" hidden="false" customHeight="true" outlineLevel="0" collapsed="false">
      <c r="B327" s="215"/>
      <c r="C327" s="2"/>
      <c r="D327" s="2"/>
      <c r="E327" s="2"/>
      <c r="F327" s="2"/>
    </row>
    <row r="328" customFormat="false" ht="12.75" hidden="false" customHeight="true" outlineLevel="0" collapsed="false">
      <c r="B328" s="215"/>
      <c r="C328" s="2"/>
      <c r="D328" s="2"/>
      <c r="E328" s="2"/>
      <c r="F328" s="2"/>
    </row>
    <row r="329" customFormat="false" ht="12.75" hidden="false" customHeight="true" outlineLevel="0" collapsed="false">
      <c r="B329" s="215"/>
      <c r="C329" s="2"/>
      <c r="D329" s="2"/>
      <c r="E329" s="2"/>
      <c r="F329" s="2"/>
    </row>
    <row r="330" customFormat="false" ht="12.75" hidden="false" customHeight="true" outlineLevel="0" collapsed="false">
      <c r="B330" s="215"/>
      <c r="C330" s="2"/>
      <c r="D330" s="2"/>
      <c r="E330" s="2"/>
      <c r="F330" s="2"/>
    </row>
    <row r="331" customFormat="false" ht="12.75" hidden="false" customHeight="true" outlineLevel="0" collapsed="false">
      <c r="B331" s="215"/>
      <c r="C331" s="2"/>
      <c r="D331" s="2"/>
      <c r="E331" s="2"/>
      <c r="F331" s="2"/>
    </row>
    <row r="332" customFormat="false" ht="12.75" hidden="false" customHeight="true" outlineLevel="0" collapsed="false">
      <c r="B332" s="215"/>
      <c r="C332" s="2"/>
      <c r="D332" s="2"/>
      <c r="E332" s="2"/>
      <c r="F332" s="2"/>
    </row>
    <row r="333" customFormat="false" ht="12.75" hidden="false" customHeight="true" outlineLevel="0" collapsed="false">
      <c r="B333" s="215"/>
      <c r="C333" s="2"/>
      <c r="D333" s="2"/>
      <c r="E333" s="2"/>
      <c r="F333" s="2"/>
    </row>
    <row r="334" customFormat="false" ht="12.75" hidden="false" customHeight="true" outlineLevel="0" collapsed="false">
      <c r="B334" s="215"/>
      <c r="C334" s="2"/>
      <c r="D334" s="2"/>
      <c r="E334" s="2"/>
      <c r="F334" s="2"/>
    </row>
    <row r="335" customFormat="false" ht="12.75" hidden="false" customHeight="true" outlineLevel="0" collapsed="false">
      <c r="B335" s="215"/>
      <c r="C335" s="2"/>
      <c r="D335" s="2"/>
      <c r="E335" s="2"/>
      <c r="F335" s="2"/>
    </row>
    <row r="336" customFormat="false" ht="12.75" hidden="false" customHeight="true" outlineLevel="0" collapsed="false">
      <c r="B336" s="215"/>
      <c r="C336" s="2"/>
      <c r="D336" s="2"/>
      <c r="E336" s="2"/>
      <c r="F336" s="2"/>
    </row>
    <row r="337" customFormat="false" ht="12.75" hidden="false" customHeight="true" outlineLevel="0" collapsed="false">
      <c r="B337" s="215"/>
      <c r="C337" s="2"/>
      <c r="D337" s="2"/>
      <c r="E337" s="2"/>
      <c r="F337" s="2"/>
    </row>
    <row r="338" customFormat="false" ht="12.75" hidden="false" customHeight="true" outlineLevel="0" collapsed="false">
      <c r="B338" s="215"/>
      <c r="C338" s="2"/>
      <c r="D338" s="2"/>
      <c r="E338" s="2"/>
      <c r="F338" s="2"/>
    </row>
    <row r="339" customFormat="false" ht="12.75" hidden="false" customHeight="true" outlineLevel="0" collapsed="false">
      <c r="B339" s="215"/>
      <c r="C339" s="2"/>
      <c r="D339" s="2"/>
      <c r="E339" s="2"/>
      <c r="F339" s="2"/>
    </row>
    <row r="340" customFormat="false" ht="12.75" hidden="false" customHeight="true" outlineLevel="0" collapsed="false">
      <c r="B340" s="215"/>
      <c r="C340" s="2"/>
      <c r="D340" s="2"/>
      <c r="E340" s="2"/>
      <c r="F340" s="2"/>
    </row>
    <row r="341" customFormat="false" ht="12.75" hidden="false" customHeight="true" outlineLevel="0" collapsed="false">
      <c r="B341" s="215"/>
      <c r="C341" s="2"/>
      <c r="D341" s="2"/>
      <c r="E341" s="2"/>
      <c r="F341" s="2"/>
    </row>
    <row r="342" customFormat="false" ht="12.75" hidden="false" customHeight="true" outlineLevel="0" collapsed="false">
      <c r="B342" s="215"/>
      <c r="C342" s="2"/>
      <c r="D342" s="2"/>
      <c r="E342" s="2"/>
      <c r="F342" s="2"/>
    </row>
    <row r="343" customFormat="false" ht="12.75" hidden="false" customHeight="true" outlineLevel="0" collapsed="false">
      <c r="B343" s="215"/>
      <c r="C343" s="2"/>
      <c r="D343" s="2"/>
      <c r="E343" s="2"/>
      <c r="F343" s="2"/>
    </row>
    <row r="344" customFormat="false" ht="12.75" hidden="false" customHeight="true" outlineLevel="0" collapsed="false">
      <c r="B344" s="215"/>
      <c r="C344" s="2"/>
      <c r="D344" s="2"/>
      <c r="E344" s="2"/>
      <c r="F344" s="2"/>
    </row>
    <row r="345" customFormat="false" ht="12.75" hidden="false" customHeight="true" outlineLevel="0" collapsed="false">
      <c r="B345" s="215"/>
      <c r="C345" s="2"/>
      <c r="D345" s="2"/>
      <c r="E345" s="2"/>
      <c r="F345" s="2"/>
    </row>
    <row r="346" customFormat="false" ht="12.75" hidden="false" customHeight="true" outlineLevel="0" collapsed="false">
      <c r="B346" s="215"/>
      <c r="C346" s="2"/>
      <c r="D346" s="2"/>
      <c r="E346" s="2"/>
      <c r="F346" s="2"/>
    </row>
    <row r="347" customFormat="false" ht="12.75" hidden="false" customHeight="true" outlineLevel="0" collapsed="false">
      <c r="B347" s="215"/>
      <c r="C347" s="2"/>
      <c r="D347" s="2"/>
      <c r="E347" s="2"/>
      <c r="F347" s="2"/>
    </row>
    <row r="348" customFormat="false" ht="12.75" hidden="false" customHeight="true" outlineLevel="0" collapsed="false">
      <c r="B348" s="215"/>
      <c r="C348" s="2"/>
      <c r="D348" s="2"/>
      <c r="E348" s="2"/>
      <c r="F348" s="2"/>
    </row>
    <row r="349" customFormat="false" ht="12.75" hidden="false" customHeight="true" outlineLevel="0" collapsed="false">
      <c r="B349" s="215"/>
      <c r="C349" s="2"/>
      <c r="D349" s="2"/>
      <c r="E349" s="2"/>
      <c r="F349" s="2"/>
    </row>
    <row r="350" customFormat="false" ht="12.75" hidden="false" customHeight="true" outlineLevel="0" collapsed="false">
      <c r="B350" s="215"/>
      <c r="C350" s="2"/>
      <c r="D350" s="2"/>
      <c r="E350" s="2"/>
      <c r="F350" s="2"/>
    </row>
    <row r="351" customFormat="false" ht="12.75" hidden="false" customHeight="true" outlineLevel="0" collapsed="false">
      <c r="B351" s="215"/>
      <c r="C351" s="2"/>
      <c r="D351" s="2"/>
      <c r="E351" s="2"/>
      <c r="F351" s="2"/>
    </row>
    <row r="352" customFormat="false" ht="12.75" hidden="false" customHeight="true" outlineLevel="0" collapsed="false">
      <c r="B352" s="215"/>
      <c r="C352" s="2"/>
      <c r="D352" s="2"/>
      <c r="E352" s="2"/>
      <c r="F352" s="2"/>
    </row>
    <row r="353" customFormat="false" ht="12.75" hidden="false" customHeight="true" outlineLevel="0" collapsed="false">
      <c r="B353" s="215"/>
      <c r="C353" s="2"/>
      <c r="D353" s="2"/>
      <c r="E353" s="2"/>
      <c r="F353" s="2"/>
    </row>
    <row r="354" customFormat="false" ht="12.75" hidden="false" customHeight="true" outlineLevel="0" collapsed="false">
      <c r="B354" s="215"/>
      <c r="C354" s="2"/>
      <c r="D354" s="2"/>
      <c r="E354" s="2"/>
      <c r="F354" s="2"/>
    </row>
    <row r="355" customFormat="false" ht="12.75" hidden="false" customHeight="true" outlineLevel="0" collapsed="false">
      <c r="B355" s="215"/>
      <c r="C355" s="2"/>
      <c r="D355" s="2"/>
      <c r="E355" s="2"/>
      <c r="F355" s="2"/>
    </row>
    <row r="356" customFormat="false" ht="12.75" hidden="false" customHeight="true" outlineLevel="0" collapsed="false">
      <c r="B356" s="215"/>
      <c r="C356" s="2"/>
      <c r="D356" s="2"/>
      <c r="E356" s="2"/>
      <c r="F356" s="2"/>
    </row>
    <row r="357" customFormat="false" ht="12.75" hidden="false" customHeight="true" outlineLevel="0" collapsed="false">
      <c r="B357" s="215"/>
      <c r="C357" s="2"/>
      <c r="D357" s="2"/>
      <c r="E357" s="2"/>
      <c r="F357" s="2"/>
    </row>
    <row r="358" customFormat="false" ht="12.75" hidden="false" customHeight="true" outlineLevel="0" collapsed="false">
      <c r="B358" s="215"/>
      <c r="C358" s="2"/>
      <c r="D358" s="2"/>
      <c r="E358" s="2"/>
      <c r="F358" s="2"/>
    </row>
    <row r="359" customFormat="false" ht="12.75" hidden="false" customHeight="true" outlineLevel="0" collapsed="false">
      <c r="B359" s="215"/>
      <c r="C359" s="2"/>
      <c r="D359" s="2"/>
      <c r="E359" s="2"/>
      <c r="F359" s="2"/>
    </row>
    <row r="360" customFormat="false" ht="12.75" hidden="false" customHeight="true" outlineLevel="0" collapsed="false">
      <c r="B360" s="215"/>
      <c r="C360" s="2"/>
      <c r="D360" s="2"/>
      <c r="E360" s="2"/>
      <c r="F360" s="2"/>
    </row>
    <row r="361" customFormat="false" ht="12.75" hidden="false" customHeight="true" outlineLevel="0" collapsed="false">
      <c r="B361" s="215"/>
      <c r="C361" s="2"/>
      <c r="D361" s="2"/>
      <c r="E361" s="2"/>
      <c r="F361" s="2"/>
    </row>
    <row r="362" customFormat="false" ht="12.75" hidden="false" customHeight="true" outlineLevel="0" collapsed="false">
      <c r="B362" s="215"/>
      <c r="C362" s="2"/>
      <c r="D362" s="2"/>
      <c r="E362" s="2"/>
      <c r="F362" s="2"/>
    </row>
    <row r="363" customFormat="false" ht="12.75" hidden="false" customHeight="true" outlineLevel="0" collapsed="false">
      <c r="B363" s="215"/>
      <c r="C363" s="2"/>
      <c r="D363" s="2"/>
      <c r="E363" s="2"/>
      <c r="F363" s="2"/>
    </row>
    <row r="364" customFormat="false" ht="12.75" hidden="false" customHeight="true" outlineLevel="0" collapsed="false">
      <c r="B364" s="215"/>
      <c r="C364" s="2"/>
      <c r="D364" s="2"/>
      <c r="E364" s="2"/>
      <c r="F364" s="2"/>
    </row>
    <row r="365" customFormat="false" ht="12.75" hidden="false" customHeight="true" outlineLevel="0" collapsed="false">
      <c r="B365" s="215"/>
      <c r="C365" s="2"/>
      <c r="D365" s="2"/>
      <c r="E365" s="2"/>
      <c r="F365" s="2"/>
    </row>
    <row r="366" customFormat="false" ht="12.75" hidden="false" customHeight="true" outlineLevel="0" collapsed="false">
      <c r="B366" s="215"/>
      <c r="C366" s="2"/>
      <c r="D366" s="2"/>
      <c r="E366" s="2"/>
      <c r="F366" s="2"/>
    </row>
    <row r="367" customFormat="false" ht="12.75" hidden="false" customHeight="true" outlineLevel="0" collapsed="false">
      <c r="B367" s="215"/>
      <c r="C367" s="2"/>
      <c r="D367" s="2"/>
      <c r="E367" s="2"/>
      <c r="F367" s="2"/>
    </row>
    <row r="368" customFormat="false" ht="12.75" hidden="false" customHeight="true" outlineLevel="0" collapsed="false">
      <c r="B368" s="215"/>
      <c r="C368" s="2"/>
      <c r="D368" s="2"/>
      <c r="E368" s="2"/>
      <c r="F368" s="2"/>
    </row>
    <row r="369" customFormat="false" ht="12.75" hidden="false" customHeight="true" outlineLevel="0" collapsed="false">
      <c r="B369" s="215"/>
      <c r="C369" s="2"/>
      <c r="D369" s="2"/>
      <c r="E369" s="2"/>
      <c r="F369" s="2"/>
    </row>
    <row r="370" customFormat="false" ht="12.75" hidden="false" customHeight="true" outlineLevel="0" collapsed="false">
      <c r="B370" s="215"/>
      <c r="C370" s="2"/>
      <c r="D370" s="2"/>
      <c r="E370" s="2"/>
      <c r="F370" s="2"/>
    </row>
    <row r="371" customFormat="false" ht="12.75" hidden="false" customHeight="true" outlineLevel="0" collapsed="false">
      <c r="B371" s="148"/>
      <c r="C371" s="41"/>
      <c r="D371" s="41"/>
      <c r="E371" s="41"/>
      <c r="F371" s="41"/>
    </row>
    <row r="372" customFormat="false" ht="12.75" hidden="false" customHeight="true" outlineLevel="0" collapsed="false">
      <c r="B372" s="148"/>
      <c r="C372" s="41"/>
      <c r="D372" s="41"/>
      <c r="E372" s="41"/>
      <c r="F372" s="41"/>
    </row>
    <row r="373" customFormat="false" ht="12.75" hidden="false" customHeight="true" outlineLevel="0" collapsed="false">
      <c r="B373" s="148"/>
      <c r="C373" s="41"/>
      <c r="D373" s="41"/>
      <c r="E373" s="41"/>
      <c r="F373" s="41"/>
    </row>
    <row r="374" customFormat="false" ht="12.75" hidden="false" customHeight="true" outlineLevel="0" collapsed="false">
      <c r="B374" s="148"/>
      <c r="C374" s="41"/>
      <c r="D374" s="41"/>
      <c r="E374" s="41"/>
      <c r="F374" s="41"/>
    </row>
    <row r="375" customFormat="false" ht="12.75" hidden="false" customHeight="true" outlineLevel="0" collapsed="false">
      <c r="B375" s="148"/>
      <c r="C375" s="41"/>
      <c r="D375" s="41"/>
      <c r="E375" s="41"/>
      <c r="F375" s="41"/>
    </row>
    <row r="376" customFormat="false" ht="12.75" hidden="false" customHeight="true" outlineLevel="0" collapsed="false">
      <c r="B376" s="148"/>
      <c r="C376" s="41"/>
      <c r="D376" s="41"/>
      <c r="E376" s="41"/>
      <c r="F376" s="41"/>
    </row>
    <row r="377" customFormat="false" ht="12.75" hidden="false" customHeight="true" outlineLevel="0" collapsed="false">
      <c r="B377" s="148"/>
      <c r="C377" s="41"/>
      <c r="D377" s="41"/>
      <c r="E377" s="41"/>
      <c r="F377" s="41"/>
    </row>
    <row r="378" customFormat="false" ht="12.75" hidden="false" customHeight="true" outlineLevel="0" collapsed="false">
      <c r="B378" s="148"/>
      <c r="C378" s="41"/>
      <c r="D378" s="41"/>
      <c r="E378" s="41"/>
      <c r="F378" s="41"/>
    </row>
    <row r="379" customFormat="false" ht="12.75" hidden="false" customHeight="true" outlineLevel="0" collapsed="false">
      <c r="B379" s="148"/>
      <c r="C379" s="41"/>
      <c r="D379" s="41"/>
      <c r="E379" s="41"/>
      <c r="F379" s="41"/>
    </row>
    <row r="380" customFormat="false" ht="12.75" hidden="false" customHeight="true" outlineLevel="0" collapsed="false">
      <c r="B380" s="148"/>
      <c r="C380" s="41"/>
      <c r="D380" s="41"/>
      <c r="E380" s="41"/>
      <c r="F380" s="41"/>
    </row>
    <row r="381" customFormat="false" ht="12.75" hidden="false" customHeight="true" outlineLevel="0" collapsed="false">
      <c r="B381" s="148"/>
      <c r="C381" s="41"/>
      <c r="D381" s="41"/>
      <c r="E381" s="41"/>
      <c r="F381" s="41"/>
    </row>
    <row r="382" customFormat="false" ht="12.75" hidden="false" customHeight="true" outlineLevel="0" collapsed="false">
      <c r="B382" s="148"/>
      <c r="C382" s="41"/>
      <c r="D382" s="41"/>
      <c r="E382" s="41"/>
      <c r="F382" s="41"/>
    </row>
    <row r="383" customFormat="false" ht="12.75" hidden="false" customHeight="true" outlineLevel="0" collapsed="false">
      <c r="B383" s="148"/>
      <c r="C383" s="41"/>
      <c r="D383" s="41"/>
      <c r="E383" s="41"/>
      <c r="F383" s="41"/>
    </row>
    <row r="384" customFormat="false" ht="12.75" hidden="false" customHeight="true" outlineLevel="0" collapsed="false">
      <c r="B384" s="148"/>
      <c r="C384" s="41"/>
      <c r="D384" s="41"/>
      <c r="E384" s="41"/>
      <c r="F384" s="41"/>
    </row>
    <row r="385" customFormat="false" ht="12.75" hidden="false" customHeight="true" outlineLevel="0" collapsed="false">
      <c r="B385" s="148"/>
      <c r="C385" s="41"/>
      <c r="D385" s="41"/>
      <c r="E385" s="41"/>
      <c r="F385" s="41"/>
    </row>
    <row r="386" customFormat="false" ht="12.75" hidden="false" customHeight="true" outlineLevel="0" collapsed="false">
      <c r="B386" s="148"/>
      <c r="C386" s="41"/>
      <c r="D386" s="41"/>
      <c r="E386" s="41"/>
      <c r="F386" s="41"/>
    </row>
    <row r="387" customFormat="false" ht="12.75" hidden="false" customHeight="true" outlineLevel="0" collapsed="false">
      <c r="B387" s="148"/>
      <c r="C387" s="41"/>
      <c r="D387" s="41"/>
      <c r="E387" s="41"/>
      <c r="F387" s="41"/>
    </row>
    <row r="388" customFormat="false" ht="12.75" hidden="false" customHeight="true" outlineLevel="0" collapsed="false">
      <c r="B388" s="148"/>
      <c r="C388" s="41"/>
      <c r="D388" s="41"/>
      <c r="E388" s="41"/>
      <c r="F388" s="41"/>
    </row>
    <row r="389" customFormat="false" ht="12.75" hidden="false" customHeight="true" outlineLevel="0" collapsed="false">
      <c r="B389" s="148"/>
      <c r="C389" s="41"/>
      <c r="D389" s="41"/>
      <c r="E389" s="41"/>
      <c r="F389" s="41"/>
    </row>
    <row r="390" customFormat="false" ht="12.75" hidden="false" customHeight="true" outlineLevel="0" collapsed="false">
      <c r="B390" s="148"/>
      <c r="C390" s="41"/>
      <c r="D390" s="41"/>
      <c r="E390" s="41"/>
      <c r="F390" s="41"/>
    </row>
    <row r="391" customFormat="false" ht="12.75" hidden="false" customHeight="true" outlineLevel="0" collapsed="false">
      <c r="B391" s="148"/>
      <c r="C391" s="41"/>
      <c r="D391" s="41"/>
      <c r="E391" s="41"/>
      <c r="F391" s="41"/>
    </row>
    <row r="392" customFormat="false" ht="12.75" hidden="false" customHeight="true" outlineLevel="0" collapsed="false">
      <c r="B392" s="148"/>
      <c r="C392" s="41"/>
      <c r="D392" s="41"/>
      <c r="E392" s="41"/>
      <c r="F392" s="41"/>
    </row>
    <row r="393" customFormat="false" ht="12.75" hidden="false" customHeight="true" outlineLevel="0" collapsed="false">
      <c r="B393" s="148"/>
      <c r="C393" s="41"/>
      <c r="D393" s="41"/>
      <c r="E393" s="41"/>
      <c r="F393" s="41"/>
    </row>
    <row r="394" customFormat="false" ht="12.75" hidden="false" customHeight="true" outlineLevel="0" collapsed="false">
      <c r="B394" s="148"/>
      <c r="C394" s="41"/>
      <c r="D394" s="41"/>
      <c r="E394" s="41"/>
      <c r="F394" s="41"/>
    </row>
    <row r="395" customFormat="false" ht="12.75" hidden="false" customHeight="true" outlineLevel="0" collapsed="false">
      <c r="B395" s="148"/>
      <c r="C395" s="41"/>
      <c r="D395" s="41"/>
      <c r="E395" s="41"/>
      <c r="F395" s="41"/>
    </row>
    <row r="396" customFormat="false" ht="12.75" hidden="false" customHeight="true" outlineLevel="0" collapsed="false">
      <c r="B396" s="148"/>
      <c r="C396" s="41"/>
      <c r="D396" s="41"/>
      <c r="E396" s="41"/>
      <c r="F396" s="41"/>
    </row>
    <row r="397" customFormat="false" ht="12.75" hidden="false" customHeight="true" outlineLevel="0" collapsed="false">
      <c r="B397" s="148"/>
      <c r="C397" s="41"/>
      <c r="D397" s="41"/>
      <c r="E397" s="41"/>
      <c r="F397" s="41"/>
    </row>
    <row r="398" customFormat="false" ht="12.75" hidden="false" customHeight="true" outlineLevel="0" collapsed="false">
      <c r="B398" s="148"/>
      <c r="C398" s="41"/>
      <c r="D398" s="41"/>
      <c r="E398" s="41"/>
      <c r="F398" s="41"/>
    </row>
    <row r="399" customFormat="false" ht="12.75" hidden="false" customHeight="true" outlineLevel="0" collapsed="false">
      <c r="B399" s="148"/>
      <c r="C399" s="41"/>
      <c r="D399" s="41"/>
      <c r="E399" s="41"/>
      <c r="F399" s="41"/>
    </row>
    <row r="400" customFormat="false" ht="12.75" hidden="false" customHeight="true" outlineLevel="0" collapsed="false">
      <c r="B400" s="148"/>
      <c r="C400" s="41"/>
      <c r="D400" s="41"/>
      <c r="E400" s="41"/>
      <c r="F400" s="41"/>
    </row>
    <row r="401" customFormat="false" ht="12.75" hidden="false" customHeight="true" outlineLevel="0" collapsed="false">
      <c r="B401" s="148"/>
      <c r="C401" s="41"/>
      <c r="D401" s="41"/>
      <c r="E401" s="41"/>
      <c r="F401" s="41"/>
    </row>
    <row r="402" customFormat="false" ht="12.75" hidden="false" customHeight="true" outlineLevel="0" collapsed="false">
      <c r="B402" s="148"/>
      <c r="C402" s="41"/>
      <c r="D402" s="41"/>
      <c r="E402" s="41"/>
      <c r="F402" s="41"/>
    </row>
    <row r="403" customFormat="false" ht="12.75" hidden="false" customHeight="true" outlineLevel="0" collapsed="false">
      <c r="B403" s="148"/>
      <c r="C403" s="41"/>
      <c r="D403" s="41"/>
      <c r="E403" s="41"/>
      <c r="F403" s="41"/>
    </row>
    <row r="404" customFormat="false" ht="12.75" hidden="false" customHeight="true" outlineLevel="0" collapsed="false">
      <c r="B404" s="148"/>
      <c r="C404" s="41"/>
      <c r="D404" s="41"/>
      <c r="E404" s="41"/>
      <c r="F404" s="41"/>
    </row>
    <row r="405" customFormat="false" ht="12.75" hidden="false" customHeight="true" outlineLevel="0" collapsed="false">
      <c r="B405" s="148"/>
      <c r="C405" s="41"/>
      <c r="D405" s="41"/>
      <c r="E405" s="41"/>
      <c r="F405" s="41"/>
    </row>
    <row r="406" customFormat="false" ht="12.75" hidden="false" customHeight="true" outlineLevel="0" collapsed="false">
      <c r="B406" s="148"/>
      <c r="C406" s="41"/>
      <c r="D406" s="41"/>
      <c r="E406" s="41"/>
      <c r="F406" s="41"/>
    </row>
    <row r="407" customFormat="false" ht="12.75" hidden="false" customHeight="true" outlineLevel="0" collapsed="false">
      <c r="B407" s="148"/>
      <c r="C407" s="41"/>
      <c r="D407" s="41"/>
      <c r="E407" s="41"/>
      <c r="F407" s="41"/>
    </row>
    <row r="408" customFormat="false" ht="12.75" hidden="false" customHeight="true" outlineLevel="0" collapsed="false">
      <c r="B408" s="148"/>
      <c r="C408" s="41"/>
      <c r="D408" s="41"/>
      <c r="E408" s="41"/>
      <c r="F408" s="41"/>
    </row>
    <row r="409" customFormat="false" ht="12.75" hidden="false" customHeight="true" outlineLevel="0" collapsed="false">
      <c r="B409" s="148"/>
      <c r="C409" s="41"/>
      <c r="D409" s="41"/>
      <c r="E409" s="41"/>
      <c r="F409" s="41"/>
    </row>
    <row r="410" customFormat="false" ht="12.75" hidden="false" customHeight="true" outlineLevel="0" collapsed="false">
      <c r="B410" s="148"/>
      <c r="C410" s="41"/>
      <c r="D410" s="41"/>
      <c r="E410" s="41"/>
      <c r="F410" s="41"/>
    </row>
    <row r="411" customFormat="false" ht="12.75" hidden="false" customHeight="true" outlineLevel="0" collapsed="false">
      <c r="B411" s="148"/>
      <c r="C411" s="41"/>
      <c r="D411" s="41"/>
      <c r="E411" s="41"/>
      <c r="F411" s="41"/>
    </row>
    <row r="412" customFormat="false" ht="12.75" hidden="false" customHeight="true" outlineLevel="0" collapsed="false">
      <c r="B412" s="148"/>
      <c r="C412" s="41"/>
      <c r="D412" s="41"/>
      <c r="E412" s="41"/>
      <c r="F412" s="41"/>
    </row>
    <row r="413" customFormat="false" ht="12.75" hidden="false" customHeight="true" outlineLevel="0" collapsed="false">
      <c r="B413" s="148"/>
      <c r="C413" s="41"/>
      <c r="D413" s="41"/>
      <c r="E413" s="41"/>
      <c r="F413" s="41"/>
    </row>
    <row r="414" customFormat="false" ht="12.75" hidden="false" customHeight="true" outlineLevel="0" collapsed="false">
      <c r="B414" s="148"/>
      <c r="C414" s="41"/>
      <c r="D414" s="41"/>
      <c r="E414" s="41"/>
      <c r="F414" s="41"/>
    </row>
    <row r="415" customFormat="false" ht="12.75" hidden="false" customHeight="true" outlineLevel="0" collapsed="false">
      <c r="B415" s="148"/>
      <c r="C415" s="41"/>
      <c r="D415" s="41"/>
      <c r="E415" s="41"/>
      <c r="F415" s="41"/>
    </row>
    <row r="416" customFormat="false" ht="12.75" hidden="false" customHeight="true" outlineLevel="0" collapsed="false">
      <c r="B416" s="148"/>
      <c r="C416" s="41"/>
      <c r="D416" s="41"/>
      <c r="E416" s="41"/>
      <c r="F416" s="41"/>
    </row>
    <row r="417" customFormat="false" ht="12.75" hidden="false" customHeight="true" outlineLevel="0" collapsed="false">
      <c r="B417" s="148"/>
      <c r="C417" s="41"/>
      <c r="D417" s="41"/>
      <c r="E417" s="41"/>
      <c r="F417" s="41"/>
    </row>
    <row r="418" customFormat="false" ht="12.75" hidden="false" customHeight="true" outlineLevel="0" collapsed="false">
      <c r="B418" s="148"/>
      <c r="C418" s="41"/>
      <c r="D418" s="41"/>
      <c r="E418" s="41"/>
      <c r="F418" s="41"/>
    </row>
    <row r="419" customFormat="false" ht="12.75" hidden="false" customHeight="true" outlineLevel="0" collapsed="false">
      <c r="B419" s="148"/>
      <c r="C419" s="41"/>
      <c r="D419" s="41"/>
      <c r="E419" s="41"/>
      <c r="F419" s="41"/>
    </row>
    <row r="420" customFormat="false" ht="12.75" hidden="false" customHeight="true" outlineLevel="0" collapsed="false">
      <c r="B420" s="148"/>
      <c r="C420" s="41"/>
      <c r="D420" s="41"/>
      <c r="E420" s="41"/>
      <c r="F420" s="41"/>
    </row>
    <row r="421" customFormat="false" ht="12.75" hidden="false" customHeight="true" outlineLevel="0" collapsed="false">
      <c r="B421" s="148"/>
      <c r="C421" s="41"/>
      <c r="D421" s="41"/>
      <c r="E421" s="41"/>
      <c r="F421" s="41"/>
    </row>
    <row r="422" customFormat="false" ht="12.75" hidden="false" customHeight="true" outlineLevel="0" collapsed="false">
      <c r="B422" s="148"/>
      <c r="C422" s="41"/>
      <c r="D422" s="41"/>
      <c r="E422" s="41"/>
      <c r="F422" s="41"/>
    </row>
    <row r="423" customFormat="false" ht="12.75" hidden="false" customHeight="true" outlineLevel="0" collapsed="false">
      <c r="B423" s="148"/>
      <c r="C423" s="41"/>
      <c r="D423" s="41"/>
      <c r="E423" s="41"/>
      <c r="F423" s="41"/>
    </row>
    <row r="424" customFormat="false" ht="12.75" hidden="false" customHeight="true" outlineLevel="0" collapsed="false">
      <c r="B424" s="216"/>
      <c r="C424" s="217"/>
      <c r="D424" s="217"/>
      <c r="E424" s="217"/>
      <c r="F424" s="217"/>
    </row>
    <row r="425" customFormat="false" ht="12.75" hidden="false" customHeight="true" outlineLevel="0" collapsed="false">
      <c r="B425" s="216"/>
      <c r="C425" s="217"/>
      <c r="D425" s="217"/>
      <c r="E425" s="217"/>
      <c r="F425" s="217"/>
    </row>
    <row r="426" customFormat="false" ht="12.75" hidden="false" customHeight="true" outlineLevel="0" collapsed="false">
      <c r="B426" s="216"/>
      <c r="C426" s="217"/>
      <c r="D426" s="217"/>
      <c r="E426" s="217"/>
      <c r="F426" s="217"/>
    </row>
    <row r="427" customFormat="false" ht="12.75" hidden="false" customHeight="true" outlineLevel="0" collapsed="false">
      <c r="B427" s="216"/>
      <c r="C427" s="217"/>
      <c r="D427" s="217"/>
      <c r="E427" s="217"/>
      <c r="F427" s="217"/>
    </row>
    <row r="428" customFormat="false" ht="12.75" hidden="false" customHeight="true" outlineLevel="0" collapsed="false">
      <c r="B428" s="216"/>
      <c r="C428" s="217"/>
      <c r="D428" s="217"/>
      <c r="E428" s="217"/>
      <c r="F428" s="217"/>
    </row>
    <row r="429" customFormat="false" ht="12.75" hidden="false" customHeight="true" outlineLevel="0" collapsed="false">
      <c r="B429" s="216"/>
      <c r="C429" s="217"/>
      <c r="D429" s="217"/>
      <c r="E429" s="217"/>
      <c r="F429" s="217"/>
    </row>
    <row r="430" customFormat="false" ht="12.75" hidden="false" customHeight="true" outlineLevel="0" collapsed="false">
      <c r="B430" s="216"/>
      <c r="C430" s="217"/>
      <c r="D430" s="217"/>
      <c r="E430" s="217"/>
      <c r="F430" s="217"/>
    </row>
    <row r="431" customFormat="false" ht="12.75" hidden="false" customHeight="true" outlineLevel="0" collapsed="false">
      <c r="B431" s="216"/>
      <c r="C431" s="217"/>
      <c r="D431" s="217"/>
      <c r="E431" s="217"/>
      <c r="F431" s="217"/>
    </row>
    <row r="432" customFormat="false" ht="12.75" hidden="false" customHeight="true" outlineLevel="0" collapsed="false">
      <c r="B432" s="216"/>
      <c r="C432" s="217"/>
      <c r="D432" s="217"/>
      <c r="E432" s="217"/>
      <c r="F432" s="217"/>
    </row>
    <row r="433" customFormat="false" ht="12.75" hidden="false" customHeight="true" outlineLevel="0" collapsed="false">
      <c r="B433" s="216"/>
      <c r="C433" s="217"/>
      <c r="D433" s="217"/>
      <c r="E433" s="217"/>
      <c r="F433" s="217"/>
    </row>
    <row r="434" customFormat="false" ht="12.75" hidden="false" customHeight="true" outlineLevel="0" collapsed="false">
      <c r="B434" s="216"/>
      <c r="C434" s="217"/>
      <c r="D434" s="217"/>
      <c r="E434" s="217"/>
      <c r="F434" s="217"/>
    </row>
    <row r="435" customFormat="false" ht="12.75" hidden="false" customHeight="true" outlineLevel="0" collapsed="false">
      <c r="B435" s="216"/>
      <c r="C435" s="217"/>
      <c r="D435" s="217"/>
      <c r="E435" s="217"/>
      <c r="F435" s="217"/>
    </row>
    <row r="436" customFormat="false" ht="12.75" hidden="false" customHeight="true" outlineLevel="0" collapsed="false">
      <c r="B436" s="216"/>
      <c r="C436" s="217"/>
      <c r="D436" s="217"/>
      <c r="E436" s="217"/>
      <c r="F436" s="217"/>
    </row>
    <row r="437" customFormat="false" ht="12.75" hidden="false" customHeight="true" outlineLevel="0" collapsed="false">
      <c r="B437" s="216"/>
      <c r="C437" s="217"/>
      <c r="D437" s="217"/>
      <c r="E437" s="217"/>
      <c r="F437" s="217"/>
    </row>
    <row r="438" customFormat="false" ht="12.75" hidden="false" customHeight="true" outlineLevel="0" collapsed="false">
      <c r="B438" s="216"/>
      <c r="C438" s="217"/>
      <c r="D438" s="217"/>
      <c r="E438" s="217"/>
      <c r="F438" s="217"/>
    </row>
    <row r="439" customFormat="false" ht="12.75" hidden="false" customHeight="true" outlineLevel="0" collapsed="false">
      <c r="B439" s="216"/>
      <c r="C439" s="217"/>
      <c r="D439" s="217"/>
      <c r="E439" s="217"/>
      <c r="F439" s="217"/>
    </row>
    <row r="440" customFormat="false" ht="12.75" hidden="false" customHeight="true" outlineLevel="0" collapsed="false">
      <c r="B440" s="216"/>
      <c r="C440" s="217"/>
      <c r="D440" s="217"/>
      <c r="E440" s="217"/>
      <c r="F440" s="217"/>
    </row>
    <row r="441" customFormat="false" ht="12.75" hidden="false" customHeight="true" outlineLevel="0" collapsed="false">
      <c r="B441" s="216"/>
      <c r="C441" s="217"/>
      <c r="D441" s="217"/>
      <c r="E441" s="217"/>
      <c r="F441" s="217"/>
    </row>
    <row r="442" customFormat="false" ht="12.75" hidden="false" customHeight="true" outlineLevel="0" collapsed="false">
      <c r="B442" s="216"/>
      <c r="C442" s="217"/>
      <c r="D442" s="217"/>
      <c r="E442" s="217"/>
      <c r="F442" s="217"/>
    </row>
    <row r="443" customFormat="false" ht="12.75" hidden="false" customHeight="true" outlineLevel="0" collapsed="false">
      <c r="B443" s="216"/>
      <c r="C443" s="217"/>
      <c r="D443" s="217"/>
      <c r="E443" s="217"/>
      <c r="F443" s="217"/>
    </row>
    <row r="444" customFormat="false" ht="12.75" hidden="false" customHeight="true" outlineLevel="0" collapsed="false">
      <c r="B444" s="216"/>
      <c r="C444" s="217"/>
      <c r="D444" s="217"/>
      <c r="E444" s="217"/>
      <c r="F444" s="217"/>
    </row>
    <row r="445" customFormat="false" ht="12.75" hidden="false" customHeight="true" outlineLevel="0" collapsed="false">
      <c r="B445" s="216"/>
      <c r="C445" s="217"/>
      <c r="D445" s="217"/>
      <c r="E445" s="217"/>
      <c r="F445" s="217"/>
    </row>
    <row r="446" customFormat="false" ht="12.75" hidden="false" customHeight="true" outlineLevel="0" collapsed="false">
      <c r="B446" s="216"/>
      <c r="C446" s="217"/>
      <c r="D446" s="217"/>
      <c r="E446" s="217"/>
      <c r="F446" s="217"/>
    </row>
    <row r="447" customFormat="false" ht="12.75" hidden="false" customHeight="true" outlineLevel="0" collapsed="false">
      <c r="B447" s="216"/>
      <c r="C447" s="217"/>
      <c r="D447" s="217"/>
      <c r="E447" s="217"/>
      <c r="F447" s="217"/>
    </row>
    <row r="448" customFormat="false" ht="12.75" hidden="false" customHeight="true" outlineLevel="0" collapsed="false">
      <c r="B448" s="216"/>
      <c r="C448" s="217"/>
      <c r="D448" s="217"/>
      <c r="E448" s="217"/>
      <c r="F448" s="217"/>
    </row>
    <row r="449" customFormat="false" ht="12.75" hidden="false" customHeight="true" outlineLevel="0" collapsed="false">
      <c r="B449" s="216"/>
      <c r="C449" s="217"/>
      <c r="D449" s="217"/>
      <c r="E449" s="217"/>
      <c r="F449" s="217"/>
    </row>
    <row r="450" customFormat="false" ht="12.75" hidden="false" customHeight="true" outlineLevel="0" collapsed="false">
      <c r="B450" s="216"/>
      <c r="C450" s="217"/>
      <c r="D450" s="217"/>
      <c r="E450" s="217"/>
      <c r="F450" s="217"/>
    </row>
    <row r="451" customFormat="false" ht="12.75" hidden="false" customHeight="true" outlineLevel="0" collapsed="false">
      <c r="B451" s="216"/>
      <c r="C451" s="217"/>
      <c r="D451" s="217"/>
      <c r="E451" s="217"/>
      <c r="F451" s="217"/>
    </row>
    <row r="452" customFormat="false" ht="12.75" hidden="false" customHeight="true" outlineLevel="0" collapsed="false">
      <c r="B452" s="216"/>
      <c r="C452" s="217"/>
      <c r="D452" s="217"/>
      <c r="E452" s="217"/>
      <c r="F452" s="217"/>
    </row>
    <row r="453" customFormat="false" ht="12.75" hidden="false" customHeight="true" outlineLevel="0" collapsed="false">
      <c r="B453" s="216"/>
      <c r="C453" s="217"/>
      <c r="D453" s="217"/>
      <c r="E453" s="217"/>
      <c r="F453" s="217"/>
    </row>
    <row r="454" customFormat="false" ht="12.75" hidden="false" customHeight="true" outlineLevel="0" collapsed="false">
      <c r="B454" s="216"/>
      <c r="C454" s="217"/>
      <c r="D454" s="217"/>
      <c r="E454" s="217"/>
      <c r="F454" s="217"/>
    </row>
    <row r="455" customFormat="false" ht="12.75" hidden="false" customHeight="true" outlineLevel="0" collapsed="false">
      <c r="B455" s="216"/>
      <c r="C455" s="217"/>
      <c r="D455" s="217"/>
      <c r="E455" s="217"/>
      <c r="F455" s="217"/>
    </row>
    <row r="456" customFormat="false" ht="12.75" hidden="false" customHeight="true" outlineLevel="0" collapsed="false">
      <c r="B456" s="216"/>
      <c r="C456" s="217"/>
      <c r="D456" s="217"/>
      <c r="E456" s="217"/>
      <c r="F456" s="217"/>
    </row>
    <row r="457" customFormat="false" ht="12.75" hidden="false" customHeight="true" outlineLevel="0" collapsed="false">
      <c r="B457" s="216"/>
      <c r="C457" s="217"/>
      <c r="D457" s="217"/>
      <c r="E457" s="217"/>
      <c r="F457" s="217"/>
    </row>
    <row r="458" customFormat="false" ht="12.75" hidden="false" customHeight="true" outlineLevel="0" collapsed="false">
      <c r="B458" s="216"/>
      <c r="C458" s="217"/>
      <c r="D458" s="217"/>
      <c r="E458" s="217"/>
      <c r="F458" s="217"/>
    </row>
    <row r="459" customFormat="false" ht="12.75" hidden="false" customHeight="true" outlineLevel="0" collapsed="false">
      <c r="B459" s="216"/>
      <c r="C459" s="217"/>
      <c r="D459" s="217"/>
      <c r="E459" s="217"/>
      <c r="F459" s="217"/>
    </row>
    <row r="460" customFormat="false" ht="12.75" hidden="false" customHeight="true" outlineLevel="0" collapsed="false">
      <c r="B460" s="216"/>
      <c r="C460" s="217"/>
      <c r="D460" s="217"/>
      <c r="E460" s="217"/>
      <c r="F460" s="217"/>
    </row>
    <row r="461" customFormat="false" ht="12.75" hidden="false" customHeight="true" outlineLevel="0" collapsed="false">
      <c r="B461" s="216"/>
      <c r="C461" s="217"/>
      <c r="D461" s="217"/>
      <c r="E461" s="217"/>
      <c r="F461" s="217"/>
    </row>
    <row r="462" customFormat="false" ht="12.75" hidden="false" customHeight="true" outlineLevel="0" collapsed="false">
      <c r="B462" s="216"/>
      <c r="C462" s="217"/>
      <c r="D462" s="217"/>
      <c r="E462" s="217"/>
      <c r="F462" s="217"/>
    </row>
    <row r="463" customFormat="false" ht="12.75" hidden="false" customHeight="true" outlineLevel="0" collapsed="false">
      <c r="B463" s="216"/>
      <c r="C463" s="217"/>
      <c r="D463" s="217"/>
      <c r="E463" s="217"/>
      <c r="F463" s="217"/>
    </row>
    <row r="464" customFormat="false" ht="12.75" hidden="false" customHeight="true" outlineLevel="0" collapsed="false">
      <c r="B464" s="216"/>
      <c r="C464" s="217"/>
      <c r="D464" s="217"/>
      <c r="E464" s="217"/>
      <c r="F464" s="217"/>
    </row>
    <row r="465" customFormat="false" ht="12.75" hidden="false" customHeight="true" outlineLevel="0" collapsed="false">
      <c r="B465" s="216"/>
      <c r="C465" s="217"/>
      <c r="D465" s="217"/>
      <c r="E465" s="217"/>
      <c r="F465" s="217"/>
    </row>
    <row r="466" customFormat="false" ht="12.75" hidden="false" customHeight="true" outlineLevel="0" collapsed="false">
      <c r="B466" s="216"/>
      <c r="C466" s="217"/>
      <c r="D466" s="217"/>
      <c r="E466" s="217"/>
      <c r="F466" s="217"/>
    </row>
    <row r="467" customFormat="false" ht="12.75" hidden="false" customHeight="true" outlineLevel="0" collapsed="false">
      <c r="B467" s="216"/>
      <c r="C467" s="217"/>
      <c r="D467" s="217"/>
      <c r="E467" s="217"/>
      <c r="F467" s="217"/>
    </row>
    <row r="468" customFormat="false" ht="12.75" hidden="false" customHeight="true" outlineLevel="0" collapsed="false">
      <c r="B468" s="216"/>
      <c r="C468" s="217"/>
      <c r="D468" s="217"/>
      <c r="E468" s="217"/>
      <c r="F468" s="217"/>
    </row>
    <row r="469" customFormat="false" ht="12.75" hidden="false" customHeight="true" outlineLevel="0" collapsed="false">
      <c r="B469" s="216"/>
      <c r="C469" s="217"/>
      <c r="D469" s="217"/>
      <c r="E469" s="217"/>
      <c r="F469" s="217"/>
    </row>
    <row r="470" customFormat="false" ht="12.75" hidden="false" customHeight="true" outlineLevel="0" collapsed="false">
      <c r="B470" s="216"/>
      <c r="C470" s="217"/>
      <c r="D470" s="217"/>
      <c r="E470" s="217"/>
      <c r="F470" s="217"/>
    </row>
    <row r="471" customFormat="false" ht="12.75" hidden="false" customHeight="true" outlineLevel="0" collapsed="false">
      <c r="B471" s="216"/>
      <c r="C471" s="217"/>
      <c r="D471" s="217"/>
      <c r="E471" s="217"/>
      <c r="F471" s="217"/>
    </row>
    <row r="472" customFormat="false" ht="12.75" hidden="false" customHeight="true" outlineLevel="0" collapsed="false">
      <c r="B472" s="216"/>
      <c r="C472" s="217"/>
      <c r="D472" s="217"/>
      <c r="E472" s="217"/>
      <c r="F472" s="217"/>
    </row>
    <row r="473" customFormat="false" ht="12.75" hidden="false" customHeight="true" outlineLevel="0" collapsed="false">
      <c r="B473" s="216"/>
      <c r="C473" s="217"/>
      <c r="D473" s="217"/>
      <c r="E473" s="217"/>
      <c r="F473" s="217"/>
    </row>
    <row r="474" customFormat="false" ht="12.75" hidden="false" customHeight="true" outlineLevel="0" collapsed="false">
      <c r="B474" s="216"/>
      <c r="C474" s="217"/>
      <c r="D474" s="217"/>
      <c r="E474" s="217"/>
      <c r="F474" s="217"/>
    </row>
    <row r="475" customFormat="false" ht="12.75" hidden="false" customHeight="true" outlineLevel="0" collapsed="false">
      <c r="B475" s="216"/>
      <c r="C475" s="217"/>
      <c r="D475" s="217"/>
      <c r="E475" s="217"/>
      <c r="F475" s="217"/>
    </row>
    <row r="476" customFormat="false" ht="12.75" hidden="false" customHeight="true" outlineLevel="0" collapsed="false">
      <c r="B476" s="216"/>
      <c r="C476" s="217"/>
      <c r="D476" s="217"/>
      <c r="E476" s="217"/>
      <c r="F476" s="217"/>
    </row>
    <row r="477" customFormat="false" ht="12.75" hidden="false" customHeight="true" outlineLevel="0" collapsed="false">
      <c r="B477" s="216"/>
      <c r="C477" s="217"/>
      <c r="D477" s="217"/>
      <c r="E477" s="217"/>
      <c r="F477" s="217"/>
    </row>
    <row r="478" customFormat="false" ht="12.75" hidden="false" customHeight="true" outlineLevel="0" collapsed="false">
      <c r="B478" s="216"/>
      <c r="C478" s="217"/>
      <c r="D478" s="217"/>
      <c r="E478" s="217"/>
      <c r="F478" s="217"/>
    </row>
    <row r="479" customFormat="false" ht="12.75" hidden="false" customHeight="true" outlineLevel="0" collapsed="false">
      <c r="B479" s="216"/>
      <c r="C479" s="217"/>
      <c r="D479" s="217"/>
      <c r="E479" s="217"/>
      <c r="F479" s="217"/>
    </row>
    <row r="480" customFormat="false" ht="12.75" hidden="false" customHeight="true" outlineLevel="0" collapsed="false">
      <c r="B480" s="216"/>
      <c r="C480" s="217"/>
      <c r="D480" s="217"/>
      <c r="E480" s="217"/>
      <c r="F480" s="217"/>
    </row>
    <row r="481" customFormat="false" ht="12.75" hidden="false" customHeight="true" outlineLevel="0" collapsed="false">
      <c r="B481" s="216"/>
      <c r="C481" s="217"/>
      <c r="D481" s="217"/>
      <c r="E481" s="217"/>
      <c r="F481" s="217"/>
    </row>
    <row r="482" customFormat="false" ht="12.75" hidden="false" customHeight="true" outlineLevel="0" collapsed="false">
      <c r="B482" s="216"/>
      <c r="C482" s="217"/>
      <c r="D482" s="217"/>
      <c r="E482" s="217"/>
      <c r="F482" s="217"/>
    </row>
    <row r="483" customFormat="false" ht="12.75" hidden="false" customHeight="true" outlineLevel="0" collapsed="false">
      <c r="B483" s="216"/>
      <c r="C483" s="217"/>
      <c r="D483" s="217"/>
      <c r="E483" s="217"/>
      <c r="F483" s="217"/>
    </row>
    <row r="484" customFormat="false" ht="12.75" hidden="false" customHeight="true" outlineLevel="0" collapsed="false">
      <c r="B484" s="216"/>
      <c r="C484" s="217"/>
      <c r="D484" s="217"/>
      <c r="E484" s="217"/>
      <c r="F484" s="217"/>
    </row>
    <row r="485" customFormat="false" ht="12.75" hidden="false" customHeight="true" outlineLevel="0" collapsed="false">
      <c r="B485" s="216"/>
      <c r="C485" s="217"/>
      <c r="D485" s="217"/>
      <c r="E485" s="217"/>
      <c r="F485" s="217"/>
    </row>
    <row r="486" customFormat="false" ht="12.75" hidden="false" customHeight="true" outlineLevel="0" collapsed="false">
      <c r="B486" s="216"/>
      <c r="C486" s="217"/>
      <c r="D486" s="217"/>
      <c r="E486" s="217"/>
      <c r="F486" s="217"/>
    </row>
    <row r="487" customFormat="false" ht="12.75" hidden="false" customHeight="true" outlineLevel="0" collapsed="false">
      <c r="B487" s="216"/>
      <c r="C487" s="217"/>
      <c r="D487" s="217"/>
      <c r="E487" s="217"/>
      <c r="F487" s="217"/>
    </row>
    <row r="488" customFormat="false" ht="12.75" hidden="false" customHeight="true" outlineLevel="0" collapsed="false">
      <c r="B488" s="216"/>
      <c r="C488" s="217"/>
      <c r="D488" s="217"/>
      <c r="E488" s="217"/>
      <c r="F488" s="217"/>
    </row>
    <row r="489" customFormat="false" ht="12.75" hidden="false" customHeight="true" outlineLevel="0" collapsed="false">
      <c r="B489" s="216"/>
      <c r="C489" s="217"/>
      <c r="D489" s="217"/>
      <c r="E489" s="217"/>
      <c r="F489" s="217"/>
    </row>
    <row r="490" customFormat="false" ht="12.75" hidden="false" customHeight="true" outlineLevel="0" collapsed="false">
      <c r="B490" s="216"/>
      <c r="C490" s="217"/>
      <c r="D490" s="217"/>
      <c r="E490" s="217"/>
      <c r="F490" s="217"/>
    </row>
    <row r="491" customFormat="false" ht="12.75" hidden="false" customHeight="true" outlineLevel="0" collapsed="false">
      <c r="B491" s="216"/>
      <c r="C491" s="217"/>
      <c r="D491" s="217"/>
      <c r="E491" s="217"/>
      <c r="F491" s="217"/>
    </row>
    <row r="492" customFormat="false" ht="12.75" hidden="false" customHeight="true" outlineLevel="0" collapsed="false">
      <c r="B492" s="216"/>
      <c r="C492" s="217"/>
      <c r="D492" s="217"/>
      <c r="E492" s="217"/>
      <c r="F492" s="217"/>
    </row>
    <row r="493" customFormat="false" ht="12.75" hidden="false" customHeight="true" outlineLevel="0" collapsed="false">
      <c r="B493" s="216"/>
      <c r="C493" s="217"/>
      <c r="D493" s="217"/>
      <c r="E493" s="217"/>
      <c r="F493" s="217"/>
    </row>
    <row r="494" customFormat="false" ht="12.75" hidden="false" customHeight="true" outlineLevel="0" collapsed="false">
      <c r="B494" s="216"/>
      <c r="C494" s="217"/>
      <c r="D494" s="217"/>
      <c r="E494" s="217"/>
      <c r="F494" s="217"/>
    </row>
    <row r="495" customFormat="false" ht="12.75" hidden="false" customHeight="true" outlineLevel="0" collapsed="false">
      <c r="B495" s="216"/>
      <c r="C495" s="217"/>
      <c r="D495" s="217"/>
      <c r="E495" s="217"/>
      <c r="F495" s="217"/>
    </row>
    <row r="496" customFormat="false" ht="12.75" hidden="false" customHeight="true" outlineLevel="0" collapsed="false">
      <c r="B496" s="216"/>
      <c r="C496" s="217"/>
      <c r="D496" s="217"/>
      <c r="E496" s="217"/>
      <c r="F496" s="217"/>
    </row>
    <row r="497" customFormat="false" ht="12.75" hidden="false" customHeight="true" outlineLevel="0" collapsed="false">
      <c r="B497" s="216"/>
      <c r="C497" s="217"/>
      <c r="D497" s="217"/>
      <c r="E497" s="217"/>
      <c r="F497" s="217"/>
    </row>
    <row r="498" customFormat="false" ht="12.75" hidden="false" customHeight="true" outlineLevel="0" collapsed="false">
      <c r="B498" s="216"/>
      <c r="C498" s="217"/>
      <c r="D498" s="217"/>
      <c r="E498" s="217"/>
      <c r="F498" s="217"/>
    </row>
    <row r="499" customFormat="false" ht="12.75" hidden="false" customHeight="true" outlineLevel="0" collapsed="false">
      <c r="B499" s="216"/>
      <c r="C499" s="217"/>
      <c r="D499" s="217"/>
      <c r="E499" s="217"/>
      <c r="F499" s="217"/>
    </row>
    <row r="500" customFormat="false" ht="12.75" hidden="false" customHeight="true" outlineLevel="0" collapsed="false">
      <c r="B500" s="216"/>
      <c r="C500" s="217"/>
      <c r="D500" s="217"/>
      <c r="E500" s="217"/>
      <c r="F500" s="217"/>
    </row>
    <row r="501" customFormat="false" ht="12.75" hidden="false" customHeight="true" outlineLevel="0" collapsed="false">
      <c r="B501" s="216"/>
      <c r="C501" s="217"/>
      <c r="D501" s="217"/>
      <c r="E501" s="217"/>
      <c r="F501" s="217"/>
    </row>
    <row r="502" customFormat="false" ht="12.75" hidden="false" customHeight="true" outlineLevel="0" collapsed="false">
      <c r="B502" s="216"/>
      <c r="C502" s="217"/>
      <c r="D502" s="217"/>
      <c r="E502" s="217"/>
      <c r="F502" s="217"/>
    </row>
    <row r="503" customFormat="false" ht="12.75" hidden="false" customHeight="true" outlineLevel="0" collapsed="false">
      <c r="B503" s="216"/>
      <c r="C503" s="217"/>
      <c r="D503" s="217"/>
      <c r="E503" s="217"/>
      <c r="F503" s="217"/>
    </row>
    <row r="504" customFormat="false" ht="12.75" hidden="false" customHeight="true" outlineLevel="0" collapsed="false">
      <c r="B504" s="216"/>
      <c r="C504" s="217"/>
      <c r="D504" s="217"/>
      <c r="E504" s="217"/>
      <c r="F504" s="217"/>
    </row>
    <row r="505" customFormat="false" ht="12.75" hidden="false" customHeight="true" outlineLevel="0" collapsed="false">
      <c r="B505" s="216"/>
      <c r="C505" s="217"/>
      <c r="D505" s="217"/>
      <c r="E505" s="217"/>
      <c r="F505" s="217"/>
    </row>
    <row r="506" customFormat="false" ht="12.75" hidden="false" customHeight="true" outlineLevel="0" collapsed="false">
      <c r="B506" s="216"/>
      <c r="C506" s="217"/>
      <c r="D506" s="217"/>
      <c r="E506" s="217"/>
      <c r="F506" s="217"/>
    </row>
    <row r="507" customFormat="false" ht="12.75" hidden="false" customHeight="true" outlineLevel="0" collapsed="false">
      <c r="B507" s="216"/>
      <c r="C507" s="217"/>
      <c r="D507" s="217"/>
      <c r="E507" s="217"/>
      <c r="F507" s="217"/>
    </row>
    <row r="508" customFormat="false" ht="12.75" hidden="false" customHeight="true" outlineLevel="0" collapsed="false">
      <c r="B508" s="216"/>
      <c r="C508" s="217"/>
      <c r="D508" s="217"/>
      <c r="E508" s="217"/>
      <c r="F508" s="217"/>
    </row>
    <row r="509" customFormat="false" ht="12.75" hidden="false" customHeight="true" outlineLevel="0" collapsed="false">
      <c r="B509" s="216"/>
      <c r="C509" s="217"/>
      <c r="D509" s="217"/>
      <c r="E509" s="217"/>
      <c r="F509" s="217"/>
    </row>
    <row r="510" customFormat="false" ht="12.75" hidden="false" customHeight="true" outlineLevel="0" collapsed="false">
      <c r="B510" s="216"/>
      <c r="C510" s="217"/>
      <c r="D510" s="217"/>
      <c r="E510" s="217"/>
      <c r="F510" s="217"/>
    </row>
    <row r="511" customFormat="false" ht="12.75" hidden="false" customHeight="true" outlineLevel="0" collapsed="false">
      <c r="B511" s="216"/>
      <c r="C511" s="217"/>
      <c r="D511" s="217"/>
      <c r="E511" s="217"/>
      <c r="F511" s="217"/>
    </row>
    <row r="512" customFormat="false" ht="12.75" hidden="false" customHeight="true" outlineLevel="0" collapsed="false">
      <c r="B512" s="216"/>
      <c r="C512" s="217"/>
      <c r="D512" s="217"/>
      <c r="E512" s="217"/>
      <c r="F512" s="217"/>
    </row>
    <row r="513" customFormat="false" ht="12.75" hidden="false" customHeight="true" outlineLevel="0" collapsed="false">
      <c r="B513" s="216"/>
      <c r="C513" s="217"/>
      <c r="D513" s="217"/>
      <c r="E513" s="217"/>
      <c r="F513" s="217"/>
    </row>
    <row r="514" customFormat="false" ht="12.75" hidden="false" customHeight="true" outlineLevel="0" collapsed="false">
      <c r="B514" s="216"/>
      <c r="C514" s="217"/>
      <c r="D514" s="217"/>
      <c r="E514" s="217"/>
      <c r="F514" s="217"/>
    </row>
    <row r="515" customFormat="false" ht="12.75" hidden="false" customHeight="true" outlineLevel="0" collapsed="false">
      <c r="B515" s="216"/>
      <c r="C515" s="217"/>
      <c r="D515" s="217"/>
      <c r="E515" s="217"/>
      <c r="F515" s="217"/>
    </row>
    <row r="516" customFormat="false" ht="12.75" hidden="false" customHeight="true" outlineLevel="0" collapsed="false">
      <c r="B516" s="216"/>
      <c r="C516" s="217"/>
      <c r="D516" s="217"/>
      <c r="E516" s="217"/>
      <c r="F516" s="217"/>
    </row>
    <row r="517" customFormat="false" ht="12.75" hidden="false" customHeight="true" outlineLevel="0" collapsed="false">
      <c r="B517" s="216"/>
      <c r="C517" s="217"/>
      <c r="D517" s="217"/>
      <c r="E517" s="217"/>
      <c r="F517" s="217"/>
    </row>
    <row r="518" customFormat="false" ht="12.75" hidden="false" customHeight="true" outlineLevel="0" collapsed="false">
      <c r="B518" s="216"/>
      <c r="C518" s="217"/>
      <c r="D518" s="217"/>
      <c r="E518" s="217"/>
      <c r="F518" s="217"/>
    </row>
    <row r="519" customFormat="false" ht="12.75" hidden="false" customHeight="true" outlineLevel="0" collapsed="false">
      <c r="B519" s="216"/>
      <c r="C519" s="217"/>
      <c r="D519" s="217"/>
      <c r="E519" s="217"/>
      <c r="F519" s="217"/>
    </row>
    <row r="520" customFormat="false" ht="12.75" hidden="false" customHeight="true" outlineLevel="0" collapsed="false">
      <c r="B520" s="216"/>
      <c r="C520" s="217"/>
      <c r="D520" s="217"/>
      <c r="E520" s="217"/>
      <c r="F520" s="217"/>
    </row>
    <row r="521" customFormat="false" ht="12.75" hidden="false" customHeight="true" outlineLevel="0" collapsed="false">
      <c r="B521" s="216"/>
      <c r="C521" s="217"/>
      <c r="D521" s="217"/>
      <c r="E521" s="217"/>
      <c r="F521" s="217"/>
    </row>
    <row r="522" customFormat="false" ht="12.75" hidden="false" customHeight="true" outlineLevel="0" collapsed="false">
      <c r="B522" s="216"/>
      <c r="C522" s="217"/>
      <c r="D522" s="217"/>
      <c r="E522" s="217"/>
      <c r="F522" s="217"/>
    </row>
    <row r="523" customFormat="false" ht="12.75" hidden="false" customHeight="true" outlineLevel="0" collapsed="false">
      <c r="B523" s="216"/>
      <c r="C523" s="217"/>
      <c r="D523" s="217"/>
      <c r="E523" s="217"/>
      <c r="F523" s="217"/>
    </row>
    <row r="524" customFormat="false" ht="12.75" hidden="false" customHeight="true" outlineLevel="0" collapsed="false">
      <c r="B524" s="216"/>
      <c r="C524" s="217"/>
      <c r="D524" s="217"/>
      <c r="E524" s="217"/>
      <c r="F524" s="217"/>
    </row>
    <row r="525" customFormat="false" ht="12.75" hidden="false" customHeight="true" outlineLevel="0" collapsed="false">
      <c r="B525" s="216"/>
      <c r="C525" s="217"/>
      <c r="D525" s="217"/>
      <c r="E525" s="217"/>
      <c r="F525" s="217"/>
    </row>
    <row r="526" customFormat="false" ht="12.75" hidden="false" customHeight="true" outlineLevel="0" collapsed="false">
      <c r="B526" s="216"/>
      <c r="C526" s="217"/>
      <c r="D526" s="217"/>
      <c r="E526" s="217"/>
      <c r="F526" s="217"/>
    </row>
    <row r="527" customFormat="false" ht="12.75" hidden="false" customHeight="true" outlineLevel="0" collapsed="false">
      <c r="B527" s="216"/>
      <c r="C527" s="217"/>
      <c r="D527" s="217"/>
      <c r="E527" s="217"/>
      <c r="F527" s="217"/>
    </row>
    <row r="528" customFormat="false" ht="12.75" hidden="false" customHeight="true" outlineLevel="0" collapsed="false">
      <c r="B528" s="216"/>
      <c r="C528" s="217"/>
      <c r="D528" s="217"/>
      <c r="E528" s="217"/>
      <c r="F528" s="217"/>
    </row>
    <row r="529" customFormat="false" ht="12.75" hidden="false" customHeight="true" outlineLevel="0" collapsed="false">
      <c r="B529" s="216"/>
      <c r="C529" s="217"/>
      <c r="D529" s="217"/>
      <c r="E529" s="217"/>
      <c r="F529" s="217"/>
    </row>
    <row r="530" customFormat="false" ht="12.75" hidden="false" customHeight="true" outlineLevel="0" collapsed="false">
      <c r="B530" s="216"/>
      <c r="C530" s="217"/>
      <c r="D530" s="217"/>
      <c r="E530" s="217"/>
      <c r="F530" s="217"/>
    </row>
    <row r="531" customFormat="false" ht="12.75" hidden="false" customHeight="true" outlineLevel="0" collapsed="false">
      <c r="B531" s="216"/>
      <c r="C531" s="217"/>
      <c r="D531" s="217"/>
      <c r="E531" s="217"/>
      <c r="F531" s="217"/>
    </row>
    <row r="532" customFormat="false" ht="12.75" hidden="false" customHeight="true" outlineLevel="0" collapsed="false">
      <c r="B532" s="216"/>
      <c r="C532" s="217"/>
      <c r="D532" s="217"/>
      <c r="E532" s="217"/>
      <c r="F532" s="217"/>
    </row>
    <row r="533" customFormat="false" ht="12.75" hidden="false" customHeight="true" outlineLevel="0" collapsed="false">
      <c r="B533" s="216"/>
      <c r="C533" s="217"/>
      <c r="D533" s="217"/>
      <c r="E533" s="217"/>
      <c r="F533" s="217"/>
    </row>
    <row r="534" customFormat="false" ht="12.75" hidden="false" customHeight="true" outlineLevel="0" collapsed="false">
      <c r="B534" s="216"/>
      <c r="C534" s="217"/>
      <c r="D534" s="217"/>
      <c r="E534" s="217"/>
      <c r="F534" s="217"/>
    </row>
    <row r="535" customFormat="false" ht="12.75" hidden="false" customHeight="true" outlineLevel="0" collapsed="false">
      <c r="B535" s="216"/>
      <c r="C535" s="217"/>
      <c r="D535" s="217"/>
      <c r="E535" s="217"/>
      <c r="F535" s="217"/>
    </row>
    <row r="536" customFormat="false" ht="12.75" hidden="false" customHeight="true" outlineLevel="0" collapsed="false">
      <c r="B536" s="216"/>
      <c r="C536" s="217"/>
      <c r="D536" s="217"/>
      <c r="E536" s="217"/>
      <c r="F536" s="217"/>
    </row>
    <row r="537" customFormat="false" ht="12.75" hidden="false" customHeight="true" outlineLevel="0" collapsed="false">
      <c r="B537" s="216"/>
      <c r="C537" s="217"/>
      <c r="D537" s="217"/>
      <c r="E537" s="217"/>
      <c r="F537" s="217"/>
    </row>
    <row r="538" customFormat="false" ht="12.75" hidden="false" customHeight="true" outlineLevel="0" collapsed="false">
      <c r="B538" s="216"/>
      <c r="C538" s="217"/>
      <c r="D538" s="217"/>
      <c r="E538" s="217"/>
      <c r="F538" s="217"/>
    </row>
    <row r="539" customFormat="false" ht="12.75" hidden="false" customHeight="true" outlineLevel="0" collapsed="false">
      <c r="B539" s="216"/>
      <c r="C539" s="217"/>
      <c r="D539" s="217"/>
      <c r="E539" s="217"/>
      <c r="F539" s="217"/>
    </row>
    <row r="540" customFormat="false" ht="12.75" hidden="false" customHeight="true" outlineLevel="0" collapsed="false">
      <c r="B540" s="216"/>
      <c r="C540" s="217"/>
      <c r="D540" s="217"/>
      <c r="E540" s="217"/>
      <c r="F540" s="217"/>
    </row>
    <row r="541" customFormat="false" ht="12.75" hidden="false" customHeight="true" outlineLevel="0" collapsed="false">
      <c r="B541" s="216"/>
      <c r="C541" s="217"/>
      <c r="D541" s="217"/>
      <c r="E541" s="217"/>
      <c r="F541" s="217"/>
    </row>
    <row r="542" customFormat="false" ht="12.75" hidden="false" customHeight="true" outlineLevel="0" collapsed="false">
      <c r="B542" s="216"/>
      <c r="C542" s="217"/>
      <c r="D542" s="217"/>
      <c r="E542" s="217"/>
      <c r="F542" s="217"/>
    </row>
    <row r="543" customFormat="false" ht="12.75" hidden="false" customHeight="true" outlineLevel="0" collapsed="false">
      <c r="B543" s="216"/>
      <c r="C543" s="217"/>
      <c r="D543" s="217"/>
      <c r="E543" s="217"/>
      <c r="F543" s="217"/>
    </row>
    <row r="544" customFormat="false" ht="12.75" hidden="false" customHeight="true" outlineLevel="0" collapsed="false">
      <c r="B544" s="216"/>
      <c r="C544" s="217"/>
      <c r="D544" s="217"/>
      <c r="E544" s="217"/>
      <c r="F544" s="217"/>
    </row>
    <row r="545" customFormat="false" ht="12.75" hidden="false" customHeight="true" outlineLevel="0" collapsed="false">
      <c r="B545" s="216"/>
      <c r="C545" s="217"/>
      <c r="D545" s="217"/>
      <c r="E545" s="217"/>
      <c r="F545" s="217"/>
    </row>
    <row r="546" customFormat="false" ht="12.75" hidden="false" customHeight="true" outlineLevel="0" collapsed="false">
      <c r="B546" s="216"/>
      <c r="C546" s="217"/>
      <c r="D546" s="217"/>
      <c r="E546" s="217"/>
      <c r="F546" s="217"/>
    </row>
    <row r="547" customFormat="false" ht="12.75" hidden="false" customHeight="true" outlineLevel="0" collapsed="false">
      <c r="B547" s="216"/>
      <c r="C547" s="217"/>
      <c r="D547" s="217"/>
      <c r="E547" s="217"/>
      <c r="F547" s="217"/>
    </row>
    <row r="548" customFormat="false" ht="12.75" hidden="false" customHeight="true" outlineLevel="0" collapsed="false">
      <c r="B548" s="216"/>
      <c r="C548" s="217"/>
      <c r="D548" s="217"/>
      <c r="E548" s="217"/>
      <c r="F548" s="217"/>
    </row>
    <row r="549" customFormat="false" ht="12.75" hidden="false" customHeight="true" outlineLevel="0" collapsed="false">
      <c r="B549" s="216"/>
      <c r="C549" s="217"/>
      <c r="D549" s="217"/>
      <c r="E549" s="217"/>
      <c r="F549" s="217"/>
    </row>
    <row r="550" customFormat="false" ht="12.75" hidden="false" customHeight="true" outlineLevel="0" collapsed="false">
      <c r="B550" s="216"/>
      <c r="C550" s="217"/>
      <c r="D550" s="217"/>
      <c r="E550" s="217"/>
      <c r="F550" s="217"/>
    </row>
    <row r="551" customFormat="false" ht="12.75" hidden="false" customHeight="true" outlineLevel="0" collapsed="false">
      <c r="B551" s="216"/>
      <c r="C551" s="217"/>
      <c r="D551" s="217"/>
      <c r="E551" s="217"/>
      <c r="F551" s="217"/>
    </row>
    <row r="552" customFormat="false" ht="12.75" hidden="false" customHeight="true" outlineLevel="0" collapsed="false">
      <c r="B552" s="216"/>
      <c r="C552" s="217"/>
      <c r="D552" s="217"/>
      <c r="E552" s="217"/>
      <c r="F552" s="217"/>
    </row>
    <row r="553" customFormat="false" ht="12.75" hidden="false" customHeight="true" outlineLevel="0" collapsed="false">
      <c r="B553" s="216"/>
      <c r="C553" s="217"/>
      <c r="D553" s="217"/>
      <c r="E553" s="217"/>
      <c r="F553" s="217"/>
    </row>
    <row r="554" customFormat="false" ht="12.75" hidden="false" customHeight="true" outlineLevel="0" collapsed="false">
      <c r="B554" s="216"/>
      <c r="C554" s="217"/>
      <c r="D554" s="217"/>
      <c r="E554" s="217"/>
      <c r="F554" s="217"/>
    </row>
    <row r="555" customFormat="false" ht="12.75" hidden="false" customHeight="true" outlineLevel="0" collapsed="false">
      <c r="B555" s="216"/>
      <c r="C555" s="217"/>
      <c r="D555" s="217"/>
      <c r="E555" s="217"/>
      <c r="F555" s="217"/>
    </row>
    <row r="556" customFormat="false" ht="12.75" hidden="false" customHeight="true" outlineLevel="0" collapsed="false">
      <c r="B556" s="216"/>
      <c r="C556" s="217"/>
      <c r="D556" s="217"/>
      <c r="E556" s="217"/>
      <c r="F556" s="217"/>
    </row>
    <row r="557" customFormat="false" ht="12.75" hidden="false" customHeight="true" outlineLevel="0" collapsed="false">
      <c r="B557" s="216"/>
      <c r="C557" s="217"/>
      <c r="D557" s="217"/>
      <c r="E557" s="217"/>
      <c r="F557" s="217"/>
    </row>
    <row r="558" customFormat="false" ht="12.75" hidden="false" customHeight="true" outlineLevel="0" collapsed="false">
      <c r="B558" s="216"/>
      <c r="C558" s="217"/>
      <c r="D558" s="217"/>
      <c r="E558" s="217"/>
      <c r="F558" s="217"/>
    </row>
    <row r="559" customFormat="false" ht="12.75" hidden="false" customHeight="true" outlineLevel="0" collapsed="false">
      <c r="B559" s="216"/>
      <c r="C559" s="217"/>
      <c r="D559" s="217"/>
      <c r="E559" s="217"/>
      <c r="F559" s="217"/>
    </row>
    <row r="560" customFormat="false" ht="12.75" hidden="false" customHeight="true" outlineLevel="0" collapsed="false">
      <c r="B560" s="216"/>
      <c r="C560" s="217"/>
      <c r="D560" s="217"/>
      <c r="E560" s="217"/>
      <c r="F560" s="217"/>
    </row>
    <row r="561" customFormat="false" ht="12.75" hidden="false" customHeight="true" outlineLevel="0" collapsed="false">
      <c r="B561" s="216"/>
      <c r="C561" s="217"/>
      <c r="D561" s="217"/>
      <c r="E561" s="217"/>
      <c r="F561" s="217"/>
    </row>
    <row r="562" customFormat="false" ht="12.75" hidden="false" customHeight="true" outlineLevel="0" collapsed="false">
      <c r="B562" s="216"/>
      <c r="C562" s="217"/>
      <c r="D562" s="217"/>
      <c r="E562" s="217"/>
      <c r="F562" s="217"/>
    </row>
    <row r="563" customFormat="false" ht="12.75" hidden="false" customHeight="true" outlineLevel="0" collapsed="false">
      <c r="B563" s="216"/>
      <c r="C563" s="217"/>
      <c r="D563" s="217"/>
      <c r="E563" s="217"/>
      <c r="F563" s="217"/>
    </row>
    <row r="564" customFormat="false" ht="12.75" hidden="false" customHeight="true" outlineLevel="0" collapsed="false">
      <c r="B564" s="216"/>
      <c r="C564" s="217"/>
      <c r="D564" s="217"/>
      <c r="E564" s="217"/>
      <c r="F564" s="217"/>
    </row>
    <row r="565" customFormat="false" ht="12.75" hidden="false" customHeight="true" outlineLevel="0" collapsed="false">
      <c r="B565" s="216"/>
      <c r="C565" s="217"/>
      <c r="D565" s="217"/>
      <c r="E565" s="217"/>
      <c r="F565" s="217"/>
    </row>
    <row r="566" customFormat="false" ht="12.75" hidden="false" customHeight="true" outlineLevel="0" collapsed="false">
      <c r="B566" s="216"/>
      <c r="C566" s="217"/>
      <c r="D566" s="217"/>
      <c r="E566" s="217"/>
      <c r="F566" s="217"/>
    </row>
    <row r="567" customFormat="false" ht="12.75" hidden="false" customHeight="true" outlineLevel="0" collapsed="false">
      <c r="B567" s="216"/>
      <c r="C567" s="217"/>
      <c r="D567" s="217"/>
      <c r="E567" s="217"/>
      <c r="F567" s="217"/>
    </row>
    <row r="568" customFormat="false" ht="12.75" hidden="false" customHeight="true" outlineLevel="0" collapsed="false">
      <c r="B568" s="216"/>
      <c r="C568" s="217"/>
      <c r="D568" s="217"/>
      <c r="E568" s="217"/>
      <c r="F568" s="217"/>
    </row>
    <row r="569" customFormat="false" ht="12.75" hidden="false" customHeight="true" outlineLevel="0" collapsed="false">
      <c r="B569" s="216"/>
      <c r="C569" s="217"/>
      <c r="D569" s="217"/>
      <c r="E569" s="217"/>
      <c r="F569" s="217"/>
    </row>
    <row r="570" customFormat="false" ht="12.75" hidden="false" customHeight="true" outlineLevel="0" collapsed="false">
      <c r="B570" s="216"/>
      <c r="C570" s="217"/>
      <c r="D570" s="217"/>
      <c r="E570" s="217"/>
      <c r="F570" s="217"/>
    </row>
    <row r="571" customFormat="false" ht="12.75" hidden="false" customHeight="true" outlineLevel="0" collapsed="false">
      <c r="B571" s="216"/>
      <c r="C571" s="217"/>
      <c r="D571" s="217"/>
      <c r="E571" s="217"/>
      <c r="F571" s="217"/>
    </row>
    <row r="572" customFormat="false" ht="12.75" hidden="false" customHeight="true" outlineLevel="0" collapsed="false">
      <c r="B572" s="216"/>
      <c r="C572" s="217"/>
      <c r="D572" s="217"/>
      <c r="E572" s="217"/>
      <c r="F572" s="217"/>
    </row>
    <row r="573" customFormat="false" ht="12.75" hidden="false" customHeight="true" outlineLevel="0" collapsed="false">
      <c r="B573" s="216"/>
      <c r="C573" s="217"/>
      <c r="D573" s="217"/>
      <c r="E573" s="217"/>
      <c r="F573" s="217"/>
    </row>
    <row r="574" customFormat="false" ht="12.75" hidden="false" customHeight="true" outlineLevel="0" collapsed="false">
      <c r="B574" s="216"/>
      <c r="C574" s="217"/>
      <c r="D574" s="217"/>
      <c r="E574" s="217"/>
      <c r="F574" s="217"/>
    </row>
    <row r="575" customFormat="false" ht="12.75" hidden="false" customHeight="true" outlineLevel="0" collapsed="false">
      <c r="B575" s="216"/>
      <c r="C575" s="217"/>
      <c r="D575" s="217"/>
      <c r="E575" s="217"/>
      <c r="F575" s="217"/>
    </row>
    <row r="576" customFormat="false" ht="12.75" hidden="false" customHeight="true" outlineLevel="0" collapsed="false">
      <c r="B576" s="216"/>
      <c r="C576" s="217"/>
      <c r="D576" s="217"/>
      <c r="E576" s="217"/>
      <c r="F576" s="217"/>
    </row>
    <row r="577" customFormat="false" ht="12.75" hidden="false" customHeight="true" outlineLevel="0" collapsed="false">
      <c r="B577" s="216"/>
      <c r="C577" s="217"/>
      <c r="D577" s="217"/>
      <c r="E577" s="217"/>
      <c r="F577" s="217"/>
    </row>
    <row r="578" customFormat="false" ht="12.75" hidden="false" customHeight="true" outlineLevel="0" collapsed="false">
      <c r="B578" s="216"/>
      <c r="C578" s="217"/>
      <c r="D578" s="217"/>
      <c r="E578" s="217"/>
      <c r="F578" s="217"/>
    </row>
    <row r="579" customFormat="false" ht="12.75" hidden="false" customHeight="true" outlineLevel="0" collapsed="false">
      <c r="B579" s="216"/>
      <c r="C579" s="217"/>
      <c r="D579" s="217"/>
      <c r="E579" s="217"/>
      <c r="F579" s="217"/>
    </row>
    <row r="580" customFormat="false" ht="12.75" hidden="false" customHeight="true" outlineLevel="0" collapsed="false">
      <c r="B580" s="216"/>
      <c r="C580" s="217"/>
      <c r="D580" s="217"/>
      <c r="E580" s="217"/>
      <c r="F580" s="217"/>
    </row>
    <row r="581" customFormat="false" ht="12.75" hidden="false" customHeight="true" outlineLevel="0" collapsed="false">
      <c r="B581" s="216"/>
      <c r="C581" s="217"/>
      <c r="D581" s="217"/>
      <c r="E581" s="217"/>
      <c r="F581" s="217"/>
    </row>
    <row r="582" customFormat="false" ht="12.75" hidden="false" customHeight="true" outlineLevel="0" collapsed="false">
      <c r="B582" s="216"/>
      <c r="C582" s="217"/>
      <c r="D582" s="217"/>
      <c r="E582" s="217"/>
      <c r="F582" s="217"/>
    </row>
    <row r="583" customFormat="false" ht="12.75" hidden="false" customHeight="true" outlineLevel="0" collapsed="false">
      <c r="B583" s="216"/>
      <c r="C583" s="217"/>
      <c r="D583" s="217"/>
      <c r="E583" s="217"/>
      <c r="F583" s="217"/>
    </row>
    <row r="584" customFormat="false" ht="12.75" hidden="false" customHeight="true" outlineLevel="0" collapsed="false">
      <c r="B584" s="216"/>
      <c r="C584" s="217"/>
      <c r="D584" s="217"/>
      <c r="E584" s="217"/>
      <c r="F584" s="217"/>
    </row>
    <row r="585" customFormat="false" ht="12.75" hidden="false" customHeight="true" outlineLevel="0" collapsed="false">
      <c r="B585" s="216"/>
      <c r="C585" s="217"/>
      <c r="D585" s="217"/>
      <c r="E585" s="217"/>
      <c r="F585" s="217"/>
    </row>
    <row r="586" customFormat="false" ht="12.75" hidden="false" customHeight="true" outlineLevel="0" collapsed="false">
      <c r="B586" s="216"/>
      <c r="C586" s="217"/>
      <c r="D586" s="217"/>
      <c r="E586" s="217"/>
      <c r="F586" s="217"/>
    </row>
    <row r="587" customFormat="false" ht="12.75" hidden="false" customHeight="true" outlineLevel="0" collapsed="false">
      <c r="B587" s="216"/>
      <c r="C587" s="217"/>
      <c r="D587" s="217"/>
      <c r="E587" s="217"/>
      <c r="F587" s="217"/>
    </row>
    <row r="588" customFormat="false" ht="12.75" hidden="false" customHeight="true" outlineLevel="0" collapsed="false">
      <c r="B588" s="216"/>
      <c r="C588" s="217"/>
      <c r="D588" s="217"/>
      <c r="E588" s="217"/>
      <c r="F588" s="217"/>
    </row>
    <row r="589" customFormat="false" ht="12.75" hidden="false" customHeight="true" outlineLevel="0" collapsed="false">
      <c r="B589" s="216"/>
      <c r="C589" s="217"/>
      <c r="D589" s="217"/>
      <c r="E589" s="217"/>
      <c r="F589" s="217"/>
    </row>
    <row r="590" customFormat="false" ht="12.75" hidden="false" customHeight="true" outlineLevel="0" collapsed="false">
      <c r="B590" s="216"/>
      <c r="C590" s="217"/>
      <c r="D590" s="217"/>
      <c r="E590" s="217"/>
      <c r="F590" s="217"/>
    </row>
    <row r="591" customFormat="false" ht="12.75" hidden="false" customHeight="true" outlineLevel="0" collapsed="false">
      <c r="B591" s="216"/>
      <c r="C591" s="217"/>
      <c r="D591" s="217"/>
      <c r="E591" s="217"/>
      <c r="F591" s="217"/>
    </row>
    <row r="592" customFormat="false" ht="12.75" hidden="false" customHeight="true" outlineLevel="0" collapsed="false">
      <c r="B592" s="216"/>
      <c r="C592" s="217"/>
      <c r="D592" s="217"/>
      <c r="E592" s="217"/>
      <c r="F592" s="217"/>
    </row>
    <row r="593" customFormat="false" ht="12.75" hidden="false" customHeight="true" outlineLevel="0" collapsed="false">
      <c r="B593" s="216"/>
      <c r="C593" s="217"/>
      <c r="D593" s="217"/>
      <c r="E593" s="217"/>
      <c r="F593" s="217"/>
    </row>
    <row r="594" customFormat="false" ht="12.75" hidden="false" customHeight="true" outlineLevel="0" collapsed="false">
      <c r="B594" s="216"/>
      <c r="C594" s="217"/>
      <c r="D594" s="217"/>
      <c r="E594" s="217"/>
      <c r="F594" s="217"/>
    </row>
    <row r="595" customFormat="false" ht="12.75" hidden="false" customHeight="true" outlineLevel="0" collapsed="false">
      <c r="B595" s="216"/>
      <c r="C595" s="217"/>
      <c r="D595" s="217"/>
      <c r="E595" s="217"/>
      <c r="F595" s="217"/>
    </row>
    <row r="596" customFormat="false" ht="12.75" hidden="false" customHeight="true" outlineLevel="0" collapsed="false">
      <c r="B596" s="216"/>
      <c r="C596" s="217"/>
      <c r="D596" s="217"/>
      <c r="E596" s="217"/>
      <c r="F596" s="217"/>
    </row>
    <row r="597" customFormat="false" ht="12.75" hidden="false" customHeight="true" outlineLevel="0" collapsed="false">
      <c r="B597" s="216"/>
      <c r="C597" s="217"/>
      <c r="D597" s="217"/>
      <c r="E597" s="217"/>
      <c r="F597" s="217"/>
    </row>
    <row r="598" customFormat="false" ht="12.75" hidden="false" customHeight="true" outlineLevel="0" collapsed="false">
      <c r="B598" s="216"/>
      <c r="C598" s="217"/>
      <c r="D598" s="217"/>
      <c r="E598" s="217"/>
      <c r="F598" s="217"/>
    </row>
    <row r="599" customFormat="false" ht="12.75" hidden="false" customHeight="true" outlineLevel="0" collapsed="false">
      <c r="B599" s="216"/>
      <c r="C599" s="217"/>
      <c r="D599" s="217"/>
      <c r="E599" s="217"/>
      <c r="F599" s="217"/>
    </row>
    <row r="600" customFormat="false" ht="12.75" hidden="false" customHeight="true" outlineLevel="0" collapsed="false">
      <c r="B600" s="216"/>
      <c r="C600" s="217"/>
      <c r="D600" s="217"/>
      <c r="E600" s="217"/>
      <c r="F600" s="217"/>
    </row>
    <row r="601" customFormat="false" ht="12.75" hidden="false" customHeight="true" outlineLevel="0" collapsed="false">
      <c r="B601" s="216"/>
      <c r="C601" s="217"/>
      <c r="D601" s="217"/>
      <c r="E601" s="217"/>
      <c r="F601" s="217"/>
    </row>
    <row r="602" customFormat="false" ht="12.75" hidden="false" customHeight="true" outlineLevel="0" collapsed="false">
      <c r="B602" s="216"/>
      <c r="C602" s="217"/>
      <c r="D602" s="217"/>
      <c r="E602" s="217"/>
      <c r="F602" s="217"/>
    </row>
    <row r="603" customFormat="false" ht="12.75" hidden="false" customHeight="true" outlineLevel="0" collapsed="false">
      <c r="B603" s="216"/>
      <c r="C603" s="217"/>
      <c r="D603" s="217"/>
      <c r="E603" s="217"/>
      <c r="F603" s="217"/>
    </row>
    <row r="604" customFormat="false" ht="12.75" hidden="false" customHeight="true" outlineLevel="0" collapsed="false">
      <c r="B604" s="216"/>
      <c r="C604" s="217"/>
      <c r="D604" s="217"/>
      <c r="E604" s="217"/>
      <c r="F604" s="217"/>
    </row>
    <row r="605" customFormat="false" ht="12.75" hidden="false" customHeight="true" outlineLevel="0" collapsed="false">
      <c r="B605" s="216"/>
      <c r="C605" s="217"/>
      <c r="D605" s="217"/>
      <c r="E605" s="217"/>
      <c r="F605" s="217"/>
    </row>
    <row r="606" customFormat="false" ht="12.75" hidden="false" customHeight="true" outlineLevel="0" collapsed="false">
      <c r="B606" s="216"/>
      <c r="C606" s="217"/>
      <c r="D606" s="217"/>
      <c r="E606" s="217"/>
      <c r="F606" s="217"/>
    </row>
    <row r="607" customFormat="false" ht="12.75" hidden="false" customHeight="true" outlineLevel="0" collapsed="false">
      <c r="B607" s="216"/>
      <c r="C607" s="217"/>
      <c r="D607" s="217"/>
      <c r="E607" s="217"/>
      <c r="F607" s="217"/>
    </row>
    <row r="608" customFormat="false" ht="12.75" hidden="false" customHeight="true" outlineLevel="0" collapsed="false">
      <c r="B608" s="216"/>
      <c r="C608" s="217"/>
      <c r="D608" s="217"/>
      <c r="E608" s="217"/>
      <c r="F608" s="217"/>
    </row>
    <row r="609" customFormat="false" ht="12.75" hidden="false" customHeight="true" outlineLevel="0" collapsed="false">
      <c r="B609" s="216"/>
      <c r="C609" s="217"/>
      <c r="D609" s="217"/>
      <c r="E609" s="217"/>
      <c r="F609" s="217"/>
    </row>
    <row r="610" customFormat="false" ht="12.75" hidden="false" customHeight="true" outlineLevel="0" collapsed="false">
      <c r="B610" s="216"/>
      <c r="C610" s="217"/>
      <c r="D610" s="217"/>
      <c r="E610" s="217"/>
      <c r="F610" s="217"/>
    </row>
    <row r="611" customFormat="false" ht="12.75" hidden="false" customHeight="true" outlineLevel="0" collapsed="false">
      <c r="B611" s="216"/>
      <c r="C611" s="217"/>
      <c r="D611" s="217"/>
      <c r="E611" s="217"/>
      <c r="F611" s="217"/>
    </row>
    <row r="612" customFormat="false" ht="12.75" hidden="false" customHeight="true" outlineLevel="0" collapsed="false">
      <c r="B612" s="216"/>
      <c r="C612" s="217"/>
      <c r="D612" s="217"/>
      <c r="E612" s="217"/>
      <c r="F612" s="217"/>
    </row>
    <row r="613" customFormat="false" ht="12.75" hidden="false" customHeight="true" outlineLevel="0" collapsed="false">
      <c r="B613" s="216"/>
      <c r="C613" s="217"/>
      <c r="D613" s="217"/>
      <c r="E613" s="217"/>
      <c r="F613" s="217"/>
    </row>
    <row r="614" customFormat="false" ht="12.75" hidden="false" customHeight="true" outlineLevel="0" collapsed="false">
      <c r="B614" s="216"/>
      <c r="C614" s="217"/>
      <c r="D614" s="217"/>
      <c r="E614" s="217"/>
      <c r="F614" s="217"/>
    </row>
    <row r="615" customFormat="false" ht="12.75" hidden="false" customHeight="true" outlineLevel="0" collapsed="false">
      <c r="B615" s="216"/>
      <c r="C615" s="217"/>
      <c r="D615" s="217"/>
      <c r="E615" s="217"/>
      <c r="F615" s="217"/>
    </row>
    <row r="616" customFormat="false" ht="12.75" hidden="false" customHeight="true" outlineLevel="0" collapsed="false">
      <c r="B616" s="216"/>
      <c r="C616" s="217"/>
      <c r="D616" s="217"/>
      <c r="E616" s="217"/>
      <c r="F616" s="217"/>
    </row>
    <row r="617" customFormat="false" ht="12.75" hidden="false" customHeight="true" outlineLevel="0" collapsed="false">
      <c r="B617" s="216"/>
      <c r="C617" s="217"/>
      <c r="D617" s="217"/>
      <c r="E617" s="217"/>
      <c r="F617" s="217"/>
    </row>
    <row r="618" customFormat="false" ht="12.75" hidden="false" customHeight="true" outlineLevel="0" collapsed="false">
      <c r="B618" s="216"/>
      <c r="C618" s="217"/>
      <c r="D618" s="217"/>
      <c r="E618" s="217"/>
      <c r="F618" s="217"/>
    </row>
    <row r="619" customFormat="false" ht="12.75" hidden="false" customHeight="true" outlineLevel="0" collapsed="false">
      <c r="B619" s="216"/>
      <c r="C619" s="217"/>
      <c r="D619" s="217"/>
      <c r="E619" s="217"/>
      <c r="F619" s="217"/>
    </row>
    <row r="620" customFormat="false" ht="12.75" hidden="false" customHeight="true" outlineLevel="0" collapsed="false">
      <c r="B620" s="216"/>
      <c r="C620" s="217"/>
      <c r="D620" s="217"/>
      <c r="E620" s="217"/>
      <c r="F620" s="217"/>
    </row>
    <row r="621" customFormat="false" ht="12.75" hidden="false" customHeight="true" outlineLevel="0" collapsed="false">
      <c r="B621" s="216"/>
      <c r="C621" s="217"/>
      <c r="D621" s="217"/>
      <c r="E621" s="217"/>
      <c r="F621" s="217"/>
    </row>
    <row r="622" customFormat="false" ht="12.75" hidden="false" customHeight="true" outlineLevel="0" collapsed="false">
      <c r="B622" s="216"/>
      <c r="C622" s="217"/>
      <c r="D622" s="217"/>
      <c r="E622" s="217"/>
      <c r="F622" s="217"/>
    </row>
    <row r="623" customFormat="false" ht="12.75" hidden="false" customHeight="true" outlineLevel="0" collapsed="false">
      <c r="B623" s="216"/>
      <c r="C623" s="217"/>
      <c r="D623" s="217"/>
      <c r="E623" s="217"/>
      <c r="F623" s="217"/>
    </row>
    <row r="624" customFormat="false" ht="12.75" hidden="false" customHeight="true" outlineLevel="0" collapsed="false">
      <c r="B624" s="216"/>
      <c r="C624" s="217"/>
      <c r="D624" s="217"/>
      <c r="E624" s="217"/>
      <c r="F624" s="217"/>
    </row>
    <row r="625" customFormat="false" ht="12.75" hidden="false" customHeight="true" outlineLevel="0" collapsed="false">
      <c r="B625" s="216"/>
      <c r="C625" s="217"/>
      <c r="D625" s="217"/>
      <c r="E625" s="217"/>
      <c r="F625" s="217"/>
    </row>
    <row r="626" customFormat="false" ht="12.75" hidden="false" customHeight="true" outlineLevel="0" collapsed="false">
      <c r="B626" s="216"/>
      <c r="C626" s="217"/>
      <c r="D626" s="217"/>
      <c r="E626" s="217"/>
      <c r="F626" s="217"/>
    </row>
    <row r="627" customFormat="false" ht="12.75" hidden="false" customHeight="true" outlineLevel="0" collapsed="false">
      <c r="B627" s="216"/>
      <c r="C627" s="217"/>
      <c r="D627" s="217"/>
      <c r="E627" s="217"/>
      <c r="F627" s="217"/>
    </row>
    <row r="628" customFormat="false" ht="12.75" hidden="false" customHeight="true" outlineLevel="0" collapsed="false">
      <c r="B628" s="216"/>
      <c r="C628" s="217"/>
      <c r="D628" s="217"/>
      <c r="E628" s="217"/>
      <c r="F628" s="217"/>
    </row>
    <row r="629" customFormat="false" ht="12.75" hidden="false" customHeight="true" outlineLevel="0" collapsed="false">
      <c r="B629" s="216"/>
      <c r="C629" s="217"/>
      <c r="D629" s="217"/>
      <c r="E629" s="217"/>
      <c r="F629" s="217"/>
    </row>
    <row r="630" customFormat="false" ht="12.75" hidden="false" customHeight="true" outlineLevel="0" collapsed="false">
      <c r="B630" s="216"/>
      <c r="C630" s="217"/>
      <c r="D630" s="217"/>
      <c r="E630" s="217"/>
      <c r="F630" s="217"/>
    </row>
    <row r="631" customFormat="false" ht="12.75" hidden="false" customHeight="true" outlineLevel="0" collapsed="false">
      <c r="B631" s="216"/>
      <c r="C631" s="217"/>
      <c r="D631" s="217"/>
      <c r="E631" s="217"/>
      <c r="F631" s="217"/>
    </row>
    <row r="632" customFormat="false" ht="12.75" hidden="false" customHeight="true" outlineLevel="0" collapsed="false">
      <c r="B632" s="216"/>
      <c r="C632" s="217"/>
      <c r="D632" s="217"/>
      <c r="E632" s="217"/>
      <c r="F632" s="217"/>
    </row>
    <row r="633" customFormat="false" ht="12.75" hidden="false" customHeight="true" outlineLevel="0" collapsed="false">
      <c r="B633" s="216"/>
      <c r="C633" s="217"/>
      <c r="D633" s="217"/>
      <c r="E633" s="217"/>
      <c r="F633" s="217"/>
    </row>
    <row r="634" customFormat="false" ht="12.75" hidden="false" customHeight="true" outlineLevel="0" collapsed="false">
      <c r="B634" s="216"/>
      <c r="C634" s="217"/>
      <c r="D634" s="217"/>
      <c r="E634" s="217"/>
      <c r="F634" s="217"/>
    </row>
    <row r="635" customFormat="false" ht="12.75" hidden="false" customHeight="true" outlineLevel="0" collapsed="false">
      <c r="B635" s="216"/>
      <c r="C635" s="217"/>
      <c r="D635" s="217"/>
      <c r="E635" s="217"/>
      <c r="F635" s="217"/>
    </row>
    <row r="636" customFormat="false" ht="12.75" hidden="false" customHeight="true" outlineLevel="0" collapsed="false">
      <c r="B636" s="216"/>
      <c r="C636" s="217"/>
      <c r="D636" s="217"/>
      <c r="E636" s="217"/>
      <c r="F636" s="217"/>
    </row>
    <row r="637" customFormat="false" ht="12.75" hidden="false" customHeight="true" outlineLevel="0" collapsed="false">
      <c r="B637" s="216"/>
      <c r="C637" s="217"/>
      <c r="D637" s="217"/>
      <c r="E637" s="217"/>
      <c r="F637" s="217"/>
    </row>
    <row r="638" customFormat="false" ht="12.75" hidden="false" customHeight="true" outlineLevel="0" collapsed="false">
      <c r="B638" s="216"/>
      <c r="C638" s="217"/>
      <c r="D638" s="217"/>
      <c r="E638" s="217"/>
      <c r="F638" s="217"/>
    </row>
    <row r="639" customFormat="false" ht="12.75" hidden="false" customHeight="true" outlineLevel="0" collapsed="false">
      <c r="B639" s="216"/>
      <c r="C639" s="217"/>
      <c r="D639" s="217"/>
      <c r="E639" s="217"/>
      <c r="F639" s="217"/>
    </row>
    <row r="640" customFormat="false" ht="12.75" hidden="false" customHeight="true" outlineLevel="0" collapsed="false">
      <c r="B640" s="216"/>
      <c r="C640" s="217"/>
      <c r="D640" s="217"/>
      <c r="E640" s="217"/>
      <c r="F640" s="217"/>
    </row>
    <row r="641" customFormat="false" ht="12.75" hidden="false" customHeight="true" outlineLevel="0" collapsed="false">
      <c r="B641" s="216"/>
      <c r="C641" s="217"/>
      <c r="D641" s="217"/>
      <c r="E641" s="217"/>
      <c r="F641" s="217"/>
    </row>
    <row r="642" customFormat="false" ht="12.75" hidden="false" customHeight="true" outlineLevel="0" collapsed="false">
      <c r="B642" s="216"/>
      <c r="C642" s="217"/>
      <c r="D642" s="217"/>
      <c r="E642" s="217"/>
      <c r="F642" s="217"/>
    </row>
    <row r="643" customFormat="false" ht="12.75" hidden="false" customHeight="true" outlineLevel="0" collapsed="false">
      <c r="B643" s="216"/>
      <c r="C643" s="217"/>
      <c r="D643" s="217"/>
      <c r="E643" s="217"/>
      <c r="F643" s="217"/>
    </row>
    <row r="644" customFormat="false" ht="12.75" hidden="false" customHeight="true" outlineLevel="0" collapsed="false">
      <c r="B644" s="216"/>
      <c r="C644" s="217"/>
      <c r="D644" s="217"/>
      <c r="E644" s="217"/>
      <c r="F644" s="217"/>
    </row>
    <row r="645" customFormat="false" ht="12.75" hidden="false" customHeight="true" outlineLevel="0" collapsed="false">
      <c r="B645" s="216"/>
      <c r="C645" s="217"/>
      <c r="D645" s="217"/>
      <c r="E645" s="217"/>
      <c r="F645" s="217"/>
    </row>
    <row r="646" customFormat="false" ht="12.75" hidden="false" customHeight="true" outlineLevel="0" collapsed="false">
      <c r="B646" s="216"/>
      <c r="C646" s="217"/>
      <c r="D646" s="217"/>
      <c r="E646" s="217"/>
      <c r="F646" s="217"/>
    </row>
    <row r="647" customFormat="false" ht="12.75" hidden="false" customHeight="true" outlineLevel="0" collapsed="false">
      <c r="B647" s="216"/>
      <c r="C647" s="217"/>
      <c r="D647" s="217"/>
      <c r="E647" s="217"/>
      <c r="F647" s="217"/>
    </row>
    <row r="648" customFormat="false" ht="12.75" hidden="false" customHeight="true" outlineLevel="0" collapsed="false">
      <c r="B648" s="216"/>
      <c r="C648" s="217"/>
      <c r="D648" s="217"/>
      <c r="E648" s="217"/>
      <c r="F648" s="217"/>
    </row>
    <row r="649" customFormat="false" ht="12.75" hidden="false" customHeight="true" outlineLevel="0" collapsed="false">
      <c r="B649" s="216"/>
      <c r="C649" s="217"/>
      <c r="D649" s="217"/>
      <c r="E649" s="217"/>
      <c r="F649" s="217"/>
    </row>
    <row r="650" customFormat="false" ht="12.75" hidden="false" customHeight="true" outlineLevel="0" collapsed="false">
      <c r="B650" s="216"/>
      <c r="C650" s="217"/>
      <c r="D650" s="217"/>
      <c r="E650" s="217"/>
      <c r="F650" s="217"/>
    </row>
    <row r="651" customFormat="false" ht="12.75" hidden="false" customHeight="true" outlineLevel="0" collapsed="false">
      <c r="B651" s="216"/>
      <c r="C651" s="217"/>
      <c r="D651" s="217"/>
      <c r="E651" s="217"/>
      <c r="F651" s="217"/>
    </row>
    <row r="652" customFormat="false" ht="12.75" hidden="false" customHeight="true" outlineLevel="0" collapsed="false">
      <c r="B652" s="216"/>
      <c r="C652" s="217"/>
      <c r="D652" s="217"/>
      <c r="E652" s="217"/>
      <c r="F652" s="217"/>
    </row>
    <row r="653" customFormat="false" ht="12.75" hidden="false" customHeight="true" outlineLevel="0" collapsed="false">
      <c r="B653" s="216"/>
      <c r="C653" s="217"/>
      <c r="D653" s="217"/>
      <c r="E653" s="217"/>
      <c r="F653" s="217"/>
    </row>
    <row r="654" customFormat="false" ht="12.75" hidden="false" customHeight="true" outlineLevel="0" collapsed="false">
      <c r="B654" s="216"/>
      <c r="C654" s="217"/>
      <c r="D654" s="217"/>
      <c r="E654" s="217"/>
      <c r="F654" s="217"/>
    </row>
    <row r="655" customFormat="false" ht="12.75" hidden="false" customHeight="true" outlineLevel="0" collapsed="false">
      <c r="B655" s="216"/>
      <c r="C655" s="217"/>
      <c r="D655" s="217"/>
      <c r="E655" s="217"/>
      <c r="F655" s="217"/>
    </row>
    <row r="656" customFormat="false" ht="12.75" hidden="false" customHeight="true" outlineLevel="0" collapsed="false">
      <c r="B656" s="216"/>
      <c r="C656" s="217"/>
      <c r="D656" s="217"/>
      <c r="E656" s="217"/>
      <c r="F656" s="217"/>
    </row>
    <row r="657" customFormat="false" ht="12.75" hidden="false" customHeight="true" outlineLevel="0" collapsed="false">
      <c r="B657" s="216"/>
      <c r="C657" s="217"/>
      <c r="D657" s="217"/>
      <c r="E657" s="217"/>
      <c r="F657" s="217"/>
    </row>
    <row r="658" customFormat="false" ht="12.75" hidden="false" customHeight="true" outlineLevel="0" collapsed="false">
      <c r="B658" s="216"/>
      <c r="C658" s="217"/>
      <c r="D658" s="217"/>
      <c r="E658" s="217"/>
      <c r="F658" s="217"/>
    </row>
    <row r="659" customFormat="false" ht="12.75" hidden="false" customHeight="true" outlineLevel="0" collapsed="false">
      <c r="B659" s="216"/>
      <c r="C659" s="217"/>
      <c r="D659" s="217"/>
      <c r="E659" s="217"/>
      <c r="F659" s="217"/>
    </row>
    <row r="660" customFormat="false" ht="12.75" hidden="false" customHeight="true" outlineLevel="0" collapsed="false">
      <c r="B660" s="216"/>
      <c r="C660" s="217"/>
      <c r="D660" s="217"/>
      <c r="E660" s="217"/>
      <c r="F660" s="217"/>
    </row>
    <row r="661" customFormat="false" ht="12.75" hidden="false" customHeight="true" outlineLevel="0" collapsed="false">
      <c r="B661" s="216"/>
      <c r="C661" s="217"/>
      <c r="D661" s="217"/>
      <c r="E661" s="217"/>
      <c r="F661" s="217"/>
    </row>
    <row r="662" customFormat="false" ht="12.75" hidden="false" customHeight="true" outlineLevel="0" collapsed="false">
      <c r="B662" s="216"/>
      <c r="C662" s="217"/>
      <c r="D662" s="217"/>
      <c r="E662" s="217"/>
      <c r="F662" s="217"/>
    </row>
    <row r="663" customFormat="false" ht="12.75" hidden="false" customHeight="true" outlineLevel="0" collapsed="false">
      <c r="B663" s="216"/>
      <c r="C663" s="217"/>
      <c r="D663" s="217"/>
      <c r="E663" s="217"/>
      <c r="F663" s="217"/>
    </row>
    <row r="664" customFormat="false" ht="12.75" hidden="false" customHeight="true" outlineLevel="0" collapsed="false">
      <c r="B664" s="216"/>
      <c r="C664" s="217"/>
      <c r="D664" s="217"/>
      <c r="E664" s="217"/>
      <c r="F664" s="217"/>
    </row>
    <row r="665" customFormat="false" ht="12.75" hidden="false" customHeight="true" outlineLevel="0" collapsed="false">
      <c r="B665" s="216"/>
      <c r="C665" s="217"/>
      <c r="D665" s="217"/>
      <c r="E665" s="217"/>
      <c r="F665" s="217"/>
    </row>
    <row r="666" customFormat="false" ht="12.75" hidden="false" customHeight="true" outlineLevel="0" collapsed="false">
      <c r="B666" s="216"/>
      <c r="C666" s="217"/>
      <c r="D666" s="217"/>
      <c r="E666" s="217"/>
      <c r="F666" s="217"/>
    </row>
    <row r="667" customFormat="false" ht="12.75" hidden="false" customHeight="true" outlineLevel="0" collapsed="false">
      <c r="B667" s="216"/>
      <c r="C667" s="217"/>
      <c r="D667" s="217"/>
      <c r="E667" s="217"/>
      <c r="F667" s="217"/>
    </row>
    <row r="668" customFormat="false" ht="12.75" hidden="false" customHeight="true" outlineLevel="0" collapsed="false">
      <c r="B668" s="216"/>
      <c r="C668" s="217"/>
      <c r="D668" s="217"/>
      <c r="E668" s="217"/>
      <c r="F668" s="217"/>
    </row>
    <row r="669" customFormat="false" ht="12.75" hidden="false" customHeight="true" outlineLevel="0" collapsed="false">
      <c r="B669" s="216"/>
      <c r="C669" s="217"/>
      <c r="D669" s="217"/>
      <c r="E669" s="217"/>
      <c r="F669" s="217"/>
    </row>
    <row r="670" customFormat="false" ht="12.75" hidden="false" customHeight="true" outlineLevel="0" collapsed="false">
      <c r="B670" s="216"/>
      <c r="C670" s="217"/>
      <c r="D670" s="217"/>
      <c r="E670" s="217"/>
      <c r="F670" s="217"/>
    </row>
    <row r="671" customFormat="false" ht="12.75" hidden="false" customHeight="true" outlineLevel="0" collapsed="false">
      <c r="B671" s="216"/>
      <c r="C671" s="217"/>
      <c r="D671" s="217"/>
      <c r="E671" s="217"/>
      <c r="F671" s="217"/>
    </row>
    <row r="672" customFormat="false" ht="12.75" hidden="false" customHeight="true" outlineLevel="0" collapsed="false">
      <c r="B672" s="216"/>
      <c r="C672" s="217"/>
      <c r="D672" s="217"/>
      <c r="E672" s="217"/>
      <c r="F672" s="217"/>
    </row>
    <row r="673" customFormat="false" ht="12.75" hidden="false" customHeight="true" outlineLevel="0" collapsed="false">
      <c r="B673" s="216"/>
      <c r="C673" s="217"/>
      <c r="D673" s="217"/>
      <c r="E673" s="217"/>
      <c r="F673" s="217"/>
    </row>
    <row r="674" customFormat="false" ht="12.75" hidden="false" customHeight="true" outlineLevel="0" collapsed="false">
      <c r="B674" s="216"/>
      <c r="C674" s="217"/>
      <c r="D674" s="217"/>
      <c r="E674" s="217"/>
      <c r="F674" s="217"/>
    </row>
    <row r="675" customFormat="false" ht="12.75" hidden="false" customHeight="true" outlineLevel="0" collapsed="false">
      <c r="B675" s="216"/>
      <c r="C675" s="217"/>
      <c r="D675" s="217"/>
      <c r="E675" s="217"/>
      <c r="F675" s="217"/>
    </row>
    <row r="676" customFormat="false" ht="12.75" hidden="false" customHeight="true" outlineLevel="0" collapsed="false">
      <c r="B676" s="216"/>
      <c r="C676" s="217"/>
      <c r="D676" s="217"/>
      <c r="E676" s="217"/>
      <c r="F676" s="217"/>
    </row>
    <row r="677" customFormat="false" ht="12.75" hidden="false" customHeight="true" outlineLevel="0" collapsed="false">
      <c r="B677" s="216"/>
      <c r="C677" s="217"/>
      <c r="D677" s="217"/>
      <c r="E677" s="217"/>
      <c r="F677" s="217"/>
    </row>
    <row r="678" customFormat="false" ht="12.75" hidden="false" customHeight="true" outlineLevel="0" collapsed="false">
      <c r="B678" s="216"/>
      <c r="C678" s="217"/>
      <c r="D678" s="217"/>
      <c r="E678" s="217"/>
      <c r="F678" s="217"/>
    </row>
    <row r="679" customFormat="false" ht="12.75" hidden="false" customHeight="true" outlineLevel="0" collapsed="false">
      <c r="B679" s="216"/>
      <c r="C679" s="217"/>
      <c r="D679" s="217"/>
      <c r="E679" s="217"/>
      <c r="F679" s="217"/>
    </row>
    <row r="680" customFormat="false" ht="12.75" hidden="false" customHeight="true" outlineLevel="0" collapsed="false">
      <c r="B680" s="216"/>
      <c r="C680" s="217"/>
      <c r="D680" s="217"/>
      <c r="E680" s="217"/>
      <c r="F680" s="217"/>
    </row>
    <row r="681" customFormat="false" ht="12.75" hidden="false" customHeight="true" outlineLevel="0" collapsed="false">
      <c r="B681" s="216"/>
      <c r="C681" s="217"/>
      <c r="D681" s="217"/>
      <c r="E681" s="217"/>
      <c r="F681" s="217"/>
    </row>
    <row r="682" customFormat="false" ht="12.75" hidden="false" customHeight="true" outlineLevel="0" collapsed="false">
      <c r="B682" s="216"/>
      <c r="C682" s="217"/>
      <c r="D682" s="217"/>
      <c r="E682" s="217"/>
      <c r="F682" s="217"/>
    </row>
    <row r="683" customFormat="false" ht="12.75" hidden="false" customHeight="true" outlineLevel="0" collapsed="false">
      <c r="B683" s="216"/>
      <c r="C683" s="217"/>
      <c r="D683" s="217"/>
      <c r="E683" s="217"/>
      <c r="F683" s="217"/>
    </row>
    <row r="684" customFormat="false" ht="12.75" hidden="false" customHeight="true" outlineLevel="0" collapsed="false">
      <c r="B684" s="216"/>
      <c r="C684" s="217"/>
      <c r="D684" s="217"/>
      <c r="E684" s="217"/>
      <c r="F684" s="217"/>
    </row>
    <row r="685" customFormat="false" ht="12.75" hidden="false" customHeight="true" outlineLevel="0" collapsed="false">
      <c r="B685" s="216"/>
      <c r="C685" s="217"/>
      <c r="D685" s="217"/>
      <c r="E685" s="217"/>
      <c r="F685" s="217"/>
    </row>
    <row r="686" customFormat="false" ht="12.75" hidden="false" customHeight="true" outlineLevel="0" collapsed="false">
      <c r="B686" s="216"/>
      <c r="C686" s="217"/>
      <c r="D686" s="217"/>
      <c r="E686" s="217"/>
      <c r="F686" s="217"/>
    </row>
    <row r="687" customFormat="false" ht="12.75" hidden="false" customHeight="true" outlineLevel="0" collapsed="false">
      <c r="B687" s="216"/>
      <c r="C687" s="217"/>
      <c r="D687" s="217"/>
      <c r="E687" s="217"/>
      <c r="F687" s="217"/>
    </row>
    <row r="688" customFormat="false" ht="12.75" hidden="false" customHeight="true" outlineLevel="0" collapsed="false">
      <c r="B688" s="216"/>
      <c r="C688" s="217"/>
      <c r="D688" s="217"/>
      <c r="E688" s="217"/>
      <c r="F688" s="217"/>
    </row>
    <row r="689" customFormat="false" ht="12.75" hidden="false" customHeight="true" outlineLevel="0" collapsed="false">
      <c r="B689" s="216"/>
      <c r="C689" s="217"/>
      <c r="D689" s="217"/>
      <c r="E689" s="217"/>
      <c r="F689" s="217"/>
    </row>
    <row r="690" customFormat="false" ht="12.75" hidden="false" customHeight="true" outlineLevel="0" collapsed="false">
      <c r="B690" s="216"/>
      <c r="C690" s="217"/>
      <c r="D690" s="217"/>
      <c r="E690" s="217"/>
      <c r="F690" s="217"/>
    </row>
    <row r="691" customFormat="false" ht="12.75" hidden="false" customHeight="true" outlineLevel="0" collapsed="false">
      <c r="B691" s="216"/>
      <c r="C691" s="217"/>
      <c r="D691" s="217"/>
      <c r="E691" s="217"/>
      <c r="F691" s="217"/>
    </row>
    <row r="692" customFormat="false" ht="12.75" hidden="false" customHeight="true" outlineLevel="0" collapsed="false">
      <c r="B692" s="216"/>
      <c r="C692" s="217"/>
      <c r="D692" s="217"/>
      <c r="E692" s="217"/>
      <c r="F692" s="217"/>
    </row>
    <row r="693" customFormat="false" ht="12.75" hidden="false" customHeight="true" outlineLevel="0" collapsed="false">
      <c r="B693" s="216"/>
      <c r="C693" s="217"/>
      <c r="D693" s="217"/>
      <c r="E693" s="217"/>
      <c r="F693" s="217"/>
    </row>
    <row r="694" customFormat="false" ht="12.75" hidden="false" customHeight="true" outlineLevel="0" collapsed="false">
      <c r="B694" s="216"/>
      <c r="C694" s="217"/>
      <c r="D694" s="217"/>
      <c r="E694" s="217"/>
      <c r="F694" s="217"/>
    </row>
    <row r="695" customFormat="false" ht="12.75" hidden="false" customHeight="true" outlineLevel="0" collapsed="false">
      <c r="B695" s="216"/>
      <c r="C695" s="217"/>
      <c r="D695" s="217"/>
      <c r="E695" s="217"/>
      <c r="F695" s="217"/>
    </row>
    <row r="696" customFormat="false" ht="12.75" hidden="false" customHeight="true" outlineLevel="0" collapsed="false">
      <c r="B696" s="216"/>
      <c r="C696" s="217"/>
      <c r="D696" s="217"/>
      <c r="E696" s="217"/>
      <c r="F696" s="217"/>
    </row>
    <row r="697" customFormat="false" ht="12.75" hidden="false" customHeight="true" outlineLevel="0" collapsed="false">
      <c r="B697" s="216"/>
      <c r="C697" s="217"/>
      <c r="D697" s="217"/>
      <c r="E697" s="217"/>
      <c r="F697" s="217"/>
    </row>
    <row r="698" customFormat="false" ht="12.75" hidden="false" customHeight="true" outlineLevel="0" collapsed="false">
      <c r="B698" s="216"/>
      <c r="C698" s="217"/>
      <c r="D698" s="217"/>
      <c r="E698" s="217"/>
      <c r="F698" s="217"/>
    </row>
    <row r="699" customFormat="false" ht="12.75" hidden="false" customHeight="true" outlineLevel="0" collapsed="false">
      <c r="B699" s="216"/>
      <c r="C699" s="217"/>
      <c r="D699" s="217"/>
      <c r="E699" s="217"/>
      <c r="F699" s="217"/>
    </row>
    <row r="700" customFormat="false" ht="12.75" hidden="false" customHeight="true" outlineLevel="0" collapsed="false">
      <c r="B700" s="216"/>
      <c r="C700" s="217"/>
      <c r="D700" s="217"/>
      <c r="E700" s="217"/>
      <c r="F700" s="217"/>
    </row>
    <row r="701" customFormat="false" ht="12.75" hidden="false" customHeight="true" outlineLevel="0" collapsed="false">
      <c r="B701" s="216"/>
      <c r="C701" s="217"/>
      <c r="D701" s="217"/>
      <c r="E701" s="217"/>
      <c r="F701" s="217"/>
    </row>
    <row r="702" customFormat="false" ht="12.75" hidden="false" customHeight="true" outlineLevel="0" collapsed="false">
      <c r="B702" s="216"/>
      <c r="C702" s="217"/>
      <c r="D702" s="217"/>
      <c r="E702" s="217"/>
      <c r="F702" s="217"/>
    </row>
    <row r="703" customFormat="false" ht="12.75" hidden="false" customHeight="true" outlineLevel="0" collapsed="false">
      <c r="B703" s="216"/>
      <c r="C703" s="217"/>
      <c r="D703" s="217"/>
      <c r="E703" s="217"/>
      <c r="F703" s="217"/>
    </row>
    <row r="704" customFormat="false" ht="12.75" hidden="false" customHeight="true" outlineLevel="0" collapsed="false">
      <c r="B704" s="216"/>
      <c r="C704" s="217"/>
      <c r="D704" s="217"/>
      <c r="E704" s="217"/>
      <c r="F704" s="217"/>
    </row>
    <row r="705" customFormat="false" ht="12.75" hidden="false" customHeight="true" outlineLevel="0" collapsed="false">
      <c r="B705" s="216"/>
      <c r="C705" s="217"/>
      <c r="D705" s="217"/>
      <c r="E705" s="217"/>
      <c r="F705" s="217"/>
    </row>
    <row r="706" customFormat="false" ht="12.75" hidden="false" customHeight="true" outlineLevel="0" collapsed="false">
      <c r="B706" s="216"/>
      <c r="C706" s="217"/>
      <c r="D706" s="217"/>
      <c r="E706" s="217"/>
      <c r="F706" s="217"/>
    </row>
    <row r="707" customFormat="false" ht="12.75" hidden="false" customHeight="true" outlineLevel="0" collapsed="false">
      <c r="B707" s="216"/>
      <c r="C707" s="217"/>
      <c r="D707" s="217"/>
      <c r="E707" s="217"/>
      <c r="F707" s="217"/>
    </row>
    <row r="708" customFormat="false" ht="12.75" hidden="false" customHeight="true" outlineLevel="0" collapsed="false">
      <c r="B708" s="216"/>
      <c r="C708" s="217"/>
      <c r="D708" s="217"/>
      <c r="E708" s="217"/>
      <c r="F708" s="217"/>
    </row>
    <row r="709" customFormat="false" ht="12.75" hidden="false" customHeight="true" outlineLevel="0" collapsed="false">
      <c r="B709" s="216"/>
      <c r="C709" s="217"/>
      <c r="D709" s="217"/>
      <c r="E709" s="217"/>
      <c r="F709" s="217"/>
    </row>
    <row r="710" customFormat="false" ht="12.75" hidden="false" customHeight="true" outlineLevel="0" collapsed="false">
      <c r="B710" s="216"/>
      <c r="C710" s="217"/>
      <c r="D710" s="217"/>
      <c r="E710" s="217"/>
      <c r="F710" s="217"/>
    </row>
    <row r="711" customFormat="false" ht="12.75" hidden="false" customHeight="true" outlineLevel="0" collapsed="false">
      <c r="B711" s="216"/>
      <c r="C711" s="217"/>
      <c r="D711" s="217"/>
      <c r="E711" s="217"/>
      <c r="F711" s="217"/>
    </row>
    <row r="712" customFormat="false" ht="12.75" hidden="false" customHeight="true" outlineLevel="0" collapsed="false">
      <c r="B712" s="216"/>
      <c r="C712" s="217"/>
      <c r="D712" s="217"/>
      <c r="E712" s="217"/>
      <c r="F712" s="217"/>
    </row>
    <row r="713" customFormat="false" ht="12.75" hidden="false" customHeight="true" outlineLevel="0" collapsed="false">
      <c r="B713" s="216"/>
      <c r="C713" s="217"/>
      <c r="D713" s="217"/>
      <c r="E713" s="217"/>
      <c r="F713" s="217"/>
    </row>
    <row r="714" customFormat="false" ht="12.75" hidden="false" customHeight="true" outlineLevel="0" collapsed="false">
      <c r="B714" s="216"/>
      <c r="C714" s="217"/>
      <c r="D714" s="217"/>
      <c r="E714" s="217"/>
      <c r="F714" s="217"/>
    </row>
    <row r="715" customFormat="false" ht="12.75" hidden="false" customHeight="true" outlineLevel="0" collapsed="false">
      <c r="B715" s="216"/>
      <c r="C715" s="217"/>
      <c r="D715" s="217"/>
      <c r="E715" s="217"/>
      <c r="F715" s="217"/>
    </row>
    <row r="716" customFormat="false" ht="12.75" hidden="false" customHeight="true" outlineLevel="0" collapsed="false">
      <c r="B716" s="216"/>
      <c r="C716" s="217"/>
      <c r="D716" s="217"/>
      <c r="E716" s="217"/>
      <c r="F716" s="217"/>
    </row>
    <row r="717" customFormat="false" ht="12.75" hidden="false" customHeight="true" outlineLevel="0" collapsed="false">
      <c r="B717" s="216"/>
      <c r="C717" s="217"/>
      <c r="D717" s="217"/>
      <c r="E717" s="217"/>
      <c r="F717" s="217"/>
    </row>
    <row r="718" customFormat="false" ht="12.75" hidden="false" customHeight="true" outlineLevel="0" collapsed="false">
      <c r="B718" s="216"/>
      <c r="C718" s="217"/>
      <c r="D718" s="217"/>
      <c r="E718" s="217"/>
      <c r="F718" s="217"/>
    </row>
    <row r="719" customFormat="false" ht="12.75" hidden="false" customHeight="true" outlineLevel="0" collapsed="false">
      <c r="B719" s="216"/>
      <c r="C719" s="217"/>
      <c r="D719" s="217"/>
      <c r="E719" s="217"/>
      <c r="F719" s="217"/>
    </row>
    <row r="720" customFormat="false" ht="12.75" hidden="false" customHeight="true" outlineLevel="0" collapsed="false">
      <c r="B720" s="216"/>
      <c r="C720" s="217"/>
      <c r="D720" s="217"/>
      <c r="E720" s="217"/>
      <c r="F720" s="217"/>
    </row>
    <row r="721" customFormat="false" ht="12.75" hidden="false" customHeight="true" outlineLevel="0" collapsed="false">
      <c r="B721" s="216"/>
      <c r="C721" s="217"/>
      <c r="D721" s="217"/>
      <c r="E721" s="217"/>
      <c r="F721" s="217"/>
    </row>
    <row r="722" customFormat="false" ht="12.75" hidden="false" customHeight="true" outlineLevel="0" collapsed="false">
      <c r="B722" s="216"/>
      <c r="C722" s="217"/>
      <c r="D722" s="217"/>
      <c r="E722" s="217"/>
      <c r="F722" s="217"/>
    </row>
    <row r="723" customFormat="false" ht="12.75" hidden="false" customHeight="true" outlineLevel="0" collapsed="false">
      <c r="B723" s="216"/>
      <c r="C723" s="217"/>
      <c r="D723" s="217"/>
      <c r="E723" s="217"/>
      <c r="F723" s="217"/>
    </row>
    <row r="724" customFormat="false" ht="12.75" hidden="false" customHeight="true" outlineLevel="0" collapsed="false">
      <c r="B724" s="216"/>
      <c r="C724" s="217"/>
      <c r="D724" s="217"/>
      <c r="E724" s="217"/>
      <c r="F724" s="217"/>
    </row>
    <row r="725" customFormat="false" ht="12.75" hidden="false" customHeight="true" outlineLevel="0" collapsed="false">
      <c r="B725" s="216"/>
      <c r="C725" s="217"/>
      <c r="D725" s="217"/>
      <c r="E725" s="217"/>
      <c r="F725" s="217"/>
    </row>
    <row r="726" customFormat="false" ht="12.75" hidden="false" customHeight="true" outlineLevel="0" collapsed="false">
      <c r="B726" s="216"/>
      <c r="C726" s="217"/>
      <c r="D726" s="217"/>
      <c r="E726" s="217"/>
      <c r="F726" s="217"/>
    </row>
    <row r="727" customFormat="false" ht="12.75" hidden="false" customHeight="true" outlineLevel="0" collapsed="false">
      <c r="B727" s="216"/>
      <c r="C727" s="217"/>
      <c r="D727" s="217"/>
      <c r="E727" s="217"/>
      <c r="F727" s="217"/>
    </row>
    <row r="728" customFormat="false" ht="12.75" hidden="false" customHeight="true" outlineLevel="0" collapsed="false">
      <c r="B728" s="216"/>
      <c r="C728" s="217"/>
      <c r="D728" s="217"/>
      <c r="E728" s="217"/>
      <c r="F728" s="217"/>
    </row>
    <row r="729" customFormat="false" ht="12.75" hidden="false" customHeight="true" outlineLevel="0" collapsed="false">
      <c r="B729" s="216"/>
      <c r="C729" s="217"/>
      <c r="D729" s="217"/>
      <c r="E729" s="217"/>
      <c r="F729" s="217"/>
    </row>
    <row r="730" customFormat="false" ht="12.75" hidden="false" customHeight="true" outlineLevel="0" collapsed="false">
      <c r="B730" s="216"/>
      <c r="C730" s="217"/>
      <c r="D730" s="217"/>
      <c r="E730" s="217"/>
      <c r="F730" s="217"/>
    </row>
    <row r="731" customFormat="false" ht="12.75" hidden="false" customHeight="true" outlineLevel="0" collapsed="false">
      <c r="B731" s="216"/>
      <c r="C731" s="217"/>
      <c r="D731" s="217"/>
      <c r="E731" s="217"/>
      <c r="F731" s="217"/>
    </row>
    <row r="732" customFormat="false" ht="12.75" hidden="false" customHeight="true" outlineLevel="0" collapsed="false">
      <c r="B732" s="216"/>
      <c r="C732" s="217"/>
      <c r="D732" s="217"/>
      <c r="E732" s="217"/>
      <c r="F732" s="217"/>
    </row>
    <row r="733" customFormat="false" ht="12.75" hidden="false" customHeight="true" outlineLevel="0" collapsed="false">
      <c r="B733" s="216"/>
      <c r="C733" s="217"/>
      <c r="D733" s="217"/>
      <c r="E733" s="217"/>
      <c r="F733" s="217"/>
    </row>
    <row r="734" customFormat="false" ht="12.75" hidden="false" customHeight="true" outlineLevel="0" collapsed="false">
      <c r="B734" s="216"/>
      <c r="C734" s="217"/>
      <c r="D734" s="217"/>
      <c r="E734" s="217"/>
      <c r="F734" s="217"/>
    </row>
    <row r="735" customFormat="false" ht="12.75" hidden="false" customHeight="true" outlineLevel="0" collapsed="false">
      <c r="B735" s="216"/>
      <c r="C735" s="217"/>
      <c r="D735" s="217"/>
      <c r="E735" s="217"/>
      <c r="F735" s="217"/>
    </row>
    <row r="736" customFormat="false" ht="12.75" hidden="false" customHeight="true" outlineLevel="0" collapsed="false">
      <c r="B736" s="216"/>
      <c r="C736" s="217"/>
      <c r="D736" s="217"/>
      <c r="E736" s="217"/>
      <c r="F736" s="217"/>
    </row>
    <row r="737" customFormat="false" ht="12.75" hidden="false" customHeight="true" outlineLevel="0" collapsed="false">
      <c r="B737" s="216"/>
      <c r="C737" s="217"/>
      <c r="D737" s="217"/>
      <c r="E737" s="217"/>
      <c r="F737" s="217"/>
    </row>
    <row r="738" customFormat="false" ht="12.75" hidden="false" customHeight="true" outlineLevel="0" collapsed="false">
      <c r="B738" s="216"/>
      <c r="C738" s="217"/>
      <c r="D738" s="217"/>
      <c r="E738" s="217"/>
      <c r="F738" s="217"/>
    </row>
    <row r="739" customFormat="false" ht="12.75" hidden="false" customHeight="true" outlineLevel="0" collapsed="false">
      <c r="B739" s="216"/>
      <c r="C739" s="217"/>
      <c r="D739" s="217"/>
      <c r="E739" s="217"/>
      <c r="F739" s="217"/>
    </row>
    <row r="740" customFormat="false" ht="12.75" hidden="false" customHeight="true" outlineLevel="0" collapsed="false">
      <c r="B740" s="216"/>
      <c r="C740" s="217"/>
      <c r="D740" s="217"/>
      <c r="E740" s="217"/>
      <c r="F740" s="217"/>
    </row>
    <row r="741" customFormat="false" ht="12.75" hidden="false" customHeight="true" outlineLevel="0" collapsed="false">
      <c r="B741" s="216"/>
      <c r="C741" s="217"/>
      <c r="D741" s="217"/>
      <c r="E741" s="217"/>
      <c r="F741" s="217"/>
    </row>
    <row r="742" customFormat="false" ht="12.75" hidden="false" customHeight="true" outlineLevel="0" collapsed="false">
      <c r="B742" s="216"/>
      <c r="C742" s="217"/>
      <c r="D742" s="217"/>
      <c r="E742" s="217"/>
      <c r="F742" s="217"/>
    </row>
    <row r="743" customFormat="false" ht="12.75" hidden="false" customHeight="true" outlineLevel="0" collapsed="false">
      <c r="B743" s="216"/>
      <c r="C743" s="217"/>
      <c r="D743" s="217"/>
      <c r="E743" s="217"/>
      <c r="F743" s="217"/>
    </row>
    <row r="744" customFormat="false" ht="12.75" hidden="false" customHeight="true" outlineLevel="0" collapsed="false">
      <c r="B744" s="216"/>
      <c r="C744" s="217"/>
      <c r="D744" s="217"/>
      <c r="E744" s="217"/>
      <c r="F744" s="217"/>
    </row>
    <row r="745" customFormat="false" ht="12.75" hidden="false" customHeight="true" outlineLevel="0" collapsed="false">
      <c r="B745" s="216"/>
      <c r="C745" s="217"/>
      <c r="D745" s="217"/>
      <c r="E745" s="217"/>
      <c r="F745" s="217"/>
    </row>
    <row r="746" customFormat="false" ht="12.75" hidden="false" customHeight="true" outlineLevel="0" collapsed="false">
      <c r="B746" s="216"/>
      <c r="C746" s="217"/>
      <c r="D746" s="217"/>
      <c r="E746" s="217"/>
      <c r="F746" s="217"/>
    </row>
    <row r="747" customFormat="false" ht="12.75" hidden="false" customHeight="true" outlineLevel="0" collapsed="false">
      <c r="B747" s="216"/>
      <c r="C747" s="217"/>
      <c r="D747" s="217"/>
      <c r="E747" s="217"/>
      <c r="F747" s="217"/>
    </row>
    <row r="748" customFormat="false" ht="12.75" hidden="false" customHeight="true" outlineLevel="0" collapsed="false">
      <c r="B748" s="216"/>
      <c r="C748" s="217"/>
      <c r="D748" s="217"/>
      <c r="E748" s="217"/>
      <c r="F748" s="217"/>
    </row>
    <row r="749" customFormat="false" ht="12.75" hidden="false" customHeight="true" outlineLevel="0" collapsed="false">
      <c r="B749" s="216"/>
      <c r="C749" s="217"/>
      <c r="D749" s="217"/>
      <c r="E749" s="217"/>
      <c r="F749" s="217"/>
    </row>
    <row r="750" customFormat="false" ht="12.75" hidden="false" customHeight="true" outlineLevel="0" collapsed="false">
      <c r="B750" s="216"/>
      <c r="C750" s="217"/>
      <c r="D750" s="217"/>
      <c r="E750" s="217"/>
      <c r="F750" s="217"/>
    </row>
    <row r="751" customFormat="false" ht="12.75" hidden="false" customHeight="true" outlineLevel="0" collapsed="false">
      <c r="B751" s="216"/>
      <c r="C751" s="217"/>
      <c r="D751" s="217"/>
      <c r="E751" s="217"/>
      <c r="F751" s="217"/>
    </row>
    <row r="752" customFormat="false" ht="12.75" hidden="false" customHeight="true" outlineLevel="0" collapsed="false">
      <c r="B752" s="216"/>
      <c r="C752" s="217"/>
      <c r="D752" s="217"/>
      <c r="E752" s="217"/>
      <c r="F752" s="217"/>
    </row>
    <row r="753" customFormat="false" ht="12.75" hidden="false" customHeight="true" outlineLevel="0" collapsed="false">
      <c r="B753" s="216"/>
      <c r="C753" s="217"/>
      <c r="D753" s="217"/>
      <c r="E753" s="217"/>
      <c r="F753" s="217"/>
    </row>
    <row r="754" customFormat="false" ht="12.75" hidden="false" customHeight="true" outlineLevel="0" collapsed="false">
      <c r="B754" s="216"/>
      <c r="C754" s="217"/>
      <c r="D754" s="217"/>
      <c r="E754" s="217"/>
      <c r="F754" s="217"/>
    </row>
    <row r="755" customFormat="false" ht="12.75" hidden="false" customHeight="true" outlineLevel="0" collapsed="false">
      <c r="B755" s="216"/>
      <c r="C755" s="217"/>
      <c r="D755" s="217"/>
      <c r="E755" s="217"/>
      <c r="F755" s="217"/>
    </row>
    <row r="756" customFormat="false" ht="12.75" hidden="false" customHeight="true" outlineLevel="0" collapsed="false">
      <c r="B756" s="216"/>
      <c r="C756" s="217"/>
      <c r="D756" s="217"/>
      <c r="E756" s="217"/>
      <c r="F756" s="217"/>
    </row>
    <row r="757" customFormat="false" ht="12.75" hidden="false" customHeight="true" outlineLevel="0" collapsed="false">
      <c r="B757" s="216"/>
      <c r="C757" s="217"/>
      <c r="D757" s="217"/>
      <c r="E757" s="217"/>
      <c r="F757" s="217"/>
    </row>
    <row r="758" customFormat="false" ht="12.75" hidden="false" customHeight="true" outlineLevel="0" collapsed="false">
      <c r="B758" s="216"/>
      <c r="C758" s="217"/>
      <c r="D758" s="217"/>
      <c r="E758" s="217"/>
      <c r="F758" s="217"/>
    </row>
    <row r="759" customFormat="false" ht="12.75" hidden="false" customHeight="true" outlineLevel="0" collapsed="false">
      <c r="B759" s="216"/>
      <c r="C759" s="217"/>
      <c r="D759" s="217"/>
      <c r="E759" s="217"/>
      <c r="F759" s="217"/>
    </row>
    <row r="760" customFormat="false" ht="12.75" hidden="false" customHeight="true" outlineLevel="0" collapsed="false">
      <c r="B760" s="216"/>
      <c r="C760" s="217"/>
      <c r="D760" s="217"/>
      <c r="E760" s="217"/>
      <c r="F760" s="217"/>
    </row>
    <row r="761" customFormat="false" ht="12.75" hidden="false" customHeight="true" outlineLevel="0" collapsed="false">
      <c r="B761" s="216"/>
      <c r="C761" s="217"/>
      <c r="D761" s="217"/>
      <c r="E761" s="217"/>
      <c r="F761" s="217"/>
    </row>
    <row r="762" customFormat="false" ht="12.75" hidden="false" customHeight="true" outlineLevel="0" collapsed="false">
      <c r="B762" s="216"/>
      <c r="C762" s="217"/>
      <c r="D762" s="217"/>
      <c r="E762" s="217"/>
      <c r="F762" s="217"/>
    </row>
    <row r="763" customFormat="false" ht="12.75" hidden="false" customHeight="true" outlineLevel="0" collapsed="false">
      <c r="B763" s="216"/>
      <c r="C763" s="217"/>
      <c r="D763" s="217"/>
      <c r="E763" s="217"/>
      <c r="F763" s="217"/>
    </row>
    <row r="764" customFormat="false" ht="12.75" hidden="false" customHeight="true" outlineLevel="0" collapsed="false">
      <c r="B764" s="216"/>
      <c r="C764" s="217"/>
      <c r="D764" s="217"/>
      <c r="E764" s="217"/>
      <c r="F764" s="217"/>
    </row>
    <row r="765" customFormat="false" ht="12.75" hidden="false" customHeight="true" outlineLevel="0" collapsed="false">
      <c r="B765" s="216"/>
      <c r="C765" s="217"/>
      <c r="D765" s="217"/>
      <c r="E765" s="217"/>
      <c r="F765" s="217"/>
    </row>
    <row r="766" customFormat="false" ht="12.75" hidden="false" customHeight="true" outlineLevel="0" collapsed="false">
      <c r="B766" s="216"/>
      <c r="C766" s="217"/>
      <c r="D766" s="217"/>
      <c r="E766" s="217"/>
      <c r="F766" s="217"/>
    </row>
    <row r="767" customFormat="false" ht="12.75" hidden="false" customHeight="true" outlineLevel="0" collapsed="false">
      <c r="B767" s="216"/>
      <c r="C767" s="217"/>
      <c r="D767" s="217"/>
      <c r="E767" s="217"/>
      <c r="F767" s="217"/>
    </row>
    <row r="768" customFormat="false" ht="12.75" hidden="false" customHeight="true" outlineLevel="0" collapsed="false">
      <c r="B768" s="216"/>
      <c r="C768" s="217"/>
      <c r="D768" s="217"/>
      <c r="E768" s="217"/>
      <c r="F768" s="217"/>
    </row>
    <row r="769" customFormat="false" ht="12.75" hidden="false" customHeight="true" outlineLevel="0" collapsed="false">
      <c r="B769" s="216"/>
      <c r="C769" s="217"/>
      <c r="D769" s="217"/>
      <c r="E769" s="217"/>
      <c r="F769" s="217"/>
    </row>
    <row r="770" customFormat="false" ht="12.75" hidden="false" customHeight="true" outlineLevel="0" collapsed="false">
      <c r="B770" s="216"/>
      <c r="C770" s="217"/>
      <c r="D770" s="217"/>
      <c r="E770" s="217"/>
      <c r="F770" s="217"/>
    </row>
    <row r="771" customFormat="false" ht="12.75" hidden="false" customHeight="true" outlineLevel="0" collapsed="false">
      <c r="B771" s="216"/>
      <c r="C771" s="217"/>
      <c r="D771" s="217"/>
      <c r="E771" s="217"/>
      <c r="F771" s="217"/>
    </row>
    <row r="772" customFormat="false" ht="12.75" hidden="false" customHeight="true" outlineLevel="0" collapsed="false">
      <c r="B772" s="216"/>
      <c r="C772" s="217"/>
      <c r="D772" s="217"/>
      <c r="E772" s="217"/>
      <c r="F772" s="217"/>
    </row>
    <row r="773" customFormat="false" ht="12.75" hidden="false" customHeight="true" outlineLevel="0" collapsed="false">
      <c r="B773" s="216"/>
      <c r="C773" s="217"/>
      <c r="D773" s="217"/>
      <c r="E773" s="217"/>
      <c r="F773" s="217"/>
    </row>
    <row r="774" customFormat="false" ht="12.75" hidden="false" customHeight="true" outlineLevel="0" collapsed="false">
      <c r="B774" s="216"/>
      <c r="C774" s="217"/>
      <c r="D774" s="217"/>
      <c r="E774" s="217"/>
      <c r="F774" s="217"/>
    </row>
    <row r="775" customFormat="false" ht="12.75" hidden="false" customHeight="true" outlineLevel="0" collapsed="false">
      <c r="B775" s="216"/>
      <c r="C775" s="217"/>
      <c r="D775" s="217"/>
      <c r="E775" s="217"/>
      <c r="F775" s="217"/>
    </row>
    <row r="776" customFormat="false" ht="12.75" hidden="false" customHeight="true" outlineLevel="0" collapsed="false">
      <c r="B776" s="216"/>
      <c r="C776" s="217"/>
      <c r="D776" s="217"/>
      <c r="E776" s="217"/>
      <c r="F776" s="217"/>
    </row>
    <row r="777" customFormat="false" ht="12.75" hidden="false" customHeight="true" outlineLevel="0" collapsed="false">
      <c r="B777" s="216"/>
      <c r="C777" s="217"/>
      <c r="D777" s="217"/>
      <c r="E777" s="217"/>
      <c r="F777" s="217"/>
    </row>
    <row r="778" customFormat="false" ht="12.75" hidden="false" customHeight="true" outlineLevel="0" collapsed="false">
      <c r="B778" s="216"/>
      <c r="C778" s="217"/>
      <c r="D778" s="217"/>
      <c r="E778" s="217"/>
      <c r="F778" s="217"/>
    </row>
    <row r="779" customFormat="false" ht="12.75" hidden="false" customHeight="true" outlineLevel="0" collapsed="false">
      <c r="B779" s="216"/>
      <c r="C779" s="217"/>
      <c r="D779" s="217"/>
      <c r="E779" s="217"/>
      <c r="F779" s="217"/>
    </row>
    <row r="780" customFormat="false" ht="12.75" hidden="false" customHeight="true" outlineLevel="0" collapsed="false">
      <c r="B780" s="216"/>
      <c r="C780" s="217"/>
      <c r="D780" s="217"/>
      <c r="E780" s="217"/>
      <c r="F780" s="217"/>
    </row>
    <row r="781" customFormat="false" ht="12.75" hidden="false" customHeight="true" outlineLevel="0" collapsed="false">
      <c r="B781" s="216"/>
      <c r="C781" s="217"/>
      <c r="D781" s="217"/>
      <c r="E781" s="217"/>
      <c r="F781" s="217"/>
    </row>
    <row r="782" customFormat="false" ht="12.75" hidden="false" customHeight="true" outlineLevel="0" collapsed="false">
      <c r="B782" s="216"/>
      <c r="C782" s="217"/>
      <c r="D782" s="217"/>
      <c r="E782" s="217"/>
      <c r="F782" s="217"/>
    </row>
    <row r="783" customFormat="false" ht="12.75" hidden="false" customHeight="true" outlineLevel="0" collapsed="false">
      <c r="B783" s="216"/>
      <c r="C783" s="217"/>
      <c r="D783" s="217"/>
      <c r="E783" s="217"/>
      <c r="F783" s="217"/>
    </row>
    <row r="784" customFormat="false" ht="12.75" hidden="false" customHeight="true" outlineLevel="0" collapsed="false">
      <c r="B784" s="216"/>
      <c r="C784" s="217"/>
      <c r="D784" s="217"/>
      <c r="E784" s="217"/>
      <c r="F784" s="217"/>
    </row>
    <row r="785" customFormat="false" ht="12.75" hidden="false" customHeight="true" outlineLevel="0" collapsed="false">
      <c r="B785" s="216"/>
      <c r="C785" s="217"/>
      <c r="D785" s="217"/>
      <c r="E785" s="217"/>
      <c r="F785" s="217"/>
    </row>
    <row r="786" customFormat="false" ht="12.75" hidden="false" customHeight="true" outlineLevel="0" collapsed="false">
      <c r="B786" s="216"/>
      <c r="C786" s="217"/>
      <c r="D786" s="217"/>
      <c r="E786" s="217"/>
      <c r="F786" s="217"/>
    </row>
    <row r="787" customFormat="false" ht="12.75" hidden="false" customHeight="true" outlineLevel="0" collapsed="false">
      <c r="B787" s="216"/>
      <c r="C787" s="217"/>
      <c r="D787" s="217"/>
      <c r="E787" s="217"/>
      <c r="F787" s="217"/>
    </row>
    <row r="788" customFormat="false" ht="12.75" hidden="false" customHeight="true" outlineLevel="0" collapsed="false">
      <c r="B788" s="216"/>
      <c r="C788" s="217"/>
      <c r="D788" s="217"/>
      <c r="E788" s="217"/>
      <c r="F788" s="217"/>
    </row>
    <row r="789" customFormat="false" ht="12.75" hidden="false" customHeight="true" outlineLevel="0" collapsed="false">
      <c r="B789" s="216"/>
      <c r="C789" s="217"/>
      <c r="D789" s="217"/>
      <c r="E789" s="217"/>
      <c r="F789" s="217"/>
    </row>
    <row r="790" customFormat="false" ht="12.75" hidden="false" customHeight="true" outlineLevel="0" collapsed="false">
      <c r="B790" s="216"/>
      <c r="C790" s="217"/>
      <c r="D790" s="217"/>
      <c r="E790" s="217"/>
      <c r="F790" s="217"/>
    </row>
    <row r="791" customFormat="false" ht="12.75" hidden="false" customHeight="true" outlineLevel="0" collapsed="false">
      <c r="B791" s="216"/>
      <c r="C791" s="217"/>
      <c r="D791" s="217"/>
      <c r="E791" s="217"/>
      <c r="F791" s="217"/>
    </row>
    <row r="792" customFormat="false" ht="12.75" hidden="false" customHeight="true" outlineLevel="0" collapsed="false">
      <c r="B792" s="216"/>
      <c r="C792" s="217"/>
      <c r="D792" s="217"/>
      <c r="E792" s="217"/>
      <c r="F792" s="217"/>
    </row>
    <row r="793" customFormat="false" ht="12.75" hidden="false" customHeight="true" outlineLevel="0" collapsed="false">
      <c r="B793" s="216"/>
      <c r="C793" s="217"/>
      <c r="D793" s="217"/>
      <c r="E793" s="217"/>
      <c r="F793" s="217"/>
    </row>
    <row r="794" customFormat="false" ht="12.75" hidden="false" customHeight="true" outlineLevel="0" collapsed="false">
      <c r="B794" s="216"/>
      <c r="C794" s="217"/>
      <c r="D794" s="217"/>
      <c r="E794" s="217"/>
      <c r="F794" s="217"/>
    </row>
    <row r="795" customFormat="false" ht="12.75" hidden="false" customHeight="true" outlineLevel="0" collapsed="false">
      <c r="B795" s="216"/>
      <c r="C795" s="217"/>
      <c r="D795" s="217"/>
      <c r="E795" s="217"/>
      <c r="F795" s="217"/>
    </row>
    <row r="796" customFormat="false" ht="12.75" hidden="false" customHeight="true" outlineLevel="0" collapsed="false">
      <c r="B796" s="216"/>
      <c r="C796" s="217"/>
      <c r="D796" s="217"/>
      <c r="E796" s="217"/>
      <c r="F796" s="217"/>
    </row>
    <row r="797" customFormat="false" ht="12.75" hidden="false" customHeight="true" outlineLevel="0" collapsed="false">
      <c r="B797" s="216"/>
      <c r="C797" s="217"/>
      <c r="D797" s="217"/>
      <c r="E797" s="217"/>
      <c r="F797" s="217"/>
    </row>
    <row r="798" customFormat="false" ht="12.75" hidden="false" customHeight="true" outlineLevel="0" collapsed="false">
      <c r="B798" s="216"/>
      <c r="C798" s="217"/>
      <c r="D798" s="217"/>
      <c r="E798" s="217"/>
      <c r="F798" s="217"/>
    </row>
    <row r="799" customFormat="false" ht="12.75" hidden="false" customHeight="true" outlineLevel="0" collapsed="false">
      <c r="B799" s="216"/>
      <c r="C799" s="217"/>
      <c r="D799" s="217"/>
      <c r="E799" s="217"/>
      <c r="F799" s="217"/>
    </row>
    <row r="800" customFormat="false" ht="12.75" hidden="false" customHeight="true" outlineLevel="0" collapsed="false">
      <c r="B800" s="216"/>
      <c r="C800" s="217"/>
      <c r="D800" s="217"/>
      <c r="E800" s="217"/>
      <c r="F800" s="217"/>
    </row>
    <row r="801" customFormat="false" ht="12.75" hidden="false" customHeight="true" outlineLevel="0" collapsed="false">
      <c r="B801" s="216"/>
      <c r="C801" s="217"/>
      <c r="D801" s="217"/>
      <c r="E801" s="217"/>
      <c r="F801" s="217"/>
    </row>
    <row r="802" customFormat="false" ht="12.75" hidden="false" customHeight="true" outlineLevel="0" collapsed="false">
      <c r="B802" s="216"/>
      <c r="C802" s="217"/>
      <c r="D802" s="217"/>
      <c r="E802" s="217"/>
      <c r="F802" s="217"/>
    </row>
    <row r="803" customFormat="false" ht="12.75" hidden="false" customHeight="true" outlineLevel="0" collapsed="false">
      <c r="B803" s="216"/>
      <c r="C803" s="217"/>
      <c r="D803" s="217"/>
      <c r="E803" s="217"/>
      <c r="F803" s="217"/>
    </row>
    <row r="804" customFormat="false" ht="12.75" hidden="false" customHeight="true" outlineLevel="0" collapsed="false">
      <c r="B804" s="216"/>
      <c r="C804" s="217"/>
      <c r="D804" s="217"/>
      <c r="E804" s="217"/>
      <c r="F804" s="217"/>
    </row>
    <row r="805" customFormat="false" ht="12.75" hidden="false" customHeight="true" outlineLevel="0" collapsed="false">
      <c r="B805" s="216"/>
      <c r="C805" s="217"/>
      <c r="D805" s="217"/>
      <c r="E805" s="217"/>
      <c r="F805" s="217"/>
    </row>
    <row r="806" customFormat="false" ht="12.75" hidden="false" customHeight="true" outlineLevel="0" collapsed="false">
      <c r="B806" s="216"/>
      <c r="C806" s="217"/>
      <c r="D806" s="217"/>
      <c r="E806" s="217"/>
      <c r="F806" s="217"/>
    </row>
    <row r="807" customFormat="false" ht="12.75" hidden="false" customHeight="true" outlineLevel="0" collapsed="false">
      <c r="B807" s="216"/>
      <c r="C807" s="217"/>
      <c r="D807" s="217"/>
      <c r="E807" s="217"/>
      <c r="F807" s="217"/>
    </row>
    <row r="808" customFormat="false" ht="12.75" hidden="false" customHeight="true" outlineLevel="0" collapsed="false">
      <c r="B808" s="216"/>
      <c r="C808" s="217"/>
      <c r="D808" s="217"/>
      <c r="E808" s="217"/>
      <c r="F808" s="217"/>
    </row>
    <row r="809" customFormat="false" ht="12.75" hidden="false" customHeight="true" outlineLevel="0" collapsed="false">
      <c r="B809" s="216"/>
      <c r="C809" s="217"/>
      <c r="D809" s="217"/>
      <c r="E809" s="217"/>
      <c r="F809" s="217"/>
    </row>
    <row r="810" customFormat="false" ht="12.75" hidden="false" customHeight="true" outlineLevel="0" collapsed="false">
      <c r="B810" s="216"/>
      <c r="C810" s="217"/>
      <c r="D810" s="217"/>
      <c r="E810" s="217"/>
      <c r="F810" s="217"/>
    </row>
    <row r="811" customFormat="false" ht="12.75" hidden="false" customHeight="true" outlineLevel="0" collapsed="false">
      <c r="B811" s="216"/>
      <c r="C811" s="217"/>
      <c r="D811" s="217"/>
      <c r="E811" s="217"/>
      <c r="F811" s="217"/>
    </row>
    <row r="812" customFormat="false" ht="12.75" hidden="false" customHeight="true" outlineLevel="0" collapsed="false">
      <c r="B812" s="216"/>
      <c r="C812" s="217"/>
      <c r="D812" s="217"/>
      <c r="E812" s="217"/>
      <c r="F812" s="217"/>
    </row>
    <row r="813" customFormat="false" ht="12.75" hidden="false" customHeight="true" outlineLevel="0" collapsed="false">
      <c r="B813" s="216"/>
      <c r="C813" s="217"/>
      <c r="D813" s="217"/>
      <c r="E813" s="217"/>
      <c r="F813" s="217"/>
    </row>
    <row r="814" customFormat="false" ht="12.75" hidden="false" customHeight="true" outlineLevel="0" collapsed="false">
      <c r="B814" s="216"/>
      <c r="C814" s="217"/>
      <c r="D814" s="217"/>
      <c r="E814" s="217"/>
      <c r="F814" s="217"/>
    </row>
    <row r="815" customFormat="false" ht="12.75" hidden="false" customHeight="true" outlineLevel="0" collapsed="false">
      <c r="B815" s="216"/>
      <c r="C815" s="217"/>
      <c r="D815" s="217"/>
      <c r="E815" s="217"/>
      <c r="F815" s="217"/>
    </row>
    <row r="816" customFormat="false" ht="12.75" hidden="false" customHeight="true" outlineLevel="0" collapsed="false">
      <c r="B816" s="216"/>
      <c r="C816" s="217"/>
      <c r="D816" s="217"/>
      <c r="E816" s="217"/>
      <c r="F816" s="217"/>
    </row>
    <row r="817" customFormat="false" ht="12.75" hidden="false" customHeight="true" outlineLevel="0" collapsed="false">
      <c r="B817" s="216"/>
      <c r="C817" s="217"/>
      <c r="D817" s="217"/>
      <c r="E817" s="217"/>
      <c r="F817" s="217"/>
    </row>
    <row r="818" customFormat="false" ht="12.75" hidden="false" customHeight="true" outlineLevel="0" collapsed="false">
      <c r="B818" s="216"/>
      <c r="C818" s="217"/>
      <c r="D818" s="217"/>
      <c r="E818" s="217"/>
      <c r="F818" s="217"/>
    </row>
    <row r="819" customFormat="false" ht="12.75" hidden="false" customHeight="true" outlineLevel="0" collapsed="false">
      <c r="B819" s="216"/>
      <c r="C819" s="217"/>
      <c r="D819" s="217"/>
      <c r="E819" s="217"/>
      <c r="F819" s="217"/>
    </row>
    <row r="820" customFormat="false" ht="12.75" hidden="false" customHeight="true" outlineLevel="0" collapsed="false">
      <c r="B820" s="216"/>
      <c r="C820" s="217"/>
      <c r="D820" s="217"/>
      <c r="E820" s="217"/>
      <c r="F820" s="217"/>
    </row>
    <row r="821" customFormat="false" ht="12.75" hidden="false" customHeight="true" outlineLevel="0" collapsed="false">
      <c r="B821" s="216"/>
      <c r="C821" s="217"/>
      <c r="D821" s="217"/>
      <c r="E821" s="217"/>
      <c r="F821" s="217"/>
    </row>
    <row r="822" customFormat="false" ht="12.75" hidden="false" customHeight="true" outlineLevel="0" collapsed="false">
      <c r="B822" s="216"/>
      <c r="C822" s="217"/>
      <c r="D822" s="217"/>
      <c r="E822" s="217"/>
      <c r="F822" s="217"/>
    </row>
    <row r="823" customFormat="false" ht="12.75" hidden="false" customHeight="true" outlineLevel="0" collapsed="false">
      <c r="B823" s="216"/>
      <c r="C823" s="217"/>
      <c r="D823" s="217"/>
      <c r="E823" s="217"/>
      <c r="F823" s="217"/>
    </row>
    <row r="824" customFormat="false" ht="12.75" hidden="false" customHeight="true" outlineLevel="0" collapsed="false">
      <c r="B824" s="216"/>
      <c r="C824" s="217"/>
      <c r="D824" s="217"/>
      <c r="E824" s="217"/>
      <c r="F824" s="217"/>
    </row>
    <row r="825" customFormat="false" ht="12.75" hidden="false" customHeight="true" outlineLevel="0" collapsed="false">
      <c r="B825" s="216"/>
      <c r="C825" s="217"/>
      <c r="D825" s="217"/>
      <c r="E825" s="217"/>
      <c r="F825" s="217"/>
    </row>
    <row r="826" customFormat="false" ht="12.75" hidden="false" customHeight="true" outlineLevel="0" collapsed="false">
      <c r="B826" s="216"/>
      <c r="C826" s="217"/>
      <c r="D826" s="217"/>
      <c r="E826" s="217"/>
      <c r="F826" s="217"/>
    </row>
    <row r="827" customFormat="false" ht="12.75" hidden="false" customHeight="true" outlineLevel="0" collapsed="false">
      <c r="B827" s="216"/>
      <c r="C827" s="217"/>
      <c r="D827" s="217"/>
      <c r="E827" s="217"/>
      <c r="F827" s="217"/>
    </row>
    <row r="828" customFormat="false" ht="12.75" hidden="false" customHeight="true" outlineLevel="0" collapsed="false">
      <c r="B828" s="216"/>
      <c r="C828" s="217"/>
      <c r="D828" s="217"/>
      <c r="E828" s="217"/>
      <c r="F828" s="217"/>
    </row>
    <row r="829" customFormat="false" ht="12.75" hidden="false" customHeight="true" outlineLevel="0" collapsed="false">
      <c r="B829" s="216"/>
      <c r="C829" s="217"/>
      <c r="D829" s="217"/>
      <c r="E829" s="217"/>
      <c r="F829" s="217"/>
    </row>
    <row r="830" customFormat="false" ht="12.75" hidden="false" customHeight="true" outlineLevel="0" collapsed="false">
      <c r="B830" s="216"/>
      <c r="C830" s="217"/>
      <c r="D830" s="217"/>
      <c r="E830" s="217"/>
      <c r="F830" s="217"/>
    </row>
    <row r="831" customFormat="false" ht="12.75" hidden="false" customHeight="true" outlineLevel="0" collapsed="false">
      <c r="B831" s="216"/>
      <c r="C831" s="217"/>
      <c r="D831" s="217"/>
      <c r="E831" s="217"/>
      <c r="F831" s="217"/>
    </row>
    <row r="832" customFormat="false" ht="12.75" hidden="false" customHeight="true" outlineLevel="0" collapsed="false">
      <c r="B832" s="216"/>
      <c r="C832" s="217"/>
      <c r="D832" s="217"/>
      <c r="E832" s="217"/>
      <c r="F832" s="217"/>
    </row>
    <row r="833" customFormat="false" ht="12.75" hidden="false" customHeight="true" outlineLevel="0" collapsed="false">
      <c r="B833" s="216"/>
      <c r="C833" s="217"/>
      <c r="D833" s="217"/>
      <c r="E833" s="217"/>
      <c r="F833" s="217"/>
    </row>
    <row r="834" customFormat="false" ht="12.75" hidden="false" customHeight="true" outlineLevel="0" collapsed="false">
      <c r="B834" s="216"/>
      <c r="C834" s="217"/>
      <c r="D834" s="217"/>
      <c r="E834" s="217"/>
      <c r="F834" s="217"/>
    </row>
    <row r="835" customFormat="false" ht="12.75" hidden="false" customHeight="true" outlineLevel="0" collapsed="false">
      <c r="B835" s="216"/>
      <c r="C835" s="217"/>
      <c r="D835" s="217"/>
      <c r="E835" s="217"/>
      <c r="F835" s="217"/>
    </row>
    <row r="836" customFormat="false" ht="12.75" hidden="false" customHeight="true" outlineLevel="0" collapsed="false">
      <c r="B836" s="216"/>
      <c r="C836" s="217"/>
      <c r="D836" s="217"/>
      <c r="E836" s="217"/>
      <c r="F836" s="217"/>
    </row>
    <row r="837" customFormat="false" ht="12.75" hidden="false" customHeight="true" outlineLevel="0" collapsed="false">
      <c r="B837" s="216"/>
      <c r="C837" s="217"/>
      <c r="D837" s="217"/>
      <c r="E837" s="217"/>
      <c r="F837" s="217"/>
    </row>
    <row r="838" customFormat="false" ht="12.75" hidden="false" customHeight="true" outlineLevel="0" collapsed="false">
      <c r="B838" s="216"/>
      <c r="C838" s="217"/>
      <c r="D838" s="217"/>
      <c r="E838" s="217"/>
      <c r="F838" s="217"/>
    </row>
    <row r="839" customFormat="false" ht="12.75" hidden="false" customHeight="true" outlineLevel="0" collapsed="false">
      <c r="B839" s="216"/>
      <c r="C839" s="217"/>
      <c r="D839" s="217"/>
      <c r="E839" s="217"/>
      <c r="F839" s="217"/>
    </row>
    <row r="840" customFormat="false" ht="12.75" hidden="false" customHeight="true" outlineLevel="0" collapsed="false">
      <c r="B840" s="216"/>
      <c r="C840" s="217"/>
      <c r="D840" s="217"/>
      <c r="E840" s="217"/>
      <c r="F840" s="217"/>
    </row>
    <row r="841" customFormat="false" ht="12.75" hidden="false" customHeight="true" outlineLevel="0" collapsed="false">
      <c r="B841" s="216"/>
      <c r="C841" s="217"/>
      <c r="D841" s="217"/>
      <c r="E841" s="217"/>
      <c r="F841" s="217"/>
    </row>
    <row r="842" customFormat="false" ht="12.75" hidden="false" customHeight="true" outlineLevel="0" collapsed="false">
      <c r="B842" s="216"/>
      <c r="C842" s="217"/>
      <c r="D842" s="217"/>
      <c r="E842" s="217"/>
      <c r="F842" s="217"/>
    </row>
    <row r="843" customFormat="false" ht="12.75" hidden="false" customHeight="true" outlineLevel="0" collapsed="false">
      <c r="B843" s="216"/>
      <c r="C843" s="217"/>
      <c r="D843" s="217"/>
      <c r="E843" s="217"/>
      <c r="F843" s="217"/>
    </row>
    <row r="844" customFormat="false" ht="12.75" hidden="false" customHeight="true" outlineLevel="0" collapsed="false">
      <c r="B844" s="216"/>
      <c r="C844" s="217"/>
      <c r="D844" s="217"/>
      <c r="E844" s="217"/>
      <c r="F844" s="217"/>
    </row>
    <row r="845" customFormat="false" ht="12.75" hidden="false" customHeight="true" outlineLevel="0" collapsed="false">
      <c r="B845" s="216"/>
      <c r="C845" s="217"/>
      <c r="D845" s="217"/>
      <c r="E845" s="217"/>
      <c r="F845" s="217"/>
    </row>
    <row r="846" customFormat="false" ht="12.75" hidden="false" customHeight="true" outlineLevel="0" collapsed="false">
      <c r="B846" s="216"/>
      <c r="C846" s="217"/>
      <c r="D846" s="217"/>
      <c r="E846" s="217"/>
      <c r="F846" s="217"/>
    </row>
    <row r="847" customFormat="false" ht="12.75" hidden="false" customHeight="true" outlineLevel="0" collapsed="false">
      <c r="B847" s="216"/>
      <c r="C847" s="217"/>
      <c r="D847" s="217"/>
      <c r="E847" s="217"/>
      <c r="F847" s="217"/>
    </row>
    <row r="848" customFormat="false" ht="12.75" hidden="false" customHeight="true" outlineLevel="0" collapsed="false">
      <c r="B848" s="216"/>
      <c r="C848" s="217"/>
      <c r="D848" s="217"/>
      <c r="E848" s="217"/>
      <c r="F848" s="217"/>
    </row>
    <row r="849" customFormat="false" ht="12.75" hidden="false" customHeight="true" outlineLevel="0" collapsed="false">
      <c r="B849" s="216"/>
      <c r="C849" s="217"/>
      <c r="D849" s="217"/>
      <c r="E849" s="217"/>
      <c r="F849" s="217"/>
    </row>
    <row r="850" customFormat="false" ht="12.75" hidden="false" customHeight="true" outlineLevel="0" collapsed="false">
      <c r="B850" s="216"/>
      <c r="C850" s="217"/>
      <c r="D850" s="217"/>
      <c r="E850" s="217"/>
      <c r="F850" s="217"/>
    </row>
    <row r="851" customFormat="false" ht="12.75" hidden="false" customHeight="true" outlineLevel="0" collapsed="false">
      <c r="B851" s="216"/>
      <c r="C851" s="217"/>
      <c r="D851" s="217"/>
      <c r="E851" s="217"/>
      <c r="F851" s="217"/>
    </row>
    <row r="852" customFormat="false" ht="12.75" hidden="false" customHeight="true" outlineLevel="0" collapsed="false">
      <c r="B852" s="216"/>
      <c r="C852" s="217"/>
      <c r="D852" s="217"/>
      <c r="E852" s="217"/>
      <c r="F852" s="217"/>
    </row>
    <row r="853" customFormat="false" ht="12.75" hidden="false" customHeight="true" outlineLevel="0" collapsed="false">
      <c r="B853" s="216"/>
      <c r="C853" s="217"/>
      <c r="D853" s="217"/>
      <c r="E853" s="217"/>
      <c r="F853" s="217"/>
    </row>
    <row r="854" customFormat="false" ht="12.75" hidden="false" customHeight="true" outlineLevel="0" collapsed="false">
      <c r="B854" s="216"/>
      <c r="C854" s="217"/>
      <c r="D854" s="217"/>
      <c r="E854" s="217"/>
      <c r="F854" s="217"/>
    </row>
    <row r="855" customFormat="false" ht="12.75" hidden="false" customHeight="true" outlineLevel="0" collapsed="false">
      <c r="B855" s="216"/>
      <c r="C855" s="217"/>
      <c r="D855" s="217"/>
      <c r="E855" s="217"/>
      <c r="F855" s="217"/>
    </row>
    <row r="856" customFormat="false" ht="12.75" hidden="false" customHeight="true" outlineLevel="0" collapsed="false">
      <c r="B856" s="216"/>
      <c r="C856" s="217"/>
      <c r="D856" s="217"/>
      <c r="E856" s="217"/>
      <c r="F856" s="217"/>
    </row>
    <row r="857" customFormat="false" ht="12.75" hidden="false" customHeight="true" outlineLevel="0" collapsed="false">
      <c r="B857" s="216"/>
      <c r="C857" s="217"/>
      <c r="D857" s="217"/>
      <c r="E857" s="217"/>
      <c r="F857" s="217"/>
    </row>
    <row r="858" customFormat="false" ht="12.75" hidden="false" customHeight="true" outlineLevel="0" collapsed="false">
      <c r="B858" s="216"/>
      <c r="C858" s="217"/>
      <c r="D858" s="217"/>
      <c r="E858" s="217"/>
      <c r="F858" s="217"/>
    </row>
    <row r="859" customFormat="false" ht="12.75" hidden="false" customHeight="true" outlineLevel="0" collapsed="false">
      <c r="B859" s="216"/>
      <c r="C859" s="217"/>
      <c r="D859" s="217"/>
      <c r="E859" s="217"/>
      <c r="F859" s="217"/>
    </row>
    <row r="860" customFormat="false" ht="12.75" hidden="false" customHeight="true" outlineLevel="0" collapsed="false">
      <c r="B860" s="216"/>
      <c r="C860" s="217"/>
      <c r="D860" s="217"/>
      <c r="E860" s="217"/>
      <c r="F860" s="217"/>
    </row>
    <row r="861" customFormat="false" ht="12.75" hidden="false" customHeight="true" outlineLevel="0" collapsed="false">
      <c r="B861" s="216"/>
      <c r="C861" s="217"/>
      <c r="D861" s="217"/>
      <c r="E861" s="217"/>
      <c r="F861" s="217"/>
    </row>
    <row r="862" customFormat="false" ht="12.75" hidden="false" customHeight="true" outlineLevel="0" collapsed="false">
      <c r="B862" s="216"/>
      <c r="C862" s="217"/>
      <c r="D862" s="217"/>
      <c r="E862" s="217"/>
      <c r="F862" s="217"/>
    </row>
    <row r="863" customFormat="false" ht="12.75" hidden="false" customHeight="true" outlineLevel="0" collapsed="false">
      <c r="B863" s="216"/>
      <c r="C863" s="217"/>
      <c r="D863" s="217"/>
      <c r="E863" s="217"/>
      <c r="F863" s="217"/>
    </row>
    <row r="864" customFormat="false" ht="12.75" hidden="false" customHeight="true" outlineLevel="0" collapsed="false">
      <c r="B864" s="216"/>
      <c r="C864" s="217"/>
      <c r="D864" s="217"/>
      <c r="E864" s="217"/>
      <c r="F864" s="217"/>
    </row>
    <row r="865" customFormat="false" ht="12.75" hidden="false" customHeight="true" outlineLevel="0" collapsed="false">
      <c r="B865" s="216"/>
      <c r="C865" s="217"/>
      <c r="D865" s="217"/>
      <c r="E865" s="217"/>
      <c r="F865" s="217"/>
    </row>
    <row r="866" customFormat="false" ht="12.75" hidden="false" customHeight="true" outlineLevel="0" collapsed="false">
      <c r="B866" s="216"/>
      <c r="C866" s="217"/>
      <c r="D866" s="217"/>
      <c r="E866" s="217"/>
      <c r="F866" s="217"/>
    </row>
    <row r="867" customFormat="false" ht="12.75" hidden="false" customHeight="true" outlineLevel="0" collapsed="false">
      <c r="B867" s="216"/>
      <c r="C867" s="217"/>
      <c r="D867" s="217"/>
      <c r="E867" s="217"/>
      <c r="F867" s="217"/>
    </row>
    <row r="868" customFormat="false" ht="12.75" hidden="false" customHeight="true" outlineLevel="0" collapsed="false">
      <c r="B868" s="216"/>
      <c r="C868" s="217"/>
      <c r="D868" s="217"/>
      <c r="E868" s="217"/>
      <c r="F868" s="217"/>
    </row>
    <row r="869" customFormat="false" ht="12.75" hidden="false" customHeight="true" outlineLevel="0" collapsed="false">
      <c r="B869" s="216"/>
      <c r="C869" s="217"/>
      <c r="D869" s="217"/>
      <c r="E869" s="217"/>
      <c r="F869" s="217"/>
    </row>
    <row r="870" customFormat="false" ht="12.75" hidden="false" customHeight="true" outlineLevel="0" collapsed="false">
      <c r="B870" s="216"/>
      <c r="C870" s="217"/>
      <c r="D870" s="217"/>
      <c r="E870" s="217"/>
      <c r="F870" s="217"/>
    </row>
    <row r="871" customFormat="false" ht="12.75" hidden="false" customHeight="true" outlineLevel="0" collapsed="false">
      <c r="B871" s="216"/>
      <c r="C871" s="217"/>
      <c r="D871" s="217"/>
      <c r="E871" s="217"/>
      <c r="F871" s="217"/>
    </row>
    <row r="872" customFormat="false" ht="12.75" hidden="false" customHeight="true" outlineLevel="0" collapsed="false">
      <c r="B872" s="216"/>
      <c r="C872" s="217"/>
      <c r="D872" s="217"/>
      <c r="E872" s="217"/>
      <c r="F872" s="217"/>
    </row>
    <row r="873" customFormat="false" ht="12.75" hidden="false" customHeight="true" outlineLevel="0" collapsed="false">
      <c r="B873" s="216"/>
      <c r="C873" s="217"/>
      <c r="D873" s="217"/>
      <c r="E873" s="217"/>
      <c r="F873" s="217"/>
    </row>
    <row r="874" customFormat="false" ht="12.75" hidden="false" customHeight="true" outlineLevel="0" collapsed="false">
      <c r="B874" s="216"/>
      <c r="C874" s="217"/>
      <c r="D874" s="217"/>
      <c r="E874" s="217"/>
      <c r="F874" s="217"/>
    </row>
    <row r="875" customFormat="false" ht="12.75" hidden="false" customHeight="true" outlineLevel="0" collapsed="false">
      <c r="B875" s="216"/>
      <c r="C875" s="217"/>
      <c r="D875" s="217"/>
      <c r="E875" s="217"/>
      <c r="F875" s="217"/>
    </row>
    <row r="876" customFormat="false" ht="12.75" hidden="false" customHeight="true" outlineLevel="0" collapsed="false">
      <c r="B876" s="216"/>
      <c r="C876" s="217"/>
      <c r="D876" s="217"/>
      <c r="E876" s="217"/>
      <c r="F876" s="217"/>
    </row>
    <row r="877" customFormat="false" ht="12.75" hidden="false" customHeight="true" outlineLevel="0" collapsed="false">
      <c r="B877" s="216"/>
      <c r="C877" s="217"/>
      <c r="D877" s="217"/>
      <c r="E877" s="217"/>
      <c r="F877" s="217"/>
    </row>
    <row r="878" customFormat="false" ht="12.75" hidden="false" customHeight="true" outlineLevel="0" collapsed="false">
      <c r="B878" s="216"/>
      <c r="C878" s="217"/>
      <c r="D878" s="217"/>
      <c r="E878" s="217"/>
      <c r="F878" s="217"/>
    </row>
    <row r="879" customFormat="false" ht="12.75" hidden="false" customHeight="true" outlineLevel="0" collapsed="false">
      <c r="B879" s="216"/>
      <c r="C879" s="217"/>
      <c r="D879" s="217"/>
      <c r="E879" s="217"/>
      <c r="F879" s="217"/>
    </row>
    <row r="880" customFormat="false" ht="12.75" hidden="false" customHeight="true" outlineLevel="0" collapsed="false">
      <c r="B880" s="216"/>
      <c r="C880" s="217"/>
      <c r="D880" s="217"/>
      <c r="E880" s="217"/>
      <c r="F880" s="217"/>
    </row>
    <row r="881" customFormat="false" ht="12.75" hidden="false" customHeight="true" outlineLevel="0" collapsed="false">
      <c r="B881" s="216"/>
      <c r="C881" s="217"/>
      <c r="D881" s="217"/>
      <c r="E881" s="217"/>
      <c r="F881" s="217"/>
    </row>
    <row r="882" customFormat="false" ht="12.75" hidden="false" customHeight="true" outlineLevel="0" collapsed="false">
      <c r="B882" s="216"/>
      <c r="C882" s="217"/>
      <c r="D882" s="217"/>
      <c r="E882" s="217"/>
      <c r="F882" s="217"/>
    </row>
    <row r="883" customFormat="false" ht="12.75" hidden="false" customHeight="true" outlineLevel="0" collapsed="false">
      <c r="B883" s="216"/>
      <c r="C883" s="217"/>
      <c r="D883" s="217"/>
      <c r="E883" s="217"/>
      <c r="F883" s="217"/>
    </row>
    <row r="884" customFormat="false" ht="12.75" hidden="false" customHeight="true" outlineLevel="0" collapsed="false">
      <c r="B884" s="216"/>
      <c r="C884" s="217"/>
      <c r="D884" s="217"/>
      <c r="E884" s="217"/>
      <c r="F884" s="217"/>
    </row>
    <row r="885" customFormat="false" ht="12.75" hidden="false" customHeight="true" outlineLevel="0" collapsed="false">
      <c r="B885" s="216"/>
      <c r="C885" s="217"/>
      <c r="D885" s="217"/>
      <c r="E885" s="217"/>
      <c r="F885" s="217"/>
    </row>
    <row r="886" customFormat="false" ht="12.75" hidden="false" customHeight="true" outlineLevel="0" collapsed="false">
      <c r="B886" s="216"/>
      <c r="C886" s="217"/>
      <c r="D886" s="217"/>
      <c r="E886" s="217"/>
      <c r="F886" s="217"/>
    </row>
    <row r="887" customFormat="false" ht="12.75" hidden="false" customHeight="true" outlineLevel="0" collapsed="false">
      <c r="B887" s="216"/>
      <c r="C887" s="217"/>
      <c r="D887" s="217"/>
      <c r="E887" s="217"/>
      <c r="F887" s="217"/>
    </row>
    <row r="888" customFormat="false" ht="12.75" hidden="false" customHeight="true" outlineLevel="0" collapsed="false">
      <c r="B888" s="216"/>
      <c r="C888" s="217"/>
      <c r="D888" s="217"/>
      <c r="E888" s="217"/>
      <c r="F888" s="217"/>
    </row>
    <row r="889" customFormat="false" ht="12.75" hidden="false" customHeight="true" outlineLevel="0" collapsed="false">
      <c r="B889" s="216"/>
      <c r="C889" s="217"/>
      <c r="D889" s="217"/>
      <c r="E889" s="217"/>
      <c r="F889" s="217"/>
    </row>
    <row r="890" customFormat="false" ht="12.75" hidden="false" customHeight="true" outlineLevel="0" collapsed="false">
      <c r="B890" s="216"/>
      <c r="C890" s="217"/>
      <c r="D890" s="217"/>
      <c r="E890" s="217"/>
      <c r="F890" s="217"/>
    </row>
    <row r="891" customFormat="false" ht="12.75" hidden="false" customHeight="true" outlineLevel="0" collapsed="false">
      <c r="B891" s="216"/>
      <c r="C891" s="217"/>
      <c r="D891" s="217"/>
      <c r="E891" s="217"/>
      <c r="F891" s="217"/>
    </row>
    <row r="892" customFormat="false" ht="12.75" hidden="false" customHeight="true" outlineLevel="0" collapsed="false">
      <c r="B892" s="216"/>
      <c r="C892" s="217"/>
      <c r="D892" s="217"/>
      <c r="E892" s="217"/>
      <c r="F892" s="217"/>
    </row>
    <row r="893" customFormat="false" ht="12.75" hidden="false" customHeight="true" outlineLevel="0" collapsed="false">
      <c r="B893" s="216"/>
      <c r="C893" s="217"/>
      <c r="D893" s="217"/>
      <c r="E893" s="217"/>
      <c r="F893" s="217"/>
    </row>
    <row r="894" customFormat="false" ht="12.75" hidden="false" customHeight="true" outlineLevel="0" collapsed="false">
      <c r="B894" s="216"/>
      <c r="C894" s="217"/>
      <c r="D894" s="217"/>
      <c r="E894" s="217"/>
      <c r="F894" s="217"/>
    </row>
    <row r="895" customFormat="false" ht="12.75" hidden="false" customHeight="true" outlineLevel="0" collapsed="false">
      <c r="B895" s="216"/>
      <c r="C895" s="217"/>
      <c r="D895" s="217"/>
      <c r="E895" s="217"/>
      <c r="F895" s="217"/>
    </row>
    <row r="896" customFormat="false" ht="12.75" hidden="false" customHeight="true" outlineLevel="0" collapsed="false">
      <c r="B896" s="216"/>
      <c r="C896" s="217"/>
      <c r="D896" s="217"/>
      <c r="E896" s="217"/>
      <c r="F896" s="217"/>
    </row>
    <row r="897" customFormat="false" ht="12.75" hidden="false" customHeight="true" outlineLevel="0" collapsed="false">
      <c r="B897" s="216"/>
      <c r="C897" s="217"/>
      <c r="D897" s="217"/>
      <c r="E897" s="217"/>
      <c r="F897" s="217"/>
    </row>
    <row r="898" customFormat="false" ht="12.75" hidden="false" customHeight="true" outlineLevel="0" collapsed="false">
      <c r="B898" s="216"/>
      <c r="C898" s="217"/>
      <c r="D898" s="217"/>
      <c r="E898" s="217"/>
      <c r="F898" s="217"/>
    </row>
    <row r="899" customFormat="false" ht="12.75" hidden="false" customHeight="true" outlineLevel="0" collapsed="false">
      <c r="B899" s="216"/>
      <c r="C899" s="217"/>
      <c r="D899" s="217"/>
      <c r="E899" s="217"/>
      <c r="F899" s="217"/>
    </row>
    <row r="900" customFormat="false" ht="12.75" hidden="false" customHeight="true" outlineLevel="0" collapsed="false">
      <c r="B900" s="216"/>
      <c r="C900" s="217"/>
      <c r="D900" s="217"/>
      <c r="E900" s="217"/>
      <c r="F900" s="217"/>
    </row>
    <row r="901" customFormat="false" ht="12.75" hidden="false" customHeight="true" outlineLevel="0" collapsed="false">
      <c r="B901" s="216"/>
      <c r="C901" s="217"/>
      <c r="D901" s="217"/>
      <c r="E901" s="217"/>
      <c r="F901" s="217"/>
    </row>
    <row r="902" customFormat="false" ht="12.75" hidden="false" customHeight="true" outlineLevel="0" collapsed="false">
      <c r="B902" s="216"/>
      <c r="C902" s="217"/>
      <c r="D902" s="217"/>
      <c r="E902" s="217"/>
      <c r="F902" s="217"/>
    </row>
    <row r="903" customFormat="false" ht="12.75" hidden="false" customHeight="true" outlineLevel="0" collapsed="false">
      <c r="B903" s="216"/>
      <c r="C903" s="217"/>
      <c r="D903" s="217"/>
      <c r="E903" s="217"/>
      <c r="F903" s="217"/>
    </row>
    <row r="904" customFormat="false" ht="12.75" hidden="false" customHeight="true" outlineLevel="0" collapsed="false">
      <c r="B904" s="216"/>
      <c r="C904" s="217"/>
      <c r="D904" s="217"/>
      <c r="E904" s="217"/>
      <c r="F904" s="217"/>
    </row>
    <row r="905" customFormat="false" ht="12.75" hidden="false" customHeight="true" outlineLevel="0" collapsed="false">
      <c r="B905" s="216"/>
      <c r="C905" s="217"/>
      <c r="D905" s="217"/>
      <c r="E905" s="217"/>
      <c r="F905" s="217"/>
    </row>
    <row r="906" customFormat="false" ht="12.75" hidden="false" customHeight="true" outlineLevel="0" collapsed="false">
      <c r="B906" s="216"/>
      <c r="C906" s="217"/>
      <c r="D906" s="217"/>
      <c r="E906" s="217"/>
      <c r="F906" s="217"/>
    </row>
    <row r="907" customFormat="false" ht="12.75" hidden="false" customHeight="true" outlineLevel="0" collapsed="false">
      <c r="B907" s="216"/>
      <c r="C907" s="217"/>
      <c r="D907" s="217"/>
      <c r="E907" s="217"/>
      <c r="F907" s="217"/>
    </row>
    <row r="908" customFormat="false" ht="12.75" hidden="false" customHeight="true" outlineLevel="0" collapsed="false">
      <c r="B908" s="216"/>
      <c r="C908" s="217"/>
      <c r="D908" s="217"/>
      <c r="E908" s="217"/>
      <c r="F908" s="217"/>
    </row>
    <row r="909" customFormat="false" ht="12.75" hidden="false" customHeight="true" outlineLevel="0" collapsed="false">
      <c r="B909" s="216"/>
      <c r="C909" s="217"/>
      <c r="D909" s="217"/>
      <c r="E909" s="217"/>
      <c r="F909" s="217"/>
    </row>
    <row r="910" customFormat="false" ht="12.75" hidden="false" customHeight="true" outlineLevel="0" collapsed="false">
      <c r="B910" s="216"/>
      <c r="C910" s="217"/>
      <c r="D910" s="217"/>
      <c r="E910" s="217"/>
      <c r="F910" s="217"/>
    </row>
    <row r="911" customFormat="false" ht="12.75" hidden="false" customHeight="true" outlineLevel="0" collapsed="false">
      <c r="B911" s="216"/>
      <c r="C911" s="217"/>
      <c r="D911" s="217"/>
      <c r="E911" s="217"/>
      <c r="F911" s="217"/>
    </row>
    <row r="912" customFormat="false" ht="12.75" hidden="false" customHeight="true" outlineLevel="0" collapsed="false">
      <c r="B912" s="216"/>
      <c r="C912" s="217"/>
      <c r="D912" s="217"/>
      <c r="E912" s="217"/>
      <c r="F912" s="217"/>
    </row>
    <row r="913" customFormat="false" ht="12.75" hidden="false" customHeight="true" outlineLevel="0" collapsed="false">
      <c r="B913" s="216"/>
      <c r="C913" s="217"/>
      <c r="D913" s="217"/>
      <c r="E913" s="217"/>
      <c r="F913" s="217"/>
    </row>
    <row r="914" customFormat="false" ht="12.75" hidden="false" customHeight="true" outlineLevel="0" collapsed="false">
      <c r="B914" s="216"/>
      <c r="C914" s="217"/>
      <c r="D914" s="217"/>
      <c r="E914" s="217"/>
      <c r="F914" s="217"/>
    </row>
    <row r="915" customFormat="false" ht="12.75" hidden="false" customHeight="true" outlineLevel="0" collapsed="false">
      <c r="B915" s="216"/>
      <c r="C915" s="217"/>
      <c r="D915" s="217"/>
      <c r="E915" s="217"/>
      <c r="F915" s="217"/>
    </row>
    <row r="916" customFormat="false" ht="12.75" hidden="false" customHeight="true" outlineLevel="0" collapsed="false">
      <c r="B916" s="216"/>
      <c r="C916" s="217"/>
      <c r="D916" s="217"/>
      <c r="E916" s="217"/>
      <c r="F916" s="217"/>
    </row>
    <row r="917" customFormat="false" ht="12.75" hidden="false" customHeight="true" outlineLevel="0" collapsed="false">
      <c r="B917" s="216"/>
      <c r="C917" s="217"/>
      <c r="D917" s="217"/>
      <c r="E917" s="217"/>
      <c r="F917" s="217"/>
    </row>
    <row r="918" customFormat="false" ht="12.75" hidden="false" customHeight="true" outlineLevel="0" collapsed="false">
      <c r="B918" s="216"/>
      <c r="C918" s="217"/>
      <c r="D918" s="217"/>
      <c r="E918" s="217"/>
      <c r="F918" s="217"/>
    </row>
    <row r="919" customFormat="false" ht="12.75" hidden="false" customHeight="true" outlineLevel="0" collapsed="false">
      <c r="B919" s="216"/>
      <c r="C919" s="217"/>
      <c r="D919" s="217"/>
      <c r="E919" s="217"/>
      <c r="F919" s="217"/>
    </row>
    <row r="920" customFormat="false" ht="12.75" hidden="false" customHeight="true" outlineLevel="0" collapsed="false">
      <c r="B920" s="216"/>
      <c r="C920" s="217"/>
      <c r="D920" s="217"/>
      <c r="E920" s="217"/>
      <c r="F920" s="217"/>
    </row>
    <row r="921" customFormat="false" ht="12.75" hidden="false" customHeight="true" outlineLevel="0" collapsed="false">
      <c r="B921" s="216"/>
      <c r="C921" s="217"/>
      <c r="D921" s="217"/>
      <c r="E921" s="217"/>
      <c r="F921" s="217"/>
    </row>
    <row r="922" customFormat="false" ht="12.75" hidden="false" customHeight="true" outlineLevel="0" collapsed="false">
      <c r="B922" s="216"/>
      <c r="C922" s="217"/>
      <c r="D922" s="217"/>
      <c r="E922" s="217"/>
      <c r="F922" s="217"/>
    </row>
    <row r="923" customFormat="false" ht="12.75" hidden="false" customHeight="true" outlineLevel="0" collapsed="false">
      <c r="B923" s="216"/>
      <c r="C923" s="217"/>
      <c r="D923" s="217"/>
      <c r="E923" s="217"/>
      <c r="F923" s="217"/>
    </row>
    <row r="924" customFormat="false" ht="12.75" hidden="false" customHeight="true" outlineLevel="0" collapsed="false">
      <c r="B924" s="216"/>
      <c r="C924" s="217"/>
      <c r="D924" s="217"/>
      <c r="E924" s="217"/>
      <c r="F924" s="217"/>
    </row>
    <row r="925" customFormat="false" ht="12.75" hidden="false" customHeight="true" outlineLevel="0" collapsed="false">
      <c r="B925" s="216"/>
      <c r="C925" s="217"/>
      <c r="D925" s="217"/>
      <c r="E925" s="217"/>
      <c r="F925" s="217"/>
    </row>
    <row r="926" customFormat="false" ht="12.75" hidden="false" customHeight="true" outlineLevel="0" collapsed="false">
      <c r="B926" s="216"/>
      <c r="C926" s="217"/>
      <c r="D926" s="217"/>
      <c r="E926" s="217"/>
      <c r="F926" s="217"/>
    </row>
    <row r="927" customFormat="false" ht="12.75" hidden="false" customHeight="true" outlineLevel="0" collapsed="false">
      <c r="B927" s="216"/>
      <c r="C927" s="217"/>
      <c r="D927" s="217"/>
      <c r="E927" s="217"/>
      <c r="F927" s="217"/>
    </row>
    <row r="928" customFormat="false" ht="12.75" hidden="false" customHeight="true" outlineLevel="0" collapsed="false">
      <c r="B928" s="216"/>
      <c r="C928" s="217"/>
      <c r="D928" s="217"/>
      <c r="E928" s="217"/>
      <c r="F928" s="217"/>
    </row>
    <row r="929" customFormat="false" ht="12.75" hidden="false" customHeight="true" outlineLevel="0" collapsed="false">
      <c r="B929" s="216"/>
      <c r="C929" s="217"/>
      <c r="D929" s="217"/>
      <c r="E929" s="217"/>
      <c r="F929" s="217"/>
    </row>
    <row r="930" customFormat="false" ht="12.75" hidden="false" customHeight="true" outlineLevel="0" collapsed="false">
      <c r="B930" s="216"/>
      <c r="C930" s="217"/>
      <c r="D930" s="217"/>
      <c r="E930" s="217"/>
      <c r="F930" s="217"/>
    </row>
    <row r="931" customFormat="false" ht="12.75" hidden="false" customHeight="true" outlineLevel="0" collapsed="false">
      <c r="B931" s="216"/>
      <c r="C931" s="217"/>
      <c r="D931" s="217"/>
      <c r="E931" s="217"/>
      <c r="F931" s="217"/>
    </row>
    <row r="932" customFormat="false" ht="12.75" hidden="false" customHeight="true" outlineLevel="0" collapsed="false">
      <c r="B932" s="216"/>
      <c r="C932" s="217"/>
      <c r="D932" s="217"/>
      <c r="E932" s="217"/>
      <c r="F932" s="217"/>
    </row>
    <row r="933" customFormat="false" ht="12.75" hidden="false" customHeight="true" outlineLevel="0" collapsed="false">
      <c r="B933" s="216"/>
      <c r="C933" s="217"/>
      <c r="D933" s="217"/>
      <c r="E933" s="217"/>
      <c r="F933" s="217"/>
    </row>
    <row r="934" customFormat="false" ht="12.75" hidden="false" customHeight="true" outlineLevel="0" collapsed="false">
      <c r="B934" s="216"/>
      <c r="C934" s="217"/>
      <c r="D934" s="217"/>
      <c r="E934" s="217"/>
      <c r="F934" s="217"/>
    </row>
    <row r="935" customFormat="false" ht="12.75" hidden="false" customHeight="true" outlineLevel="0" collapsed="false">
      <c r="B935" s="216"/>
      <c r="C935" s="217"/>
      <c r="D935" s="217"/>
      <c r="E935" s="217"/>
      <c r="F935" s="217"/>
    </row>
    <row r="936" customFormat="false" ht="12.75" hidden="false" customHeight="true" outlineLevel="0" collapsed="false">
      <c r="B936" s="216"/>
      <c r="C936" s="217"/>
      <c r="D936" s="217"/>
      <c r="E936" s="217"/>
      <c r="F936" s="217"/>
    </row>
    <row r="937" customFormat="false" ht="12.75" hidden="false" customHeight="true" outlineLevel="0" collapsed="false">
      <c r="B937" s="216"/>
      <c r="C937" s="217"/>
      <c r="D937" s="217"/>
      <c r="E937" s="217"/>
      <c r="F937" s="217"/>
    </row>
    <row r="938" customFormat="false" ht="12.75" hidden="false" customHeight="true" outlineLevel="0" collapsed="false">
      <c r="B938" s="216"/>
      <c r="C938" s="217"/>
      <c r="D938" s="217"/>
      <c r="E938" s="217"/>
      <c r="F938" s="217"/>
    </row>
    <row r="939" customFormat="false" ht="12.75" hidden="false" customHeight="true" outlineLevel="0" collapsed="false">
      <c r="B939" s="216"/>
      <c r="C939" s="217"/>
      <c r="D939" s="217"/>
      <c r="E939" s="217"/>
      <c r="F939" s="217"/>
    </row>
    <row r="940" customFormat="false" ht="12.75" hidden="false" customHeight="true" outlineLevel="0" collapsed="false">
      <c r="B940" s="216"/>
      <c r="C940" s="217"/>
      <c r="D940" s="217"/>
      <c r="E940" s="217"/>
      <c r="F940" s="217"/>
    </row>
    <row r="941" customFormat="false" ht="12.75" hidden="false" customHeight="true" outlineLevel="0" collapsed="false">
      <c r="B941" s="216"/>
      <c r="C941" s="217"/>
      <c r="D941" s="217"/>
      <c r="E941" s="217"/>
      <c r="F941" s="217"/>
    </row>
    <row r="942" customFormat="false" ht="12.75" hidden="false" customHeight="true" outlineLevel="0" collapsed="false">
      <c r="B942" s="216"/>
      <c r="C942" s="217"/>
      <c r="D942" s="217"/>
      <c r="E942" s="217"/>
      <c r="F942" s="217"/>
    </row>
    <row r="943" customFormat="false" ht="12.75" hidden="false" customHeight="true" outlineLevel="0" collapsed="false">
      <c r="B943" s="216"/>
      <c r="C943" s="217"/>
      <c r="D943" s="217"/>
      <c r="E943" s="217"/>
      <c r="F943" s="217"/>
    </row>
    <row r="944" customFormat="false" ht="12.75" hidden="false" customHeight="true" outlineLevel="0" collapsed="false">
      <c r="B944" s="216"/>
      <c r="C944" s="217"/>
      <c r="D944" s="217"/>
      <c r="E944" s="217"/>
      <c r="F944" s="217"/>
    </row>
    <row r="945" customFormat="false" ht="12.75" hidden="false" customHeight="true" outlineLevel="0" collapsed="false">
      <c r="B945" s="216"/>
      <c r="C945" s="217"/>
      <c r="D945" s="217"/>
      <c r="E945" s="217"/>
      <c r="F945" s="217"/>
    </row>
    <row r="946" customFormat="false" ht="12.75" hidden="false" customHeight="true" outlineLevel="0" collapsed="false">
      <c r="B946" s="216"/>
      <c r="C946" s="217"/>
      <c r="D946" s="217"/>
      <c r="E946" s="217"/>
      <c r="F946" s="217"/>
    </row>
    <row r="947" customFormat="false" ht="12.75" hidden="false" customHeight="true" outlineLevel="0" collapsed="false">
      <c r="B947" s="216"/>
      <c r="C947" s="217"/>
      <c r="D947" s="217"/>
      <c r="E947" s="217"/>
      <c r="F947" s="217"/>
    </row>
    <row r="948" customFormat="false" ht="12.75" hidden="false" customHeight="true" outlineLevel="0" collapsed="false">
      <c r="B948" s="216"/>
      <c r="C948" s="217"/>
      <c r="D948" s="217"/>
      <c r="E948" s="217"/>
      <c r="F948" s="217"/>
    </row>
    <row r="949" customFormat="false" ht="12.75" hidden="false" customHeight="true" outlineLevel="0" collapsed="false">
      <c r="B949" s="216"/>
      <c r="C949" s="217"/>
      <c r="D949" s="217"/>
      <c r="E949" s="217"/>
      <c r="F949" s="217"/>
    </row>
    <row r="950" customFormat="false" ht="12.75" hidden="false" customHeight="true" outlineLevel="0" collapsed="false">
      <c r="B950" s="216"/>
      <c r="C950" s="217"/>
      <c r="D950" s="217"/>
      <c r="E950" s="217"/>
      <c r="F950" s="217"/>
    </row>
    <row r="951" customFormat="false" ht="12.75" hidden="false" customHeight="true" outlineLevel="0" collapsed="false">
      <c r="B951" s="216"/>
      <c r="C951" s="217"/>
      <c r="D951" s="217"/>
      <c r="E951" s="217"/>
      <c r="F951" s="217"/>
    </row>
    <row r="952" customFormat="false" ht="12.75" hidden="false" customHeight="true" outlineLevel="0" collapsed="false">
      <c r="B952" s="216"/>
      <c r="C952" s="217"/>
      <c r="D952" s="217"/>
      <c r="E952" s="217"/>
      <c r="F952" s="217"/>
    </row>
    <row r="953" customFormat="false" ht="12.75" hidden="false" customHeight="true" outlineLevel="0" collapsed="false">
      <c r="B953" s="216"/>
      <c r="C953" s="217"/>
      <c r="D953" s="217"/>
      <c r="E953" s="217"/>
      <c r="F953" s="217"/>
    </row>
    <row r="954" customFormat="false" ht="12.75" hidden="false" customHeight="true" outlineLevel="0" collapsed="false">
      <c r="B954" s="216"/>
      <c r="C954" s="217"/>
      <c r="D954" s="217"/>
      <c r="E954" s="217"/>
      <c r="F954" s="217"/>
    </row>
    <row r="955" customFormat="false" ht="12.75" hidden="false" customHeight="true" outlineLevel="0" collapsed="false">
      <c r="B955" s="216"/>
      <c r="C955" s="217"/>
      <c r="D955" s="217"/>
      <c r="E955" s="217"/>
      <c r="F955" s="217"/>
    </row>
    <row r="956" customFormat="false" ht="12.75" hidden="false" customHeight="true" outlineLevel="0" collapsed="false">
      <c r="B956" s="216"/>
      <c r="C956" s="217"/>
      <c r="D956" s="217"/>
      <c r="E956" s="217"/>
      <c r="F956" s="217"/>
    </row>
    <row r="957" customFormat="false" ht="12.75" hidden="false" customHeight="true" outlineLevel="0" collapsed="false">
      <c r="B957" s="216"/>
      <c r="C957" s="217"/>
      <c r="D957" s="217"/>
      <c r="E957" s="217"/>
      <c r="F957" s="217"/>
    </row>
    <row r="958" customFormat="false" ht="12.75" hidden="false" customHeight="true" outlineLevel="0" collapsed="false">
      <c r="B958" s="216"/>
      <c r="C958" s="217"/>
      <c r="D958" s="217"/>
      <c r="E958" s="217"/>
      <c r="F958" s="217"/>
    </row>
    <row r="959" customFormat="false" ht="12.75" hidden="false" customHeight="true" outlineLevel="0" collapsed="false">
      <c r="B959" s="216"/>
      <c r="C959" s="217"/>
      <c r="D959" s="217"/>
      <c r="E959" s="217"/>
      <c r="F959" s="217"/>
    </row>
    <row r="960" customFormat="false" ht="12.75" hidden="false" customHeight="true" outlineLevel="0" collapsed="false">
      <c r="B960" s="216"/>
      <c r="C960" s="217"/>
      <c r="D960" s="217"/>
      <c r="E960" s="217"/>
      <c r="F960" s="217"/>
    </row>
    <row r="961" customFormat="false" ht="12.75" hidden="false" customHeight="true" outlineLevel="0" collapsed="false">
      <c r="B961" s="216"/>
      <c r="C961" s="217"/>
      <c r="D961" s="217"/>
      <c r="E961" s="217"/>
      <c r="F961" s="217"/>
    </row>
    <row r="962" customFormat="false" ht="12.75" hidden="false" customHeight="true" outlineLevel="0" collapsed="false">
      <c r="B962" s="216"/>
      <c r="C962" s="217"/>
      <c r="D962" s="217"/>
      <c r="E962" s="217"/>
      <c r="F962" s="217"/>
    </row>
    <row r="963" customFormat="false" ht="12.75" hidden="false" customHeight="true" outlineLevel="0" collapsed="false">
      <c r="B963" s="216"/>
      <c r="C963" s="217"/>
      <c r="D963" s="217"/>
      <c r="E963" s="217"/>
      <c r="F963" s="217"/>
    </row>
    <row r="964" customFormat="false" ht="12.75" hidden="false" customHeight="true" outlineLevel="0" collapsed="false">
      <c r="B964" s="216"/>
      <c r="C964" s="217"/>
      <c r="D964" s="217"/>
      <c r="E964" s="217"/>
      <c r="F964" s="217"/>
    </row>
    <row r="965" customFormat="false" ht="12.75" hidden="false" customHeight="true" outlineLevel="0" collapsed="false">
      <c r="B965" s="216"/>
      <c r="C965" s="217"/>
      <c r="D965" s="217"/>
      <c r="E965" s="217"/>
      <c r="F965" s="217"/>
    </row>
    <row r="966" customFormat="false" ht="12.75" hidden="false" customHeight="true" outlineLevel="0" collapsed="false">
      <c r="B966" s="216"/>
      <c r="C966" s="217"/>
      <c r="D966" s="217"/>
      <c r="E966" s="217"/>
      <c r="F966" s="217"/>
    </row>
    <row r="967" customFormat="false" ht="12.75" hidden="false" customHeight="true" outlineLevel="0" collapsed="false">
      <c r="B967" s="216"/>
      <c r="C967" s="217"/>
      <c r="D967" s="217"/>
      <c r="E967" s="217"/>
      <c r="F967" s="217"/>
    </row>
    <row r="968" customFormat="false" ht="12.75" hidden="false" customHeight="true" outlineLevel="0" collapsed="false">
      <c r="B968" s="216"/>
      <c r="C968" s="217"/>
      <c r="D968" s="217"/>
      <c r="E968" s="217"/>
      <c r="F968" s="217"/>
    </row>
    <row r="969" customFormat="false" ht="12.75" hidden="false" customHeight="true" outlineLevel="0" collapsed="false">
      <c r="B969" s="216"/>
      <c r="C969" s="217"/>
      <c r="D969" s="217"/>
      <c r="E969" s="217"/>
      <c r="F969" s="217"/>
    </row>
    <row r="970" customFormat="false" ht="12.75" hidden="false" customHeight="true" outlineLevel="0" collapsed="false">
      <c r="B970" s="216"/>
      <c r="C970" s="217"/>
      <c r="D970" s="217"/>
      <c r="E970" s="217"/>
      <c r="F970" s="217"/>
    </row>
    <row r="971" customFormat="false" ht="12.75" hidden="false" customHeight="true" outlineLevel="0" collapsed="false">
      <c r="B971" s="216"/>
      <c r="C971" s="217"/>
      <c r="D971" s="217"/>
      <c r="E971" s="217"/>
      <c r="F971" s="217"/>
    </row>
    <row r="972" customFormat="false" ht="12.75" hidden="false" customHeight="true" outlineLevel="0" collapsed="false">
      <c r="B972" s="216"/>
      <c r="C972" s="217"/>
      <c r="D972" s="217"/>
      <c r="E972" s="217"/>
      <c r="F972" s="217"/>
    </row>
    <row r="973" customFormat="false" ht="12.75" hidden="false" customHeight="true" outlineLevel="0" collapsed="false">
      <c r="B973" s="216"/>
      <c r="C973" s="217"/>
      <c r="D973" s="217"/>
      <c r="E973" s="217"/>
      <c r="F973" s="217"/>
    </row>
    <row r="974" customFormat="false" ht="12.75" hidden="false" customHeight="true" outlineLevel="0" collapsed="false">
      <c r="B974" s="216"/>
      <c r="C974" s="217"/>
      <c r="D974" s="217"/>
      <c r="E974" s="217"/>
      <c r="F974" s="217"/>
    </row>
    <row r="975" customFormat="false" ht="12.75" hidden="false" customHeight="true" outlineLevel="0" collapsed="false">
      <c r="B975" s="216"/>
      <c r="C975" s="217"/>
      <c r="D975" s="217"/>
      <c r="E975" s="217"/>
      <c r="F975" s="217"/>
    </row>
    <row r="976" customFormat="false" ht="12.75" hidden="false" customHeight="true" outlineLevel="0" collapsed="false">
      <c r="B976" s="216"/>
      <c r="C976" s="217"/>
      <c r="D976" s="217"/>
      <c r="E976" s="217"/>
      <c r="F976" s="217"/>
    </row>
    <row r="977" customFormat="false" ht="12.75" hidden="false" customHeight="true" outlineLevel="0" collapsed="false">
      <c r="B977" s="216"/>
      <c r="C977" s="217"/>
      <c r="D977" s="217"/>
      <c r="E977" s="217"/>
      <c r="F977" s="217"/>
    </row>
    <row r="978" customFormat="false" ht="12.75" hidden="false" customHeight="true" outlineLevel="0" collapsed="false">
      <c r="B978" s="216"/>
      <c r="C978" s="217"/>
      <c r="D978" s="217"/>
      <c r="E978" s="217"/>
      <c r="F978" s="217"/>
    </row>
    <row r="979" customFormat="false" ht="12.75" hidden="false" customHeight="true" outlineLevel="0" collapsed="false">
      <c r="B979" s="216"/>
      <c r="C979" s="217"/>
      <c r="D979" s="217"/>
      <c r="E979" s="217"/>
      <c r="F979" s="217"/>
    </row>
    <row r="980" customFormat="false" ht="12.75" hidden="false" customHeight="true" outlineLevel="0" collapsed="false">
      <c r="B980" s="216"/>
      <c r="C980" s="217"/>
      <c r="D980" s="217"/>
      <c r="E980" s="217"/>
      <c r="F980" s="217"/>
    </row>
    <row r="981" customFormat="false" ht="12.75" hidden="false" customHeight="true" outlineLevel="0" collapsed="false">
      <c r="B981" s="216"/>
      <c r="C981" s="217"/>
      <c r="D981" s="217"/>
      <c r="E981" s="217"/>
      <c r="F981" s="217"/>
    </row>
    <row r="982" customFormat="false" ht="12.75" hidden="false" customHeight="true" outlineLevel="0" collapsed="false">
      <c r="B982" s="216"/>
      <c r="C982" s="217"/>
      <c r="D982" s="217"/>
      <c r="E982" s="217"/>
      <c r="F982" s="217"/>
    </row>
    <row r="983" customFormat="false" ht="12.75" hidden="false" customHeight="true" outlineLevel="0" collapsed="false">
      <c r="B983" s="216"/>
      <c r="C983" s="217"/>
      <c r="D983" s="217"/>
      <c r="E983" s="217"/>
      <c r="F983" s="217"/>
    </row>
    <row r="984" customFormat="false" ht="12.75" hidden="false" customHeight="true" outlineLevel="0" collapsed="false">
      <c r="B984" s="216"/>
      <c r="C984" s="217"/>
      <c r="D984" s="217"/>
      <c r="E984" s="217"/>
      <c r="F984" s="217"/>
    </row>
    <row r="985" customFormat="false" ht="12.75" hidden="false" customHeight="true" outlineLevel="0" collapsed="false">
      <c r="B985" s="216"/>
      <c r="C985" s="217"/>
      <c r="D985" s="217"/>
      <c r="E985" s="217"/>
      <c r="F985" s="217"/>
    </row>
    <row r="986" customFormat="false" ht="12.75" hidden="false" customHeight="true" outlineLevel="0" collapsed="false">
      <c r="B986" s="216"/>
      <c r="C986" s="217"/>
      <c r="D986" s="217"/>
      <c r="E986" s="217"/>
      <c r="F986" s="217"/>
    </row>
    <row r="987" customFormat="false" ht="12.75" hidden="false" customHeight="true" outlineLevel="0" collapsed="false">
      <c r="B987" s="216"/>
      <c r="C987" s="217"/>
      <c r="D987" s="217"/>
      <c r="E987" s="217"/>
      <c r="F987" s="217"/>
    </row>
    <row r="988" customFormat="false" ht="12.75" hidden="false" customHeight="true" outlineLevel="0" collapsed="false">
      <c r="B988" s="216"/>
      <c r="C988" s="217"/>
      <c r="D988" s="217"/>
      <c r="E988" s="217"/>
      <c r="F988" s="217"/>
    </row>
    <row r="989" customFormat="false" ht="12.75" hidden="false" customHeight="true" outlineLevel="0" collapsed="false">
      <c r="B989" s="216"/>
      <c r="C989" s="217"/>
      <c r="D989" s="217"/>
      <c r="E989" s="217"/>
      <c r="F989" s="217"/>
    </row>
    <row r="990" customFormat="false" ht="12.75" hidden="false" customHeight="true" outlineLevel="0" collapsed="false">
      <c r="B990" s="216"/>
      <c r="C990" s="217"/>
      <c r="D990" s="217"/>
      <c r="E990" s="217"/>
      <c r="F990" s="217"/>
    </row>
    <row r="991" customFormat="false" ht="12.75" hidden="false" customHeight="true" outlineLevel="0" collapsed="false">
      <c r="B991" s="216"/>
      <c r="C991" s="217"/>
      <c r="D991" s="217"/>
      <c r="E991" s="217"/>
      <c r="F991" s="217"/>
    </row>
    <row r="992" customFormat="false" ht="12.75" hidden="false" customHeight="true" outlineLevel="0" collapsed="false">
      <c r="B992" s="216"/>
      <c r="C992" s="217"/>
      <c r="D992" s="217"/>
      <c r="E992" s="217"/>
      <c r="F992" s="217"/>
    </row>
    <row r="993" customFormat="false" ht="12.75" hidden="false" customHeight="true" outlineLevel="0" collapsed="false">
      <c r="B993" s="216"/>
      <c r="C993" s="217"/>
      <c r="D993" s="217"/>
      <c r="E993" s="217"/>
      <c r="F993" s="217"/>
    </row>
    <row r="994" customFormat="false" ht="12.75" hidden="false" customHeight="true" outlineLevel="0" collapsed="false">
      <c r="B994" s="216"/>
      <c r="C994" s="217"/>
      <c r="D994" s="217"/>
      <c r="E994" s="217"/>
      <c r="F994" s="217"/>
    </row>
    <row r="995" customFormat="false" ht="12.75" hidden="false" customHeight="true" outlineLevel="0" collapsed="false">
      <c r="B995" s="216"/>
      <c r="C995" s="217"/>
      <c r="D995" s="217"/>
      <c r="E995" s="217"/>
      <c r="F995" s="217"/>
    </row>
    <row r="996" customFormat="false" ht="12.75" hidden="false" customHeight="true" outlineLevel="0" collapsed="false">
      <c r="B996" s="216"/>
      <c r="C996" s="217"/>
      <c r="D996" s="217"/>
      <c r="E996" s="217"/>
      <c r="F996" s="217"/>
    </row>
    <row r="997" customFormat="false" ht="12.75" hidden="false" customHeight="true" outlineLevel="0" collapsed="false">
      <c r="B997" s="216"/>
      <c r="C997" s="217"/>
      <c r="D997" s="217"/>
      <c r="E997" s="217"/>
      <c r="F997" s="217"/>
    </row>
    <row r="998" customFormat="false" ht="12.75" hidden="false" customHeight="true" outlineLevel="0" collapsed="false">
      <c r="B998" s="216"/>
      <c r="C998" s="217"/>
      <c r="D998" s="217"/>
      <c r="E998" s="217"/>
      <c r="F998" s="217"/>
    </row>
    <row r="999" customFormat="false" ht="12.75" hidden="false" customHeight="true" outlineLevel="0" collapsed="false">
      <c r="B999" s="216"/>
      <c r="C999" s="217"/>
      <c r="D999" s="217"/>
      <c r="E999" s="217"/>
      <c r="F999" s="217"/>
    </row>
    <row r="1000" customFormat="false" ht="12.75" hidden="false" customHeight="true" outlineLevel="0" collapsed="false">
      <c r="B1000" s="216"/>
      <c r="C1000" s="217"/>
      <c r="D1000" s="217"/>
      <c r="E1000" s="217"/>
      <c r="F1000" s="217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BDB"/>
    <pageSetUpPr fitToPage="false"/>
  </sheetPr>
  <dimension ref="A1:M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A1" activeCellId="0" sqref="A1"/>
    </sheetView>
  </sheetViews>
  <sheetFormatPr defaultColWidth="12.66796875" defaultRowHeight="15" customHeight="true" zeroHeight="false" outlineLevelRow="0" outlineLevelCol="0"/>
  <cols>
    <col collapsed="false" customWidth="true" hidden="false" outlineLevel="0" max="1" min="1" style="1" width="8.76"/>
    <col collapsed="false" customWidth="true" hidden="false" outlineLevel="0" max="2" min="2" style="1" width="15.44"/>
    <col collapsed="false" customWidth="true" hidden="false" outlineLevel="0" max="3" min="3" style="1" width="20"/>
    <col collapsed="false" customWidth="true" hidden="false" outlineLevel="0" max="6" min="4" style="1" width="13.34"/>
    <col collapsed="false" customWidth="true" hidden="false" outlineLevel="0" max="9" min="7" style="1" width="20.66"/>
    <col collapsed="false" customWidth="true" hidden="false" outlineLevel="0" max="10" min="10" style="1" width="8.76"/>
    <col collapsed="false" customWidth="true" hidden="false" outlineLevel="0" max="13" min="11" style="1" width="20.66"/>
    <col collapsed="false" customWidth="true" hidden="false" outlineLevel="0" max="26" min="14" style="1" width="8.76"/>
  </cols>
  <sheetData>
    <row r="1" customFormat="false" ht="12.75" hidden="false" customHeight="true" outlineLevel="0" collapsed="false">
      <c r="A1" s="2"/>
      <c r="B1" s="148"/>
      <c r="C1" s="41"/>
      <c r="D1" s="41"/>
      <c r="E1" s="41"/>
      <c r="F1" s="41"/>
      <c r="G1" s="2"/>
      <c r="H1" s="2"/>
      <c r="I1" s="2"/>
    </row>
    <row r="2" customFormat="false" ht="12.75" hidden="false" customHeight="true" outlineLevel="0" collapsed="false">
      <c r="A2" s="2"/>
      <c r="B2" s="149" t="s">
        <v>165</v>
      </c>
      <c r="C2" s="149"/>
      <c r="D2" s="149"/>
      <c r="E2" s="149"/>
      <c r="F2" s="149"/>
      <c r="G2" s="149"/>
      <c r="H2" s="149"/>
      <c r="I2" s="149"/>
      <c r="J2" s="149"/>
    </row>
    <row r="3" customFormat="false" ht="12.75" hidden="false" customHeight="true" outlineLevel="0" collapsed="false">
      <c r="A3" s="2"/>
      <c r="B3" s="148" t="s">
        <v>166</v>
      </c>
      <c r="C3" s="41"/>
      <c r="D3" s="41"/>
      <c r="E3" s="41"/>
      <c r="F3" s="41"/>
      <c r="G3" s="2"/>
      <c r="H3" s="2"/>
      <c r="I3" s="2"/>
    </row>
    <row r="4" customFormat="false" ht="12.75" hidden="false" customHeight="true" outlineLevel="0" collapsed="false">
      <c r="A4" s="2"/>
      <c r="B4" s="148"/>
      <c r="C4" s="41"/>
      <c r="D4" s="41"/>
      <c r="E4" s="41"/>
      <c r="F4" s="41"/>
      <c r="G4" s="2"/>
      <c r="H4" s="2"/>
      <c r="I4" s="2"/>
    </row>
    <row r="5" customFormat="false" ht="12.75" hidden="false" customHeight="true" outlineLevel="0" collapsed="false">
      <c r="A5" s="2"/>
      <c r="B5" s="148"/>
      <c r="C5" s="41"/>
      <c r="D5" s="41"/>
      <c r="E5" s="41"/>
      <c r="F5" s="41"/>
      <c r="G5" s="150" t="s">
        <v>167</v>
      </c>
      <c r="H5" s="150"/>
      <c r="I5" s="151" t="s">
        <v>168</v>
      </c>
      <c r="K5" s="150" t="s">
        <v>169</v>
      </c>
      <c r="L5" s="150"/>
      <c r="M5" s="151" t="s">
        <v>170</v>
      </c>
    </row>
    <row r="6" customFormat="false" ht="12.75" hidden="false" customHeight="true" outlineLevel="0" collapsed="false">
      <c r="A6" s="2"/>
      <c r="B6" s="152"/>
      <c r="C6" s="150" t="s">
        <v>171</v>
      </c>
      <c r="D6" s="153" t="s">
        <v>172</v>
      </c>
      <c r="E6" s="154" t="s">
        <v>173</v>
      </c>
      <c r="F6" s="155" t="s">
        <v>174</v>
      </c>
      <c r="G6" s="158" t="s">
        <v>194</v>
      </c>
      <c r="H6" s="157" t="e">
        <f aca="false">'meta data'!#ref!</f>
        <v>#VALUE!</v>
      </c>
      <c r="I6" s="150" t="s">
        <v>176</v>
      </c>
      <c r="K6" s="158" t="s">
        <v>177</v>
      </c>
      <c r="L6" s="157" t="str">
        <f aca="false">'META Data'!D16</f>
        <v>ID_OpenFOAM_olenla</v>
      </c>
      <c r="M6" s="150" t="s">
        <v>178</v>
      </c>
    </row>
    <row r="7" customFormat="false" ht="12.75" hidden="false" customHeight="true" outlineLevel="0" collapsed="false">
      <c r="A7" s="2"/>
      <c r="B7" s="159" t="s">
        <v>179</v>
      </c>
      <c r="C7" s="160" t="n">
        <v>1</v>
      </c>
      <c r="D7" s="161" t="n">
        <v>-798.25</v>
      </c>
      <c r="E7" s="162" t="n">
        <v>0</v>
      </c>
      <c r="F7" s="163" t="n">
        <v>150</v>
      </c>
      <c r="G7" s="218"/>
      <c r="H7" s="185" t="e">
        <f aca="false">VLOOKUP(C7,#REF!,5,FALSE())</f>
        <v>#VALUE!</v>
      </c>
      <c r="I7" s="206" t="e">
        <f aca="false">G7-H7</f>
        <v>#VALUE!</v>
      </c>
      <c r="K7" s="167" t="n">
        <v>1</v>
      </c>
      <c r="L7" s="168" t="e">
        <f aca="false">VLOOKUP(C7,#REF!,6,FALSE())</f>
        <v>#VALUE!</v>
      </c>
      <c r="M7" s="166" t="e">
        <f aca="false">K7-L7</f>
        <v>#VALUE!</v>
      </c>
    </row>
    <row r="8" customFormat="false" ht="12.75" hidden="false" customHeight="true" outlineLevel="0" collapsed="false">
      <c r="A8" s="2"/>
      <c r="B8" s="159"/>
      <c r="C8" s="169" t="n">
        <v>195</v>
      </c>
      <c r="D8" s="170" t="n">
        <v>-724.8</v>
      </c>
      <c r="E8" s="171" t="n">
        <v>0</v>
      </c>
      <c r="F8" s="172" t="n">
        <v>384.1</v>
      </c>
      <c r="G8" s="176"/>
      <c r="H8" s="174" t="e">
        <f aca="false">VLOOKUP(C8,#REF!,5,FALSE())</f>
        <v>#VALUE!</v>
      </c>
      <c r="I8" s="175" t="e">
        <f aca="false">G8-H8</f>
        <v>#VALUE!</v>
      </c>
      <c r="K8" s="176" t="n">
        <v>2</v>
      </c>
      <c r="L8" s="168" t="e">
        <f aca="false">VLOOKUP(C8,#REF!,6,FALSE())</f>
        <v>#VALUE!</v>
      </c>
      <c r="M8" s="175" t="e">
        <f aca="false">K8-L8</f>
        <v>#VALUE!</v>
      </c>
    </row>
    <row r="9" customFormat="false" ht="12.75" hidden="false" customHeight="true" outlineLevel="0" collapsed="false">
      <c r="A9" s="2"/>
      <c r="B9" s="159"/>
      <c r="C9" s="169" t="n">
        <v>2</v>
      </c>
      <c r="D9" s="170" t="n">
        <v>-700</v>
      </c>
      <c r="E9" s="171" t="n">
        <v>0</v>
      </c>
      <c r="F9" s="172" t="n">
        <v>406.35</v>
      </c>
      <c r="G9" s="176"/>
      <c r="H9" s="174" t="e">
        <f aca="false">VLOOKUP(C9,#REF!,5,FALSE())</f>
        <v>#VALUE!</v>
      </c>
      <c r="I9" s="175" t="e">
        <f aca="false">G9-H9</f>
        <v>#VALUE!</v>
      </c>
      <c r="K9" s="176" t="n">
        <v>3</v>
      </c>
      <c r="L9" s="168" t="e">
        <f aca="false">VLOOKUP(C9,#REF!,6,FALSE())</f>
        <v>#VALUE!</v>
      </c>
      <c r="M9" s="175" t="e">
        <f aca="false">K9-L9</f>
        <v>#VALUE!</v>
      </c>
    </row>
    <row r="10" customFormat="false" ht="12.75" hidden="false" customHeight="true" outlineLevel="0" collapsed="false">
      <c r="A10" s="2"/>
      <c r="B10" s="159"/>
      <c r="C10" s="169" t="n">
        <v>3</v>
      </c>
      <c r="D10" s="170" t="n">
        <v>-600</v>
      </c>
      <c r="E10" s="171" t="n">
        <v>0</v>
      </c>
      <c r="F10" s="172" t="n">
        <v>462.63</v>
      </c>
      <c r="G10" s="176"/>
      <c r="H10" s="174" t="e">
        <f aca="false">VLOOKUP(C10,#REF!,5,FALSE())</f>
        <v>#VALUE!</v>
      </c>
      <c r="I10" s="175" t="e">
        <f aca="false">G10-H10</f>
        <v>#VALUE!</v>
      </c>
      <c r="K10" s="176" t="n">
        <v>2</v>
      </c>
      <c r="L10" s="168" t="e">
        <f aca="false">VLOOKUP(C10,#REF!,6,FALSE())</f>
        <v>#VALUE!</v>
      </c>
      <c r="M10" s="175" t="e">
        <f aca="false">K10-L10</f>
        <v>#VALUE!</v>
      </c>
    </row>
    <row r="11" customFormat="false" ht="12.75" hidden="false" customHeight="true" outlineLevel="0" collapsed="false">
      <c r="A11" s="2"/>
      <c r="B11" s="159"/>
      <c r="C11" s="169" t="n">
        <v>4</v>
      </c>
      <c r="D11" s="170" t="n">
        <v>-500</v>
      </c>
      <c r="E11" s="171" t="n">
        <v>0</v>
      </c>
      <c r="F11" s="172" t="n">
        <v>499.45</v>
      </c>
      <c r="G11" s="176"/>
      <c r="H11" s="174" t="e">
        <f aca="false">VLOOKUP(C11,#REF!,5,FALSE())</f>
        <v>#VALUE!</v>
      </c>
      <c r="I11" s="175" t="e">
        <f aca="false">G11-H11</f>
        <v>#VALUE!</v>
      </c>
      <c r="K11" s="176" t="n">
        <v>1</v>
      </c>
      <c r="L11" s="168" t="e">
        <f aca="false">VLOOKUP(C11,#REF!,6,FALSE())</f>
        <v>#VALUE!</v>
      </c>
      <c r="M11" s="175" t="e">
        <f aca="false">K11-L11</f>
        <v>#VALUE!</v>
      </c>
    </row>
    <row r="12" customFormat="false" ht="12.75" hidden="false" customHeight="true" outlineLevel="0" collapsed="false">
      <c r="A12" s="2"/>
      <c r="B12" s="159"/>
      <c r="C12" s="169" t="n">
        <v>5</v>
      </c>
      <c r="D12" s="170" t="n">
        <v>-400</v>
      </c>
      <c r="E12" s="171" t="n">
        <v>0</v>
      </c>
      <c r="F12" s="172" t="n">
        <v>527.7</v>
      </c>
      <c r="G12" s="176"/>
      <c r="H12" s="174" t="e">
        <f aca="false">VLOOKUP(C12,#REF!,5,FALSE())</f>
        <v>#VALUE!</v>
      </c>
      <c r="I12" s="175" t="e">
        <f aca="false">G12-H12</f>
        <v>#VALUE!</v>
      </c>
      <c r="K12" s="176" t="n">
        <v>2</v>
      </c>
      <c r="L12" s="168" t="e">
        <f aca="false">VLOOKUP(C12,#REF!,6,FALSE())</f>
        <v>#VALUE!</v>
      </c>
      <c r="M12" s="175" t="e">
        <f aca="false">K12-L12</f>
        <v>#VALUE!</v>
      </c>
    </row>
    <row r="13" customFormat="false" ht="12.75" hidden="false" customHeight="true" outlineLevel="0" collapsed="false">
      <c r="A13" s="2"/>
      <c r="B13" s="159"/>
      <c r="C13" s="169" t="n">
        <v>6</v>
      </c>
      <c r="D13" s="170" t="n">
        <v>-300</v>
      </c>
      <c r="E13" s="171" t="n">
        <v>0</v>
      </c>
      <c r="F13" s="172" t="n">
        <v>550.85</v>
      </c>
      <c r="G13" s="176"/>
      <c r="H13" s="174" t="e">
        <f aca="false">VLOOKUP(C13,#REF!,5,FALSE())</f>
        <v>#VALUE!</v>
      </c>
      <c r="I13" s="175" t="e">
        <f aca="false">G13-H13</f>
        <v>#VALUE!</v>
      </c>
      <c r="K13" s="176" t="n">
        <v>3</v>
      </c>
      <c r="L13" s="168" t="e">
        <f aca="false">VLOOKUP(C13,#REF!,6,FALSE())</f>
        <v>#VALUE!</v>
      </c>
      <c r="M13" s="175" t="e">
        <f aca="false">K13-L13</f>
        <v>#VALUE!</v>
      </c>
    </row>
    <row r="14" customFormat="false" ht="12.75" hidden="false" customHeight="true" outlineLevel="0" collapsed="false">
      <c r="A14" s="2"/>
      <c r="B14" s="159"/>
      <c r="C14" s="169" t="n">
        <v>7</v>
      </c>
      <c r="D14" s="170" t="n">
        <v>-100</v>
      </c>
      <c r="E14" s="171" t="n">
        <v>0</v>
      </c>
      <c r="F14" s="172" t="n">
        <v>587.73</v>
      </c>
      <c r="G14" s="176"/>
      <c r="H14" s="174" t="e">
        <f aca="false">VLOOKUP(C14,#REF!,5,FALSE())</f>
        <v>#VALUE!</v>
      </c>
      <c r="I14" s="175" t="e">
        <f aca="false">G14-H14</f>
        <v>#VALUE!</v>
      </c>
      <c r="K14" s="176" t="n">
        <v>4</v>
      </c>
      <c r="L14" s="168" t="e">
        <f aca="false">VLOOKUP(C14,#REF!,6,FALSE())</f>
        <v>#VALUE!</v>
      </c>
      <c r="M14" s="175" t="e">
        <f aca="false">K14-L14</f>
        <v>#VALUE!</v>
      </c>
    </row>
    <row r="15" customFormat="false" ht="12.75" hidden="false" customHeight="true" outlineLevel="0" collapsed="false">
      <c r="A15" s="2"/>
      <c r="B15" s="159"/>
      <c r="C15" s="169" t="n">
        <v>8</v>
      </c>
      <c r="D15" s="170" t="n">
        <v>0</v>
      </c>
      <c r="E15" s="171" t="n">
        <v>0</v>
      </c>
      <c r="F15" s="172" t="n">
        <v>603.05</v>
      </c>
      <c r="G15" s="176"/>
      <c r="H15" s="174" t="e">
        <f aca="false">VLOOKUP(C15,#REF!,5,FALSE())</f>
        <v>#VALUE!</v>
      </c>
      <c r="I15" s="175" t="e">
        <f aca="false">G15-H15</f>
        <v>#VALUE!</v>
      </c>
      <c r="K15" s="176" t="n">
        <v>3.42857142857142</v>
      </c>
      <c r="L15" s="168" t="e">
        <f aca="false">VLOOKUP(C15,#REF!,6,FALSE())</f>
        <v>#VALUE!</v>
      </c>
      <c r="M15" s="175" t="e">
        <f aca="false">K15-L15</f>
        <v>#VALUE!</v>
      </c>
    </row>
    <row r="16" customFormat="false" ht="12.75" hidden="false" customHeight="true" outlineLevel="0" collapsed="false">
      <c r="A16" s="2"/>
      <c r="B16" s="159"/>
      <c r="C16" s="169" t="n">
        <v>9</v>
      </c>
      <c r="D16" s="170" t="n">
        <v>100</v>
      </c>
      <c r="E16" s="171" t="n">
        <v>0</v>
      </c>
      <c r="F16" s="172" t="n">
        <v>616.9</v>
      </c>
      <c r="G16" s="176"/>
      <c r="H16" s="174" t="e">
        <f aca="false">VLOOKUP(C16,#REF!,5,FALSE())</f>
        <v>#VALUE!</v>
      </c>
      <c r="I16" s="175" t="e">
        <f aca="false">G16-H16</f>
        <v>#VALUE!</v>
      </c>
      <c r="K16" s="176" t="n">
        <v>3.69047619047619</v>
      </c>
      <c r="L16" s="168" t="e">
        <f aca="false">VLOOKUP(C16,#REF!,6,FALSE())</f>
        <v>#VALUE!</v>
      </c>
      <c r="M16" s="175" t="e">
        <f aca="false">K16-L16</f>
        <v>#VALUE!</v>
      </c>
    </row>
    <row r="17" customFormat="false" ht="12.75" hidden="false" customHeight="true" outlineLevel="0" collapsed="false">
      <c r="A17" s="2"/>
      <c r="B17" s="159"/>
      <c r="C17" s="169" t="n">
        <v>10</v>
      </c>
      <c r="D17" s="170" t="n">
        <v>300</v>
      </c>
      <c r="E17" s="171" t="n">
        <v>0</v>
      </c>
      <c r="F17" s="172" t="n">
        <v>640.83</v>
      </c>
      <c r="G17" s="176"/>
      <c r="H17" s="174" t="e">
        <f aca="false">VLOOKUP(C17,#REF!,5,FALSE())</f>
        <v>#VALUE!</v>
      </c>
      <c r="I17" s="175" t="e">
        <f aca="false">G17-H17</f>
        <v>#VALUE!</v>
      </c>
      <c r="K17" s="176" t="n">
        <v>3.95238095238095</v>
      </c>
      <c r="L17" s="168" t="e">
        <f aca="false">VLOOKUP(C17,#REF!,6,FALSE())</f>
        <v>#VALUE!</v>
      </c>
      <c r="M17" s="175" t="e">
        <f aca="false">K17-L17</f>
        <v>#VALUE!</v>
      </c>
    </row>
    <row r="18" customFormat="false" ht="12.75" hidden="false" customHeight="true" outlineLevel="0" collapsed="false">
      <c r="A18" s="2"/>
      <c r="B18" s="159"/>
      <c r="C18" s="169" t="n">
        <v>11</v>
      </c>
      <c r="D18" s="170" t="n">
        <v>350</v>
      </c>
      <c r="E18" s="171" t="n">
        <v>0</v>
      </c>
      <c r="F18" s="172" t="n">
        <v>645.93</v>
      </c>
      <c r="G18" s="176"/>
      <c r="H18" s="174" t="e">
        <f aca="false">VLOOKUP(C18,#REF!,5,FALSE())</f>
        <v>#VALUE!</v>
      </c>
      <c r="I18" s="175" t="e">
        <f aca="false">G18-H18</f>
        <v>#VALUE!</v>
      </c>
      <c r="K18" s="176" t="n">
        <v>4.21428571428571</v>
      </c>
      <c r="L18" s="168" t="e">
        <f aca="false">VLOOKUP(C18,#REF!,6,FALSE())</f>
        <v>#VALUE!</v>
      </c>
      <c r="M18" s="175" t="e">
        <f aca="false">K18-L18</f>
        <v>#VALUE!</v>
      </c>
    </row>
    <row r="19" customFormat="false" ht="12.75" hidden="false" customHeight="true" outlineLevel="0" collapsed="false">
      <c r="A19" s="2"/>
      <c r="B19" s="159"/>
      <c r="C19" s="169" t="n">
        <v>12</v>
      </c>
      <c r="D19" s="170" t="n">
        <v>413.1</v>
      </c>
      <c r="E19" s="171" t="n">
        <v>0</v>
      </c>
      <c r="F19" s="172" t="n">
        <v>625</v>
      </c>
      <c r="G19" s="176"/>
      <c r="H19" s="174" t="e">
        <f aca="false">VLOOKUP(C19,#REF!,5,FALSE())</f>
        <v>#VALUE!</v>
      </c>
      <c r="I19" s="175" t="e">
        <f aca="false">G19-H19</f>
        <v>#VALUE!</v>
      </c>
      <c r="K19" s="176" t="n">
        <v>4.47619047619047</v>
      </c>
      <c r="L19" s="168" t="e">
        <f aca="false">VLOOKUP(C19,#REF!,6,FALSE())</f>
        <v>#VALUE!</v>
      </c>
      <c r="M19" s="175" t="e">
        <f aca="false">K19-L19</f>
        <v>#VALUE!</v>
      </c>
    </row>
    <row r="20" customFormat="false" ht="12.75" hidden="false" customHeight="true" outlineLevel="0" collapsed="false">
      <c r="A20" s="2"/>
      <c r="B20" s="159"/>
      <c r="C20" s="169" t="n">
        <v>13</v>
      </c>
      <c r="D20" s="170" t="n">
        <v>464.13</v>
      </c>
      <c r="E20" s="171" t="n">
        <v>0</v>
      </c>
      <c r="F20" s="172" t="n">
        <v>625</v>
      </c>
      <c r="G20" s="176"/>
      <c r="H20" s="174" t="e">
        <f aca="false">VLOOKUP(C20,#REF!,5,FALSE())</f>
        <v>#VALUE!</v>
      </c>
      <c r="I20" s="175" t="e">
        <f aca="false">G20-H20</f>
        <v>#VALUE!</v>
      </c>
      <c r="K20" s="176" t="n">
        <v>4.73809523809523</v>
      </c>
      <c r="L20" s="168" t="e">
        <f aca="false">VLOOKUP(C20,#REF!,6,FALSE())</f>
        <v>#VALUE!</v>
      </c>
      <c r="M20" s="175" t="e">
        <f aca="false">K20-L20</f>
        <v>#VALUE!</v>
      </c>
    </row>
    <row r="21" customFormat="false" ht="12.75" hidden="false" customHeight="true" outlineLevel="0" collapsed="false">
      <c r="A21" s="2"/>
      <c r="B21" s="159"/>
      <c r="C21" s="169" t="n">
        <v>14</v>
      </c>
      <c r="D21" s="170" t="n">
        <v>543.18</v>
      </c>
      <c r="E21" s="171" t="n">
        <v>0</v>
      </c>
      <c r="F21" s="172" t="n">
        <v>675</v>
      </c>
      <c r="G21" s="176"/>
      <c r="H21" s="174" t="e">
        <f aca="false">VLOOKUP(C21,#REF!,5,FALSE())</f>
        <v>#VALUE!</v>
      </c>
      <c r="I21" s="175" t="e">
        <f aca="false">G21-H21</f>
        <v>#VALUE!</v>
      </c>
      <c r="K21" s="176" t="n">
        <v>5</v>
      </c>
      <c r="L21" s="168" t="e">
        <f aca="false">VLOOKUP(C21,#REF!,6,FALSE())</f>
        <v>#VALUE!</v>
      </c>
      <c r="M21" s="175" t="e">
        <f aca="false">K21-L21</f>
        <v>#VALUE!</v>
      </c>
    </row>
    <row r="22" customFormat="false" ht="12.75" hidden="false" customHeight="true" outlineLevel="0" collapsed="false">
      <c r="A22" s="2"/>
      <c r="B22" s="159"/>
      <c r="C22" s="169" t="n">
        <v>15</v>
      </c>
      <c r="D22" s="170" t="n">
        <v>624.25</v>
      </c>
      <c r="E22" s="171" t="n">
        <v>0</v>
      </c>
      <c r="F22" s="172" t="n">
        <v>725</v>
      </c>
      <c r="G22" s="176"/>
      <c r="H22" s="174" t="e">
        <f aca="false">VLOOKUP(C22,#REF!,5,FALSE())</f>
        <v>#VALUE!</v>
      </c>
      <c r="I22" s="175" t="e">
        <f aca="false">G22-H22</f>
        <v>#VALUE!</v>
      </c>
      <c r="K22" s="176" t="n">
        <v>5.26190476190476</v>
      </c>
      <c r="L22" s="168" t="e">
        <f aca="false">VLOOKUP(C22,#REF!,6,FALSE())</f>
        <v>#VALUE!</v>
      </c>
      <c r="M22" s="175" t="e">
        <f aca="false">K22-L22</f>
        <v>#VALUE!</v>
      </c>
    </row>
    <row r="23" customFormat="false" ht="12.75" hidden="false" customHeight="true" outlineLevel="0" collapsed="false">
      <c r="A23" s="2"/>
      <c r="B23" s="159"/>
      <c r="C23" s="169" t="n">
        <v>16</v>
      </c>
      <c r="D23" s="170" t="n">
        <v>707.88</v>
      </c>
      <c r="E23" s="171" t="n">
        <v>0</v>
      </c>
      <c r="F23" s="172" t="n">
        <v>775</v>
      </c>
      <c r="G23" s="176"/>
      <c r="H23" s="174" t="e">
        <f aca="false">VLOOKUP(C23,#REF!,5,FALSE())</f>
        <v>#VALUE!</v>
      </c>
      <c r="I23" s="175" t="e">
        <f aca="false">G23-H23</f>
        <v>#VALUE!</v>
      </c>
      <c r="K23" s="176" t="n">
        <v>5.52380952380952</v>
      </c>
      <c r="L23" s="168" t="e">
        <f aca="false">VLOOKUP(C23,#REF!,6,FALSE())</f>
        <v>#VALUE!</v>
      </c>
      <c r="M23" s="175" t="e">
        <f aca="false">K23-L23</f>
        <v>#VALUE!</v>
      </c>
    </row>
    <row r="24" customFormat="false" ht="12.75" hidden="false" customHeight="true" outlineLevel="0" collapsed="false">
      <c r="A24" s="2"/>
      <c r="B24" s="159"/>
      <c r="C24" s="169" t="n">
        <v>17</v>
      </c>
      <c r="D24" s="170" t="n">
        <v>885.33</v>
      </c>
      <c r="E24" s="171" t="n">
        <v>0</v>
      </c>
      <c r="F24" s="172" t="n">
        <v>875</v>
      </c>
      <c r="G24" s="176"/>
      <c r="H24" s="174" t="e">
        <f aca="false">VLOOKUP(C24,#REF!,5,FALSE())</f>
        <v>#VALUE!</v>
      </c>
      <c r="I24" s="175" t="e">
        <f aca="false">G24-H24</f>
        <v>#VALUE!</v>
      </c>
      <c r="K24" s="176" t="n">
        <v>5.78571428571428</v>
      </c>
      <c r="L24" s="168" t="e">
        <f aca="false">VLOOKUP(C24,#REF!,6,FALSE())</f>
        <v>#VALUE!</v>
      </c>
      <c r="M24" s="175" t="e">
        <f aca="false">K24-L24</f>
        <v>#VALUE!</v>
      </c>
    </row>
    <row r="25" customFormat="false" ht="12.75" hidden="false" customHeight="true" outlineLevel="0" collapsed="false">
      <c r="A25" s="2"/>
      <c r="B25" s="159"/>
      <c r="C25" s="169" t="n">
        <v>18</v>
      </c>
      <c r="D25" s="170" t="n">
        <v>1084.9</v>
      </c>
      <c r="E25" s="171" t="n">
        <v>0</v>
      </c>
      <c r="F25" s="172" t="n">
        <v>975</v>
      </c>
      <c r="G25" s="176"/>
      <c r="H25" s="174" t="e">
        <f aca="false">VLOOKUP(C25,#REF!,5,FALSE())</f>
        <v>#VALUE!</v>
      </c>
      <c r="I25" s="175" t="e">
        <f aca="false">G25-H25</f>
        <v>#VALUE!</v>
      </c>
      <c r="K25" s="176" t="n">
        <v>6.04761904761904</v>
      </c>
      <c r="L25" s="168" t="e">
        <f aca="false">VLOOKUP(C25,#REF!,6,FALSE())</f>
        <v>#VALUE!</v>
      </c>
      <c r="M25" s="175" t="e">
        <f aca="false">K25-L25</f>
        <v>#VALUE!</v>
      </c>
    </row>
    <row r="26" customFormat="false" ht="12.75" hidden="false" customHeight="true" outlineLevel="0" collapsed="false">
      <c r="A26" s="2"/>
      <c r="B26" s="159"/>
      <c r="C26" s="169" t="n">
        <v>19</v>
      </c>
      <c r="D26" s="170" t="n">
        <v>1199</v>
      </c>
      <c r="E26" s="171" t="n">
        <v>0</v>
      </c>
      <c r="F26" s="172" t="n">
        <v>1025</v>
      </c>
      <c r="G26" s="176"/>
      <c r="H26" s="174" t="e">
        <f aca="false">VLOOKUP(C26,#REF!,5,FALSE())</f>
        <v>#VALUE!</v>
      </c>
      <c r="I26" s="175" t="e">
        <f aca="false">G26-H26</f>
        <v>#VALUE!</v>
      </c>
      <c r="K26" s="176" t="n">
        <v>6.30952380952381</v>
      </c>
      <c r="L26" s="168" t="e">
        <f aca="false">VLOOKUP(C26,#REF!,6,FALSE())</f>
        <v>#VALUE!</v>
      </c>
      <c r="M26" s="175" t="e">
        <f aca="false">K26-L26</f>
        <v>#VALUE!</v>
      </c>
    </row>
    <row r="27" customFormat="false" ht="12.75" hidden="false" customHeight="true" outlineLevel="0" collapsed="false">
      <c r="A27" s="2"/>
      <c r="B27" s="159"/>
      <c r="C27" s="169" t="n">
        <v>20</v>
      </c>
      <c r="D27" s="170" t="n">
        <v>1300</v>
      </c>
      <c r="E27" s="171" t="n">
        <v>0</v>
      </c>
      <c r="F27" s="172" t="n">
        <v>1051.5</v>
      </c>
      <c r="G27" s="176"/>
      <c r="H27" s="174" t="e">
        <f aca="false">VLOOKUP(C27,#REF!,5,FALSE())</f>
        <v>#VALUE!</v>
      </c>
      <c r="I27" s="175" t="e">
        <f aca="false">G27-H27</f>
        <v>#VALUE!</v>
      </c>
      <c r="K27" s="176" t="n">
        <v>6.57142857142857</v>
      </c>
      <c r="L27" s="168" t="e">
        <f aca="false">VLOOKUP(C27,#REF!,6,FALSE())</f>
        <v>#VALUE!</v>
      </c>
      <c r="M27" s="175" t="e">
        <f aca="false">K27-L27</f>
        <v>#VALUE!</v>
      </c>
    </row>
    <row r="28" customFormat="false" ht="12.75" hidden="false" customHeight="true" outlineLevel="0" collapsed="false">
      <c r="A28" s="2"/>
      <c r="B28" s="159"/>
      <c r="C28" s="178" t="n">
        <v>107</v>
      </c>
      <c r="D28" s="170" t="n">
        <v>1900</v>
      </c>
      <c r="E28" s="171" t="n">
        <v>0</v>
      </c>
      <c r="F28" s="172" t="n">
        <v>1102.4</v>
      </c>
      <c r="G28" s="176"/>
      <c r="H28" s="174" t="e">
        <f aca="false">VLOOKUP(C28,#REF!,5,FALSE())</f>
        <v>#VALUE!</v>
      </c>
      <c r="I28" s="175" t="e">
        <f aca="false">G28-H28</f>
        <v>#VALUE!</v>
      </c>
      <c r="K28" s="176" t="n">
        <v>6.83333333333333</v>
      </c>
      <c r="L28" s="168" t="e">
        <f aca="false">VLOOKUP(C28,#REF!,6,FALSE())</f>
        <v>#VALUE!</v>
      </c>
      <c r="M28" s="175" t="e">
        <f aca="false">K28-L28</f>
        <v>#VALUE!</v>
      </c>
    </row>
    <row r="29" customFormat="false" ht="12.75" hidden="false" customHeight="true" outlineLevel="0" collapsed="false">
      <c r="A29" s="2"/>
      <c r="B29" s="159"/>
      <c r="C29" s="178" t="n">
        <v>108</v>
      </c>
      <c r="D29" s="170" t="n">
        <v>2100</v>
      </c>
      <c r="E29" s="171" t="n">
        <v>0</v>
      </c>
      <c r="F29" s="172" t="n">
        <v>1100.28</v>
      </c>
      <c r="G29" s="176"/>
      <c r="H29" s="174" t="e">
        <f aca="false">VLOOKUP(C29,#REF!,5,FALSE())</f>
        <v>#VALUE!</v>
      </c>
      <c r="I29" s="175" t="e">
        <f aca="false">G29-H29</f>
        <v>#VALUE!</v>
      </c>
      <c r="K29" s="176" t="n">
        <v>7.09523809523809</v>
      </c>
      <c r="L29" s="168" t="e">
        <f aca="false">VLOOKUP(C29,#REF!,6,FALSE())</f>
        <v>#VALUE!</v>
      </c>
      <c r="M29" s="175" t="e">
        <f aca="false">K29-L29</f>
        <v>#VALUE!</v>
      </c>
    </row>
    <row r="30" customFormat="false" ht="12.75" hidden="false" customHeight="true" outlineLevel="0" collapsed="false">
      <c r="A30" s="2"/>
      <c r="B30" s="159"/>
      <c r="C30" s="178" t="n">
        <v>109</v>
      </c>
      <c r="D30" s="170" t="n">
        <v>2300</v>
      </c>
      <c r="E30" s="171" t="n">
        <v>0</v>
      </c>
      <c r="F30" s="172" t="n">
        <v>1090.3</v>
      </c>
      <c r="G30" s="176"/>
      <c r="H30" s="174" t="e">
        <f aca="false">VLOOKUP(C30,#REF!,5,FALSE())</f>
        <v>#VALUE!</v>
      </c>
      <c r="I30" s="175" t="e">
        <f aca="false">G30-H30</f>
        <v>#VALUE!</v>
      </c>
      <c r="K30" s="176" t="n">
        <v>7.35714285714285</v>
      </c>
      <c r="L30" s="168" t="e">
        <f aca="false">VLOOKUP(C30,#REF!,6,FALSE())</f>
        <v>#VALUE!</v>
      </c>
      <c r="M30" s="175" t="e">
        <f aca="false">K30-L30</f>
        <v>#VALUE!</v>
      </c>
    </row>
    <row r="31" customFormat="false" ht="12.75" hidden="false" customHeight="true" outlineLevel="0" collapsed="false">
      <c r="A31" s="2"/>
      <c r="B31" s="159"/>
      <c r="C31" s="178" t="n">
        <v>110</v>
      </c>
      <c r="D31" s="170" t="n">
        <v>2500</v>
      </c>
      <c r="E31" s="171" t="n">
        <v>0</v>
      </c>
      <c r="F31" s="172" t="n">
        <v>1067.15</v>
      </c>
      <c r="G31" s="176"/>
      <c r="H31" s="174" t="e">
        <f aca="false">VLOOKUP(C31,#REF!,5,FALSE())</f>
        <v>#VALUE!</v>
      </c>
      <c r="I31" s="175" t="e">
        <f aca="false">G31-H31</f>
        <v>#VALUE!</v>
      </c>
      <c r="K31" s="176" t="n">
        <v>7.61904761904761</v>
      </c>
      <c r="L31" s="168" t="e">
        <f aca="false">VLOOKUP(C31,#REF!,6,FALSE())</f>
        <v>#VALUE!</v>
      </c>
      <c r="M31" s="175" t="e">
        <f aca="false">K31-L31</f>
        <v>#VALUE!</v>
      </c>
    </row>
    <row r="32" customFormat="false" ht="12.75" hidden="false" customHeight="true" outlineLevel="0" collapsed="false">
      <c r="A32" s="2"/>
      <c r="B32" s="159"/>
      <c r="C32" s="178" t="n">
        <v>111</v>
      </c>
      <c r="D32" s="170" t="n">
        <v>2600</v>
      </c>
      <c r="E32" s="171" t="n">
        <v>0</v>
      </c>
      <c r="F32" s="172" t="n">
        <v>1047.75</v>
      </c>
      <c r="G32" s="176"/>
      <c r="H32" s="174" t="e">
        <f aca="false">VLOOKUP(C32,#REF!,5,FALSE())</f>
        <v>#VALUE!</v>
      </c>
      <c r="I32" s="175" t="e">
        <f aca="false">G32-H32</f>
        <v>#VALUE!</v>
      </c>
      <c r="K32" s="176" t="n">
        <v>7.88095238095238</v>
      </c>
      <c r="L32" s="168" t="e">
        <f aca="false">VLOOKUP(C32,#REF!,6,FALSE())</f>
        <v>#VALUE!</v>
      </c>
      <c r="M32" s="175" t="e">
        <f aca="false">K32-L32</f>
        <v>#VALUE!</v>
      </c>
    </row>
    <row r="33" customFormat="false" ht="12.75" hidden="false" customHeight="true" outlineLevel="0" collapsed="false">
      <c r="A33" s="2"/>
      <c r="B33" s="159"/>
      <c r="C33" s="178" t="n">
        <v>112</v>
      </c>
      <c r="D33" s="170" t="n">
        <v>2700</v>
      </c>
      <c r="E33" s="171" t="n">
        <v>0</v>
      </c>
      <c r="F33" s="172" t="n">
        <v>1017.73</v>
      </c>
      <c r="G33" s="176"/>
      <c r="H33" s="174" t="e">
        <f aca="false">VLOOKUP(C33,#REF!,5,FALSE())</f>
        <v>#VALUE!</v>
      </c>
      <c r="I33" s="175" t="e">
        <f aca="false">G33-H33</f>
        <v>#VALUE!</v>
      </c>
      <c r="K33" s="176" t="n">
        <v>8.14285714285714</v>
      </c>
      <c r="L33" s="168" t="e">
        <f aca="false">VLOOKUP(C33,#REF!,6,FALSE())</f>
        <v>#VALUE!</v>
      </c>
      <c r="M33" s="175" t="e">
        <f aca="false">K33-L33</f>
        <v>#VALUE!</v>
      </c>
    </row>
    <row r="34" customFormat="false" ht="12.75" hidden="false" customHeight="true" outlineLevel="0" collapsed="false">
      <c r="A34" s="2"/>
      <c r="B34" s="159"/>
      <c r="C34" s="178" t="n">
        <v>113</v>
      </c>
      <c r="D34" s="170" t="n">
        <v>2820.15</v>
      </c>
      <c r="E34" s="171" t="n">
        <v>0</v>
      </c>
      <c r="F34" s="172" t="n">
        <v>975</v>
      </c>
      <c r="G34" s="176"/>
      <c r="H34" s="174" t="e">
        <f aca="false">VLOOKUP(C34,#REF!,5,FALSE())</f>
        <v>#VALUE!</v>
      </c>
      <c r="I34" s="175" t="e">
        <f aca="false">G34-H34</f>
        <v>#VALUE!</v>
      </c>
      <c r="K34" s="176" t="n">
        <v>8.4047619047619</v>
      </c>
      <c r="L34" s="168" t="e">
        <f aca="false">VLOOKUP(C34,#REF!,6,FALSE())</f>
        <v>#VALUE!</v>
      </c>
      <c r="M34" s="175" t="e">
        <f aca="false">K34-L34</f>
        <v>#VALUE!</v>
      </c>
    </row>
    <row r="35" customFormat="false" ht="12.75" hidden="false" customHeight="true" outlineLevel="0" collapsed="false">
      <c r="A35" s="2"/>
      <c r="B35" s="159"/>
      <c r="C35" s="178" t="n">
        <v>114</v>
      </c>
      <c r="D35" s="170" t="n">
        <v>2944.43</v>
      </c>
      <c r="E35" s="171" t="n">
        <v>0</v>
      </c>
      <c r="F35" s="172" t="n">
        <v>925</v>
      </c>
      <c r="G35" s="176"/>
      <c r="H35" s="174" t="e">
        <f aca="false">VLOOKUP(C35,#REF!,5,FALSE())</f>
        <v>#VALUE!</v>
      </c>
      <c r="I35" s="175" t="e">
        <f aca="false">G35-H35</f>
        <v>#VALUE!</v>
      </c>
      <c r="K35" s="176" t="n">
        <v>8.66666666666666</v>
      </c>
      <c r="L35" s="168" t="e">
        <f aca="false">VLOOKUP(C35,#REF!,6,FALSE())</f>
        <v>#VALUE!</v>
      </c>
      <c r="M35" s="175" t="e">
        <f aca="false">K35-L35</f>
        <v>#VALUE!</v>
      </c>
    </row>
    <row r="36" customFormat="false" ht="12.75" hidden="false" customHeight="true" outlineLevel="0" collapsed="false">
      <c r="A36" s="2"/>
      <c r="B36" s="159"/>
      <c r="C36" s="178" t="n">
        <v>115</v>
      </c>
      <c r="D36" s="170" t="n">
        <v>3057.9</v>
      </c>
      <c r="E36" s="171" t="n">
        <v>0</v>
      </c>
      <c r="F36" s="172" t="n">
        <v>875</v>
      </c>
      <c r="G36" s="176"/>
      <c r="H36" s="174" t="e">
        <f aca="false">VLOOKUP(C36,#REF!,5,FALSE())</f>
        <v>#VALUE!</v>
      </c>
      <c r="I36" s="175" t="e">
        <f aca="false">G36-H36</f>
        <v>#VALUE!</v>
      </c>
      <c r="K36" s="176" t="n">
        <v>8.92857142857142</v>
      </c>
      <c r="L36" s="168" t="e">
        <f aca="false">VLOOKUP(C36,#REF!,6,FALSE())</f>
        <v>#VALUE!</v>
      </c>
      <c r="M36" s="175" t="e">
        <f aca="false">K36-L36</f>
        <v>#VALUE!</v>
      </c>
    </row>
    <row r="37" customFormat="false" ht="12.75" hidden="false" customHeight="true" outlineLevel="0" collapsed="false">
      <c r="A37" s="2"/>
      <c r="B37" s="159"/>
      <c r="C37" s="178" t="n">
        <v>116</v>
      </c>
      <c r="D37" s="170" t="n">
        <v>3164.15</v>
      </c>
      <c r="E37" s="171" t="n">
        <v>0</v>
      </c>
      <c r="F37" s="172" t="n">
        <v>825</v>
      </c>
      <c r="G37" s="176"/>
      <c r="H37" s="174" t="e">
        <f aca="false">VLOOKUP(C37,#REF!,5,FALSE())</f>
        <v>#VALUE!</v>
      </c>
      <c r="I37" s="175" t="e">
        <f aca="false">G37-H37</f>
        <v>#VALUE!</v>
      </c>
      <c r="K37" s="176" t="n">
        <v>9.19047619047619</v>
      </c>
      <c r="L37" s="168" t="e">
        <f aca="false">VLOOKUP(C37,#REF!,6,FALSE())</f>
        <v>#VALUE!</v>
      </c>
      <c r="M37" s="175" t="e">
        <f aca="false">K37-L37</f>
        <v>#VALUE!</v>
      </c>
    </row>
    <row r="38" customFormat="false" ht="12.75" hidden="false" customHeight="true" outlineLevel="0" collapsed="false">
      <c r="A38" s="2"/>
      <c r="B38" s="159"/>
      <c r="C38" s="178" t="n">
        <v>117</v>
      </c>
      <c r="D38" s="170" t="n">
        <v>3265.23</v>
      </c>
      <c r="E38" s="171" t="n">
        <v>0</v>
      </c>
      <c r="F38" s="172" t="n">
        <v>775</v>
      </c>
      <c r="G38" s="176"/>
      <c r="H38" s="174" t="e">
        <f aca="false">VLOOKUP(C38,#REF!,5,FALSE())</f>
        <v>#VALUE!</v>
      </c>
      <c r="I38" s="175" t="e">
        <f aca="false">G38-H38</f>
        <v>#VALUE!</v>
      </c>
      <c r="K38" s="176" t="n">
        <v>9.45238095238095</v>
      </c>
      <c r="L38" s="168" t="e">
        <f aca="false">VLOOKUP(C38,#REF!,6,FALSE())</f>
        <v>#VALUE!</v>
      </c>
      <c r="M38" s="175" t="e">
        <f aca="false">K38-L38</f>
        <v>#VALUE!</v>
      </c>
    </row>
    <row r="39" customFormat="false" ht="12.75" hidden="false" customHeight="true" outlineLevel="0" collapsed="false">
      <c r="A39" s="2"/>
      <c r="B39" s="159"/>
      <c r="C39" s="178" t="n">
        <v>118</v>
      </c>
      <c r="D39" s="170" t="n">
        <v>3300</v>
      </c>
      <c r="E39" s="171" t="n">
        <v>0</v>
      </c>
      <c r="F39" s="172" t="n">
        <v>757.33</v>
      </c>
      <c r="G39" s="176"/>
      <c r="H39" s="174" t="e">
        <f aca="false">VLOOKUP(C39,#REF!,5,FALSE())</f>
        <v>#VALUE!</v>
      </c>
      <c r="I39" s="175" t="e">
        <f aca="false">G39-H39</f>
        <v>#VALUE!</v>
      </c>
      <c r="K39" s="176" t="n">
        <v>9.71428571428571</v>
      </c>
      <c r="L39" s="168" t="e">
        <f aca="false">VLOOKUP(C39,#REF!,6,FALSE())</f>
        <v>#VALUE!</v>
      </c>
      <c r="M39" s="175" t="e">
        <f aca="false">K39-L39</f>
        <v>#VALUE!</v>
      </c>
    </row>
    <row r="40" customFormat="false" ht="12.75" hidden="false" customHeight="true" outlineLevel="0" collapsed="false">
      <c r="A40" s="2"/>
      <c r="B40" s="159"/>
      <c r="C40" s="178" t="n">
        <v>119</v>
      </c>
      <c r="D40" s="170" t="n">
        <v>3400</v>
      </c>
      <c r="E40" s="171" t="n">
        <v>0</v>
      </c>
      <c r="F40" s="172" t="n">
        <v>746.1</v>
      </c>
      <c r="G40" s="176"/>
      <c r="H40" s="174" t="e">
        <f aca="false">VLOOKUP(C40,#REF!,5,FALSE())</f>
        <v>#VALUE!</v>
      </c>
      <c r="I40" s="175" t="e">
        <f aca="false">G40-H40</f>
        <v>#VALUE!</v>
      </c>
      <c r="K40" s="176" t="n">
        <v>9.97619047619047</v>
      </c>
      <c r="L40" s="168" t="e">
        <f aca="false">VLOOKUP(C40,#REF!,6,FALSE())</f>
        <v>#VALUE!</v>
      </c>
      <c r="M40" s="175" t="e">
        <f aca="false">K40-L40</f>
        <v>#VALUE!</v>
      </c>
    </row>
    <row r="41" customFormat="false" ht="12.75" hidden="false" customHeight="true" outlineLevel="0" collapsed="false">
      <c r="A41" s="2"/>
      <c r="B41" s="159"/>
      <c r="C41" s="178" t="n">
        <v>120</v>
      </c>
      <c r="D41" s="170" t="n">
        <v>3500</v>
      </c>
      <c r="E41" s="171" t="n">
        <v>0</v>
      </c>
      <c r="F41" s="172" t="n">
        <v>735.35</v>
      </c>
      <c r="G41" s="176"/>
      <c r="H41" s="174" t="e">
        <f aca="false">VLOOKUP(C41,#REF!,5,FALSE())</f>
        <v>#VALUE!</v>
      </c>
      <c r="I41" s="175" t="e">
        <f aca="false">G41-H41</f>
        <v>#VALUE!</v>
      </c>
      <c r="K41" s="176" t="n">
        <v>10.2380952380952</v>
      </c>
      <c r="L41" s="168" t="e">
        <f aca="false">VLOOKUP(C41,#REF!,6,FALSE())</f>
        <v>#VALUE!</v>
      </c>
      <c r="M41" s="175" t="e">
        <f aca="false">K41-L41</f>
        <v>#VALUE!</v>
      </c>
    </row>
    <row r="42" customFormat="false" ht="12.75" hidden="false" customHeight="true" outlineLevel="0" collapsed="false">
      <c r="A42" s="2"/>
      <c r="B42" s="159"/>
      <c r="C42" s="178" t="n">
        <v>121</v>
      </c>
      <c r="D42" s="170" t="n">
        <v>3575.25</v>
      </c>
      <c r="E42" s="171" t="n">
        <v>0</v>
      </c>
      <c r="F42" s="172" t="n">
        <v>725</v>
      </c>
      <c r="G42" s="176"/>
      <c r="H42" s="174" t="e">
        <f aca="false">VLOOKUP(C42,#REF!,5,FALSE())</f>
        <v>#VALUE!</v>
      </c>
      <c r="I42" s="175" t="e">
        <f aca="false">G42-H42</f>
        <v>#VALUE!</v>
      </c>
      <c r="K42" s="176" t="n">
        <v>10.5</v>
      </c>
      <c r="L42" s="168" t="e">
        <f aca="false">VLOOKUP(C42,#REF!,6,FALSE())</f>
        <v>#VALUE!</v>
      </c>
      <c r="M42" s="175" t="e">
        <f aca="false">K42-L42</f>
        <v>#VALUE!</v>
      </c>
    </row>
    <row r="43" customFormat="false" ht="12.75" hidden="false" customHeight="true" outlineLevel="0" collapsed="false">
      <c r="A43" s="2"/>
      <c r="B43" s="159"/>
      <c r="C43" s="178" t="n">
        <v>122</v>
      </c>
      <c r="D43" s="170" t="n">
        <v>3700</v>
      </c>
      <c r="E43" s="171" t="n">
        <v>0</v>
      </c>
      <c r="F43" s="172" t="n">
        <v>717.45</v>
      </c>
      <c r="G43" s="176"/>
      <c r="H43" s="174" t="e">
        <f aca="false">VLOOKUP(C43,#REF!,5,FALSE())</f>
        <v>#VALUE!</v>
      </c>
      <c r="I43" s="175" t="e">
        <f aca="false">G43-H43</f>
        <v>#VALUE!</v>
      </c>
      <c r="K43" s="176" t="n">
        <v>10.7619047619047</v>
      </c>
      <c r="L43" s="168" t="e">
        <f aca="false">VLOOKUP(C43,#REF!,6,FALSE())</f>
        <v>#VALUE!</v>
      </c>
      <c r="M43" s="175" t="e">
        <f aca="false">K43-L43</f>
        <v>#VALUE!</v>
      </c>
    </row>
    <row r="44" customFormat="false" ht="12.75" hidden="false" customHeight="true" outlineLevel="0" collapsed="false">
      <c r="A44" s="2"/>
      <c r="B44" s="159"/>
      <c r="C44" s="178" t="n">
        <v>123</v>
      </c>
      <c r="D44" s="170" t="n">
        <v>3709.73</v>
      </c>
      <c r="E44" s="171" t="n">
        <v>0</v>
      </c>
      <c r="F44" s="172" t="n">
        <v>650</v>
      </c>
      <c r="G44" s="176"/>
      <c r="H44" s="174" t="e">
        <f aca="false">VLOOKUP(C44,#REF!,5,FALSE())</f>
        <v>#VALUE!</v>
      </c>
      <c r="I44" s="175" t="e">
        <f aca="false">G44-H44</f>
        <v>#VALUE!</v>
      </c>
      <c r="K44" s="176" t="n">
        <v>11.0238095238094</v>
      </c>
      <c r="L44" s="168" t="e">
        <f aca="false">VLOOKUP(C44,#REF!,6,FALSE())</f>
        <v>#VALUE!</v>
      </c>
      <c r="M44" s="175" t="e">
        <f aca="false">K44-L44</f>
        <v>#VALUE!</v>
      </c>
    </row>
    <row r="45" customFormat="false" ht="12.75" hidden="false" customHeight="true" outlineLevel="0" collapsed="false">
      <c r="A45" s="2"/>
      <c r="B45" s="159"/>
      <c r="C45" s="178" t="n">
        <v>124</v>
      </c>
      <c r="D45" s="170" t="n">
        <v>3715.28</v>
      </c>
      <c r="E45" s="171" t="n">
        <v>0</v>
      </c>
      <c r="F45" s="172" t="n">
        <v>600</v>
      </c>
      <c r="G45" s="176"/>
      <c r="H45" s="174" t="e">
        <f aca="false">VLOOKUP(C45,#REF!,5,FALSE())</f>
        <v>#VALUE!</v>
      </c>
      <c r="I45" s="175" t="e">
        <f aca="false">G45-H45</f>
        <v>#VALUE!</v>
      </c>
      <c r="K45" s="176" t="n">
        <v>11.2857142857141</v>
      </c>
      <c r="L45" s="168" t="e">
        <f aca="false">VLOOKUP(C45,#REF!,6,FALSE())</f>
        <v>#VALUE!</v>
      </c>
      <c r="M45" s="175" t="e">
        <f aca="false">K45-L45</f>
        <v>#VALUE!</v>
      </c>
    </row>
    <row r="46" customFormat="false" ht="12.75" hidden="false" customHeight="true" outlineLevel="0" collapsed="false">
      <c r="A46" s="2"/>
      <c r="B46" s="159"/>
      <c r="C46" s="169" t="n">
        <v>21</v>
      </c>
      <c r="D46" s="170" t="n">
        <v>3752.7</v>
      </c>
      <c r="E46" s="171" t="n">
        <v>0</v>
      </c>
      <c r="F46" s="172" t="n">
        <v>450</v>
      </c>
      <c r="G46" s="176"/>
      <c r="H46" s="174" t="e">
        <f aca="false">VLOOKUP(C46,#REF!,5,FALSE())</f>
        <v>#VALUE!</v>
      </c>
      <c r="I46" s="175" t="e">
        <f aca="false">G46-H46</f>
        <v>#VALUE!</v>
      </c>
      <c r="K46" s="176" t="n">
        <v>11.5476190476188</v>
      </c>
      <c r="L46" s="168" t="e">
        <f aca="false">VLOOKUP(C46,#REF!,6,FALSE())</f>
        <v>#VALUE!</v>
      </c>
      <c r="M46" s="175" t="e">
        <f aca="false">K46-L46</f>
        <v>#VALUE!</v>
      </c>
    </row>
    <row r="47" customFormat="false" ht="12.75" hidden="false" customHeight="true" outlineLevel="0" collapsed="false">
      <c r="A47" s="2"/>
      <c r="B47" s="159"/>
      <c r="C47" s="169" t="n">
        <v>22</v>
      </c>
      <c r="D47" s="170" t="n">
        <v>3757.9</v>
      </c>
      <c r="E47" s="171" t="n">
        <v>0</v>
      </c>
      <c r="F47" s="172" t="n">
        <v>350</v>
      </c>
      <c r="G47" s="176"/>
      <c r="H47" s="174" t="e">
        <f aca="false">VLOOKUP(C47,#REF!,5,FALSE())</f>
        <v>#VALUE!</v>
      </c>
      <c r="I47" s="175" t="e">
        <f aca="false">G47-H47</f>
        <v>#VALUE!</v>
      </c>
      <c r="K47" s="176" t="n">
        <v>11.8095238095236</v>
      </c>
      <c r="L47" s="168" t="e">
        <f aca="false">VLOOKUP(C47,#REF!,6,FALSE())</f>
        <v>#VALUE!</v>
      </c>
      <c r="M47" s="175" t="e">
        <f aca="false">K47-L47</f>
        <v>#VALUE!</v>
      </c>
    </row>
    <row r="48" customFormat="false" ht="12.75" hidden="false" customHeight="true" outlineLevel="0" collapsed="false">
      <c r="A48" s="2"/>
      <c r="B48" s="159"/>
      <c r="C48" s="169" t="n">
        <v>23</v>
      </c>
      <c r="D48" s="170" t="n">
        <v>3804.1</v>
      </c>
      <c r="E48" s="171" t="n">
        <v>0</v>
      </c>
      <c r="F48" s="172" t="n">
        <v>250</v>
      </c>
      <c r="G48" s="176"/>
      <c r="H48" s="174" t="e">
        <f aca="false">VLOOKUP(C48,#REF!,5,FALSE())</f>
        <v>#VALUE!</v>
      </c>
      <c r="I48" s="175" t="e">
        <f aca="false">G48-H48</f>
        <v>#VALUE!</v>
      </c>
      <c r="K48" s="176" t="n">
        <v>12.0714285714283</v>
      </c>
      <c r="L48" s="168" t="e">
        <f aca="false">VLOOKUP(C48,#REF!,6,FALSE())</f>
        <v>#VALUE!</v>
      </c>
      <c r="M48" s="175" t="e">
        <f aca="false">K48-L48</f>
        <v>#VALUE!</v>
      </c>
    </row>
    <row r="49" customFormat="false" ht="12.75" hidden="false" customHeight="true" outlineLevel="0" collapsed="false">
      <c r="A49" s="2"/>
      <c r="B49" s="159"/>
      <c r="C49" s="160" t="n">
        <v>193</v>
      </c>
      <c r="D49" s="161" t="n">
        <v>3799.3</v>
      </c>
      <c r="E49" s="162" t="n">
        <v>0</v>
      </c>
      <c r="F49" s="163" t="n">
        <v>150</v>
      </c>
      <c r="G49" s="219"/>
      <c r="H49" s="199" t="e">
        <f aca="false">VLOOKUP(C49,#REF!,5,FALSE())</f>
        <v>#VALUE!</v>
      </c>
      <c r="I49" s="179" t="e">
        <f aca="false">G49-H49</f>
        <v>#VALUE!</v>
      </c>
      <c r="K49" s="219" t="n">
        <v>12.333333333333</v>
      </c>
      <c r="L49" s="220" t="e">
        <f aca="false">VLOOKUP(C49,#REF!,6,FALSE())</f>
        <v>#VALUE!</v>
      </c>
      <c r="M49" s="179" t="e">
        <f aca="false">K49-L49</f>
        <v>#VALUE!</v>
      </c>
    </row>
    <row r="50" customFormat="false" ht="12.75" hidden="false" customHeight="true" outlineLevel="0" collapsed="false">
      <c r="A50" s="2"/>
      <c r="B50" s="159" t="s">
        <v>180</v>
      </c>
      <c r="C50" s="181" t="n">
        <v>191</v>
      </c>
      <c r="D50" s="182" t="n">
        <v>-804.8</v>
      </c>
      <c r="E50" s="182" t="n">
        <v>0</v>
      </c>
      <c r="F50" s="183" t="n">
        <v>-103</v>
      </c>
      <c r="G50" s="218"/>
      <c r="H50" s="185" t="e">
        <f aca="false">VLOOKUP(C50,#REF!,5,FALSE())</f>
        <v>#VALUE!</v>
      </c>
      <c r="I50" s="206" t="e">
        <f aca="false">G50-H50</f>
        <v>#VALUE!</v>
      </c>
    </row>
    <row r="51" customFormat="false" ht="12.75" hidden="false" customHeight="true" outlineLevel="0" collapsed="false">
      <c r="A51" s="2"/>
      <c r="B51" s="159"/>
      <c r="C51" s="186" t="n">
        <v>600</v>
      </c>
      <c r="D51" s="187" t="n">
        <v>-762.5</v>
      </c>
      <c r="E51" s="188" t="n">
        <v>0</v>
      </c>
      <c r="F51" s="189" t="n">
        <v>-111.2</v>
      </c>
      <c r="G51" s="167"/>
      <c r="H51" s="174" t="e">
        <f aca="false">VLOOKUP(C51,#REF!,5,FALSE())</f>
        <v>#VALUE!</v>
      </c>
      <c r="I51" s="166" t="e">
        <f aca="false">G51-H51</f>
        <v>#VALUE!</v>
      </c>
    </row>
    <row r="52" customFormat="false" ht="12.75" hidden="false" customHeight="true" outlineLevel="0" collapsed="false">
      <c r="A52" s="2"/>
      <c r="B52" s="159"/>
      <c r="C52" s="190" t="n">
        <v>601</v>
      </c>
      <c r="D52" s="191" t="n">
        <v>-729.72</v>
      </c>
      <c r="E52" s="192" t="n">
        <v>0</v>
      </c>
      <c r="F52" s="193" t="n">
        <v>-115</v>
      </c>
      <c r="G52" s="176"/>
      <c r="H52" s="174" t="e">
        <f aca="false">VLOOKUP(C52,#REF!,5,FALSE())</f>
        <v>#VALUE!</v>
      </c>
      <c r="I52" s="175" t="e">
        <f aca="false">G52-H52</f>
        <v>#VALUE!</v>
      </c>
    </row>
    <row r="53" customFormat="false" ht="12.75" hidden="false" customHeight="true" outlineLevel="0" collapsed="false">
      <c r="A53" s="2"/>
      <c r="B53" s="159"/>
      <c r="C53" s="190" t="n">
        <v>602</v>
      </c>
      <c r="D53" s="191" t="n">
        <v>-697</v>
      </c>
      <c r="E53" s="192" t="n">
        <v>0</v>
      </c>
      <c r="F53" s="193" t="n">
        <v>-118.78</v>
      </c>
      <c r="G53" s="176"/>
      <c r="H53" s="174" t="e">
        <f aca="false">VLOOKUP(C53,#REF!,5,FALSE())</f>
        <v>#VALUE!</v>
      </c>
      <c r="I53" s="175" t="e">
        <f aca="false">G53-H53</f>
        <v>#VALUE!</v>
      </c>
    </row>
    <row r="54" customFormat="false" ht="12.75" hidden="false" customHeight="true" outlineLevel="0" collapsed="false">
      <c r="A54" s="2"/>
      <c r="B54" s="159"/>
      <c r="C54" s="190" t="n">
        <v>603</v>
      </c>
      <c r="D54" s="191" t="n">
        <v>-600</v>
      </c>
      <c r="E54" s="192" t="n">
        <v>0</v>
      </c>
      <c r="F54" s="193" t="n">
        <v>-130</v>
      </c>
      <c r="G54" s="176"/>
      <c r="H54" s="174" t="e">
        <f aca="false">VLOOKUP(C54,#REF!,5,FALSE())</f>
        <v>#VALUE!</v>
      </c>
      <c r="I54" s="175" t="e">
        <f aca="false">G54-H54</f>
        <v>#VALUE!</v>
      </c>
    </row>
    <row r="55" customFormat="false" ht="12.75" hidden="false" customHeight="true" outlineLevel="0" collapsed="false">
      <c r="A55" s="2"/>
      <c r="B55" s="159"/>
      <c r="C55" s="190" t="n">
        <v>604</v>
      </c>
      <c r="D55" s="191" t="n">
        <v>-400</v>
      </c>
      <c r="E55" s="192" t="n">
        <v>0</v>
      </c>
      <c r="F55" s="193" t="n">
        <v>-153.125</v>
      </c>
      <c r="G55" s="176"/>
      <c r="H55" s="174" t="e">
        <f aca="false">VLOOKUP(C55,#REF!,5,FALSE())</f>
        <v>#VALUE!</v>
      </c>
      <c r="I55" s="175" t="e">
        <f aca="false">G55-H55</f>
        <v>#VALUE!</v>
      </c>
    </row>
    <row r="56" customFormat="false" ht="12.75" hidden="false" customHeight="true" outlineLevel="0" collapsed="false">
      <c r="A56" s="2"/>
      <c r="B56" s="159"/>
      <c r="C56" s="190" t="n">
        <v>605</v>
      </c>
      <c r="D56" s="191" t="n">
        <v>-200</v>
      </c>
      <c r="E56" s="192" t="n">
        <v>0</v>
      </c>
      <c r="F56" s="193" t="n">
        <v>-165.55</v>
      </c>
      <c r="G56" s="176"/>
      <c r="H56" s="174" t="e">
        <f aca="false">VLOOKUP(C56,#REF!,5,FALSE())</f>
        <v>#VALUE!</v>
      </c>
      <c r="I56" s="175" t="e">
        <f aca="false">G56-H56</f>
        <v>#VALUE!</v>
      </c>
    </row>
    <row r="57" customFormat="false" ht="12.75" hidden="false" customHeight="true" outlineLevel="0" collapsed="false">
      <c r="A57" s="2"/>
      <c r="B57" s="159"/>
      <c r="C57" s="190" t="n">
        <v>606</v>
      </c>
      <c r="D57" s="191" t="n">
        <v>0</v>
      </c>
      <c r="E57" s="192" t="n">
        <v>0</v>
      </c>
      <c r="F57" s="193" t="n">
        <v>-170.725</v>
      </c>
      <c r="G57" s="176"/>
      <c r="H57" s="174" t="e">
        <f aca="false">VLOOKUP(C57,#REF!,5,FALSE())</f>
        <v>#VALUE!</v>
      </c>
      <c r="I57" s="175" t="e">
        <f aca="false">G57-H57</f>
        <v>#VALUE!</v>
      </c>
    </row>
    <row r="58" customFormat="false" ht="12.75" hidden="false" customHeight="true" outlineLevel="0" collapsed="false">
      <c r="A58" s="2"/>
      <c r="B58" s="159"/>
      <c r="C58" s="190" t="n">
        <v>607</v>
      </c>
      <c r="D58" s="191" t="n">
        <v>200</v>
      </c>
      <c r="E58" s="192" t="n">
        <v>0</v>
      </c>
      <c r="F58" s="193" t="n">
        <v>-170.475</v>
      </c>
      <c r="G58" s="176"/>
      <c r="H58" s="174" t="e">
        <f aca="false">VLOOKUP(C58,#REF!,5,FALSE())</f>
        <v>#VALUE!</v>
      </c>
      <c r="I58" s="175" t="e">
        <f aca="false">G58-H58</f>
        <v>#VALUE!</v>
      </c>
    </row>
    <row r="59" customFormat="false" ht="12.75" hidden="false" customHeight="true" outlineLevel="0" collapsed="false">
      <c r="A59" s="2"/>
      <c r="B59" s="159"/>
      <c r="C59" s="190" t="n">
        <v>608</v>
      </c>
      <c r="D59" s="191" t="n">
        <v>580</v>
      </c>
      <c r="E59" s="192" t="n">
        <v>0</v>
      </c>
      <c r="F59" s="193" t="n">
        <v>211.4</v>
      </c>
      <c r="G59" s="176"/>
      <c r="H59" s="174" t="e">
        <f aca="false">VLOOKUP(C59,#REF!,5,FALSE())</f>
        <v>#VALUE!</v>
      </c>
      <c r="I59" s="175" t="e">
        <f aca="false">G59-H59</f>
        <v>#VALUE!</v>
      </c>
    </row>
    <row r="60" customFormat="false" ht="12.75" hidden="false" customHeight="true" outlineLevel="0" collapsed="false">
      <c r="A60" s="2"/>
      <c r="B60" s="159"/>
      <c r="C60" s="190" t="n">
        <v>609</v>
      </c>
      <c r="D60" s="191" t="n">
        <v>900</v>
      </c>
      <c r="E60" s="192" t="n">
        <v>0</v>
      </c>
      <c r="F60" s="193" t="n">
        <v>154.8</v>
      </c>
      <c r="G60" s="176"/>
      <c r="H60" s="174" t="e">
        <f aca="false">VLOOKUP(C60,#REF!,5,FALSE())</f>
        <v>#VALUE!</v>
      </c>
      <c r="I60" s="175" t="e">
        <f aca="false">G60-H60</f>
        <v>#VALUE!</v>
      </c>
    </row>
    <row r="61" customFormat="false" ht="12.75" hidden="false" customHeight="true" outlineLevel="0" collapsed="false">
      <c r="A61" s="2"/>
      <c r="B61" s="159"/>
      <c r="C61" s="190" t="n">
        <v>610</v>
      </c>
      <c r="D61" s="191" t="n">
        <v>1100</v>
      </c>
      <c r="E61" s="192" t="n">
        <v>0</v>
      </c>
      <c r="F61" s="193" t="n">
        <v>109.15</v>
      </c>
      <c r="G61" s="176"/>
      <c r="H61" s="174" t="e">
        <f aca="false">VLOOKUP(C61,#REF!,5,FALSE())</f>
        <v>#VALUE!</v>
      </c>
      <c r="I61" s="175" t="e">
        <f aca="false">G61-H61</f>
        <v>#VALUE!</v>
      </c>
    </row>
    <row r="62" customFormat="false" ht="12.75" hidden="false" customHeight="true" outlineLevel="0" collapsed="false">
      <c r="A62" s="2"/>
      <c r="B62" s="159"/>
      <c r="C62" s="190" t="n">
        <v>611</v>
      </c>
      <c r="D62" s="191" t="n">
        <v>1500</v>
      </c>
      <c r="E62" s="192" t="n">
        <v>0</v>
      </c>
      <c r="F62" s="193" t="n">
        <v>85.27</v>
      </c>
      <c r="G62" s="176"/>
      <c r="H62" s="174" t="e">
        <f aca="false">VLOOKUP(C62,#REF!,5,FALSE())</f>
        <v>#VALUE!</v>
      </c>
      <c r="I62" s="175" t="e">
        <f aca="false">G62-H62</f>
        <v>#VALUE!</v>
      </c>
    </row>
    <row r="63" customFormat="false" ht="12.75" hidden="false" customHeight="true" outlineLevel="0" collapsed="false">
      <c r="A63" s="2"/>
      <c r="B63" s="159"/>
      <c r="C63" s="190" t="n">
        <v>612</v>
      </c>
      <c r="D63" s="191" t="n">
        <v>1700</v>
      </c>
      <c r="E63" s="192" t="n">
        <v>0</v>
      </c>
      <c r="F63" s="193" t="n">
        <v>76.43</v>
      </c>
      <c r="G63" s="176"/>
      <c r="H63" s="174" t="e">
        <f aca="false">VLOOKUP(C63,#REF!,5,FALSE())</f>
        <v>#VALUE!</v>
      </c>
      <c r="I63" s="175" t="e">
        <f aca="false">G63-H63</f>
        <v>#VALUE!</v>
      </c>
    </row>
    <row r="64" customFormat="false" ht="12.75" hidden="false" customHeight="true" outlineLevel="0" collapsed="false">
      <c r="A64" s="2"/>
      <c r="B64" s="159"/>
      <c r="C64" s="190" t="n">
        <v>613</v>
      </c>
      <c r="D64" s="191" t="n">
        <v>1900</v>
      </c>
      <c r="E64" s="192" t="n">
        <v>0</v>
      </c>
      <c r="F64" s="193" t="n">
        <v>67</v>
      </c>
      <c r="G64" s="176"/>
      <c r="H64" s="174" t="e">
        <f aca="false">VLOOKUP(C64,#REF!,5,FALSE())</f>
        <v>#VALUE!</v>
      </c>
      <c r="I64" s="175" t="e">
        <f aca="false">G64-H64</f>
        <v>#VALUE!</v>
      </c>
    </row>
    <row r="65" customFormat="false" ht="12.75" hidden="false" customHeight="true" outlineLevel="0" collapsed="false">
      <c r="A65" s="2"/>
      <c r="B65" s="159"/>
      <c r="C65" s="190" t="n">
        <v>614</v>
      </c>
      <c r="D65" s="191" t="n">
        <v>2500</v>
      </c>
      <c r="E65" s="192" t="n">
        <v>0</v>
      </c>
      <c r="F65" s="193" t="n">
        <v>-82.77</v>
      </c>
      <c r="G65" s="176"/>
      <c r="H65" s="174" t="e">
        <f aca="false">VLOOKUP(C65,#REF!,5,FALSE())</f>
        <v>#VALUE!</v>
      </c>
      <c r="I65" s="175" t="e">
        <f aca="false">G65-H65</f>
        <v>#VALUE!</v>
      </c>
    </row>
    <row r="66" customFormat="false" ht="12.75" hidden="false" customHeight="true" outlineLevel="0" collapsed="false">
      <c r="A66" s="2"/>
      <c r="B66" s="159"/>
      <c r="C66" s="190" t="n">
        <v>615</v>
      </c>
      <c r="D66" s="191" t="n">
        <v>2700</v>
      </c>
      <c r="E66" s="192" t="n">
        <v>0</v>
      </c>
      <c r="F66" s="193" t="n">
        <v>-123.43</v>
      </c>
      <c r="G66" s="176"/>
      <c r="H66" s="174" t="e">
        <f aca="false">VLOOKUP(C66,#REF!,5,FALSE())</f>
        <v>#VALUE!</v>
      </c>
      <c r="I66" s="175" t="e">
        <f aca="false">G66-H66</f>
        <v>#VALUE!</v>
      </c>
    </row>
    <row r="67" customFormat="false" ht="12.75" hidden="false" customHeight="true" outlineLevel="0" collapsed="false">
      <c r="A67" s="2"/>
      <c r="B67" s="159"/>
      <c r="C67" s="190" t="n">
        <v>616</v>
      </c>
      <c r="D67" s="191" t="n">
        <v>2900</v>
      </c>
      <c r="E67" s="192" t="n">
        <v>0</v>
      </c>
      <c r="F67" s="193" t="n">
        <v>-118.44</v>
      </c>
      <c r="G67" s="176"/>
      <c r="H67" s="174" t="e">
        <f aca="false">VLOOKUP(C67,#REF!,5,FALSE())</f>
        <v>#VALUE!</v>
      </c>
      <c r="I67" s="175" t="e">
        <f aca="false">G67-H67</f>
        <v>#VALUE!</v>
      </c>
    </row>
    <row r="68" customFormat="false" ht="12.75" hidden="false" customHeight="true" outlineLevel="0" collapsed="false">
      <c r="A68" s="2"/>
      <c r="B68" s="159"/>
      <c r="C68" s="190" t="n">
        <v>617</v>
      </c>
      <c r="D68" s="191" t="n">
        <v>3100</v>
      </c>
      <c r="E68" s="192" t="n">
        <v>0</v>
      </c>
      <c r="F68" s="193" t="n">
        <v>-104.17</v>
      </c>
      <c r="G68" s="176"/>
      <c r="H68" s="174" t="e">
        <f aca="false">VLOOKUP(C68,#REF!,5,FALSE())</f>
        <v>#VALUE!</v>
      </c>
      <c r="I68" s="175" t="e">
        <f aca="false">G68-H68</f>
        <v>#VALUE!</v>
      </c>
    </row>
    <row r="69" customFormat="false" ht="12.75" hidden="false" customHeight="true" outlineLevel="0" collapsed="false">
      <c r="A69" s="2"/>
      <c r="B69" s="159"/>
      <c r="C69" s="190" t="n">
        <v>618</v>
      </c>
      <c r="D69" s="191" t="n">
        <v>3300</v>
      </c>
      <c r="E69" s="192" t="n">
        <v>0</v>
      </c>
      <c r="F69" s="193" t="n">
        <v>-89.08</v>
      </c>
      <c r="G69" s="176"/>
      <c r="H69" s="174" t="e">
        <f aca="false">VLOOKUP(C69,#REF!,5,FALSE())</f>
        <v>#VALUE!</v>
      </c>
      <c r="I69" s="175" t="e">
        <f aca="false">G69-H69</f>
        <v>#VALUE!</v>
      </c>
    </row>
    <row r="70" customFormat="false" ht="12.75" hidden="false" customHeight="true" outlineLevel="0" collapsed="false">
      <c r="A70" s="2"/>
      <c r="B70" s="159"/>
      <c r="C70" s="190" t="n">
        <v>619</v>
      </c>
      <c r="D70" s="191" t="n">
        <v>3500</v>
      </c>
      <c r="E70" s="192" t="n">
        <v>0</v>
      </c>
      <c r="F70" s="193" t="n">
        <v>-68.5</v>
      </c>
      <c r="G70" s="176"/>
      <c r="H70" s="174" t="e">
        <f aca="false">VLOOKUP(C70,#REF!,5,FALSE())</f>
        <v>#VALUE!</v>
      </c>
      <c r="I70" s="175" t="e">
        <f aca="false">G70-H70</f>
        <v>#VALUE!</v>
      </c>
    </row>
    <row r="71" customFormat="false" ht="12.75" hidden="false" customHeight="true" outlineLevel="0" collapsed="false">
      <c r="A71" s="2"/>
      <c r="B71" s="159"/>
      <c r="C71" s="194" t="n">
        <v>620</v>
      </c>
      <c r="D71" s="195" t="n">
        <v>3700</v>
      </c>
      <c r="E71" s="196" t="n">
        <v>0</v>
      </c>
      <c r="F71" s="197" t="n">
        <v>-31.07</v>
      </c>
      <c r="G71" s="221"/>
      <c r="H71" s="199" t="e">
        <f aca="false">VLOOKUP(C71,#REF!,5,FALSE())</f>
        <v>#VALUE!</v>
      </c>
      <c r="I71" s="200" t="e">
        <f aca="false">G71-H71</f>
        <v>#VALUE!</v>
      </c>
    </row>
    <row r="72" customFormat="false" ht="12.75" hidden="false" customHeight="true" outlineLevel="0" collapsed="false">
      <c r="A72" s="2"/>
      <c r="B72" s="201" t="s">
        <v>181</v>
      </c>
      <c r="C72" s="202" t="n">
        <v>24</v>
      </c>
      <c r="D72" s="203" t="n">
        <v>-793.1</v>
      </c>
      <c r="E72" s="204" t="n">
        <v>-200</v>
      </c>
      <c r="F72" s="205" t="n">
        <v>150</v>
      </c>
      <c r="G72" s="167"/>
      <c r="H72" s="165" t="e">
        <f aca="false">VLOOKUP(C72,#REF!,5,FALSE())</f>
        <v>#VALUE!</v>
      </c>
      <c r="I72" s="166" t="e">
        <f aca="false">G72-H72</f>
        <v>#VALUE!</v>
      </c>
    </row>
    <row r="73" customFormat="false" ht="12.75" hidden="false" customHeight="true" outlineLevel="0" collapsed="false">
      <c r="A73" s="2"/>
      <c r="B73" s="201"/>
      <c r="C73" s="190" t="n">
        <v>25</v>
      </c>
      <c r="D73" s="191" t="n">
        <v>-758.35</v>
      </c>
      <c r="E73" s="192" t="n">
        <v>-400</v>
      </c>
      <c r="F73" s="193" t="n">
        <v>150</v>
      </c>
      <c r="G73" s="176"/>
      <c r="H73" s="174" t="e">
        <f aca="false">VLOOKUP(C73,#REF!,5,FALSE())</f>
        <v>#VALUE!</v>
      </c>
      <c r="I73" s="175" t="e">
        <f aca="false">G73-H73</f>
        <v>#VALUE!</v>
      </c>
    </row>
    <row r="74" customFormat="false" ht="12.75" hidden="false" customHeight="true" outlineLevel="0" collapsed="false">
      <c r="A74" s="2"/>
      <c r="B74" s="201"/>
      <c r="C74" s="190" t="n">
        <v>26</v>
      </c>
      <c r="D74" s="191" t="n">
        <v>-671.63</v>
      </c>
      <c r="E74" s="192" t="n">
        <v>-600</v>
      </c>
      <c r="F74" s="193" t="n">
        <v>150</v>
      </c>
      <c r="G74" s="176"/>
      <c r="H74" s="174" t="e">
        <f aca="false">VLOOKUP(C74,#REF!,5,FALSE())</f>
        <v>#VALUE!</v>
      </c>
      <c r="I74" s="175" t="e">
        <f aca="false">G74-H74</f>
        <v>#VALUE!</v>
      </c>
    </row>
    <row r="75" customFormat="false" ht="12.75" hidden="false" customHeight="true" outlineLevel="0" collapsed="false">
      <c r="A75" s="2"/>
      <c r="B75" s="201"/>
      <c r="C75" s="190" t="n">
        <v>202</v>
      </c>
      <c r="D75" s="191" t="n">
        <v>-592</v>
      </c>
      <c r="E75" s="192" t="n">
        <v>-730.5</v>
      </c>
      <c r="F75" s="193" t="n">
        <v>150</v>
      </c>
      <c r="G75" s="176"/>
      <c r="H75" s="174" t="e">
        <f aca="false">VLOOKUP(C75,#REF!,5,FALSE())</f>
        <v>#VALUE!</v>
      </c>
      <c r="I75" s="175" t="e">
        <f aca="false">G75-H75</f>
        <v>#VALUE!</v>
      </c>
    </row>
    <row r="76" customFormat="false" ht="12.75" hidden="false" customHeight="true" outlineLevel="0" collapsed="false">
      <c r="A76" s="2"/>
      <c r="B76" s="201"/>
      <c r="C76" s="190" t="n">
        <v>27</v>
      </c>
      <c r="D76" s="191" t="n">
        <v>-526.25</v>
      </c>
      <c r="E76" s="192" t="n">
        <v>-800</v>
      </c>
      <c r="F76" s="193" t="n">
        <v>150</v>
      </c>
      <c r="G76" s="176"/>
      <c r="H76" s="174" t="e">
        <f aca="false">VLOOKUP(C76,#REF!,5,FALSE())</f>
        <v>#VALUE!</v>
      </c>
      <c r="I76" s="175" t="e">
        <f aca="false">G76-H76</f>
        <v>#VALUE!</v>
      </c>
    </row>
    <row r="77" customFormat="false" ht="12.75" hidden="false" customHeight="true" outlineLevel="0" collapsed="false">
      <c r="A77" s="2"/>
      <c r="B77" s="201"/>
      <c r="C77" s="190" t="n">
        <v>196</v>
      </c>
      <c r="D77" s="191" t="n">
        <v>-453</v>
      </c>
      <c r="E77" s="192" t="n">
        <v>-843.4</v>
      </c>
      <c r="F77" s="193" t="n">
        <v>150</v>
      </c>
      <c r="G77" s="176"/>
      <c r="H77" s="174" t="e">
        <f aca="false">VLOOKUP(C77,#REF!,5,FALSE())</f>
        <v>#VALUE!</v>
      </c>
      <c r="I77" s="175" t="e">
        <f aca="false">G77-H77</f>
        <v>#VALUE!</v>
      </c>
    </row>
    <row r="78" customFormat="false" ht="12.75" hidden="false" customHeight="true" outlineLevel="0" collapsed="false">
      <c r="A78" s="2"/>
      <c r="B78" s="201"/>
      <c r="C78" s="190" t="n">
        <v>203</v>
      </c>
      <c r="D78" s="191" t="n">
        <v>-394</v>
      </c>
      <c r="E78" s="192" t="n">
        <v>-859.9</v>
      </c>
      <c r="F78" s="193" t="n">
        <v>150</v>
      </c>
      <c r="G78" s="176"/>
      <c r="H78" s="174" t="e">
        <f aca="false">VLOOKUP(C78,#REF!,5,FALSE())</f>
        <v>#VALUE!</v>
      </c>
      <c r="I78" s="175" t="e">
        <f aca="false">G78-H78</f>
        <v>#VALUE!</v>
      </c>
    </row>
    <row r="79" customFormat="false" ht="12.75" hidden="false" customHeight="true" outlineLevel="0" collapsed="false">
      <c r="A79" s="2"/>
      <c r="B79" s="201"/>
      <c r="C79" s="190" t="n">
        <v>197</v>
      </c>
      <c r="D79" s="191" t="n">
        <v>375</v>
      </c>
      <c r="E79" s="192" t="n">
        <v>-887.8</v>
      </c>
      <c r="F79" s="193" t="n">
        <v>150</v>
      </c>
      <c r="G79" s="176"/>
      <c r="H79" s="174" t="e">
        <f aca="false">VLOOKUP(C79,#REF!,5,FALSE())</f>
        <v>#VALUE!</v>
      </c>
      <c r="I79" s="175" t="e">
        <f aca="false">G79-H79</f>
        <v>#VALUE!</v>
      </c>
    </row>
    <row r="80" customFormat="false" ht="12.75" hidden="false" customHeight="true" outlineLevel="0" collapsed="false">
      <c r="A80" s="2"/>
      <c r="B80" s="201"/>
      <c r="C80" s="190" t="n">
        <v>28</v>
      </c>
      <c r="D80" s="191" t="n">
        <v>500</v>
      </c>
      <c r="E80" s="192" t="n">
        <v>-880.55</v>
      </c>
      <c r="F80" s="193" t="n">
        <v>150</v>
      </c>
      <c r="G80" s="176"/>
      <c r="H80" s="174" t="e">
        <f aca="false">VLOOKUP(C80,#REF!,5,FALSE())</f>
        <v>#VALUE!</v>
      </c>
      <c r="I80" s="175" t="e">
        <f aca="false">G80-H80</f>
        <v>#VALUE!</v>
      </c>
    </row>
    <row r="81" customFormat="false" ht="12.75" hidden="false" customHeight="true" outlineLevel="0" collapsed="false">
      <c r="A81" s="2"/>
      <c r="B81" s="201"/>
      <c r="C81" s="190" t="n">
        <v>29</v>
      </c>
      <c r="D81" s="191" t="n">
        <v>700</v>
      </c>
      <c r="E81" s="192" t="n">
        <v>-883.25</v>
      </c>
      <c r="F81" s="193" t="n">
        <v>150</v>
      </c>
      <c r="G81" s="176"/>
      <c r="H81" s="174" t="e">
        <f aca="false">VLOOKUP(C81,#REF!,5,FALSE())</f>
        <v>#VALUE!</v>
      </c>
      <c r="I81" s="175" t="e">
        <f aca="false">G81-H81</f>
        <v>#VALUE!</v>
      </c>
    </row>
    <row r="82" customFormat="false" ht="12.75" hidden="false" customHeight="true" outlineLevel="0" collapsed="false">
      <c r="A82" s="2"/>
      <c r="B82" s="201"/>
      <c r="C82" s="190" t="n">
        <v>30</v>
      </c>
      <c r="D82" s="191" t="n">
        <v>900</v>
      </c>
      <c r="E82" s="192" t="n">
        <v>-889.2</v>
      </c>
      <c r="F82" s="193" t="n">
        <v>150</v>
      </c>
      <c r="G82" s="176"/>
      <c r="H82" s="174" t="e">
        <f aca="false">VLOOKUP(C82,#REF!,5,FALSE())</f>
        <v>#VALUE!</v>
      </c>
      <c r="I82" s="175" t="e">
        <f aca="false">G82-H82</f>
        <v>#VALUE!</v>
      </c>
    </row>
    <row r="83" customFormat="false" ht="12.75" hidden="false" customHeight="true" outlineLevel="0" collapsed="false">
      <c r="A83" s="2"/>
      <c r="B83" s="201"/>
      <c r="C83" s="190" t="n">
        <v>31</v>
      </c>
      <c r="D83" s="191" t="n">
        <v>1100</v>
      </c>
      <c r="E83" s="192" t="n">
        <v>-893.23</v>
      </c>
      <c r="F83" s="193" t="n">
        <v>150</v>
      </c>
      <c r="G83" s="176"/>
      <c r="H83" s="174" t="e">
        <f aca="false">VLOOKUP(C83,#REF!,5,FALSE())</f>
        <v>#VALUE!</v>
      </c>
      <c r="I83" s="175" t="e">
        <f aca="false">G83-H83</f>
        <v>#VALUE!</v>
      </c>
    </row>
    <row r="84" customFormat="false" ht="12.75" hidden="false" customHeight="true" outlineLevel="0" collapsed="false">
      <c r="A84" s="2"/>
      <c r="B84" s="201"/>
      <c r="C84" s="190" t="n">
        <v>32</v>
      </c>
      <c r="D84" s="191" t="n">
        <v>1300</v>
      </c>
      <c r="E84" s="192" t="n">
        <v>-895.28</v>
      </c>
      <c r="F84" s="193" t="n">
        <v>150</v>
      </c>
      <c r="G84" s="176"/>
      <c r="H84" s="174" t="e">
        <f aca="false">VLOOKUP(C84,#REF!,5,FALSE())</f>
        <v>#VALUE!</v>
      </c>
      <c r="I84" s="175" t="e">
        <f aca="false">G84-H84</f>
        <v>#VALUE!</v>
      </c>
    </row>
    <row r="85" customFormat="false" ht="12.75" hidden="false" customHeight="true" outlineLevel="0" collapsed="false">
      <c r="A85" s="2"/>
      <c r="B85" s="201"/>
      <c r="C85" s="190" t="n">
        <v>33</v>
      </c>
      <c r="D85" s="191" t="n">
        <v>1500</v>
      </c>
      <c r="E85" s="192" t="n">
        <v>-895.4</v>
      </c>
      <c r="F85" s="193" t="n">
        <v>150</v>
      </c>
      <c r="G85" s="176"/>
      <c r="H85" s="174" t="e">
        <f aca="false">VLOOKUP(C85,#REF!,5,FALSE())</f>
        <v>#VALUE!</v>
      </c>
      <c r="I85" s="175" t="e">
        <f aca="false">G85-H85</f>
        <v>#VALUE!</v>
      </c>
    </row>
    <row r="86" customFormat="false" ht="12.75" hidden="false" customHeight="true" outlineLevel="0" collapsed="false">
      <c r="A86" s="2"/>
      <c r="B86" s="201"/>
      <c r="C86" s="190" t="n">
        <v>34</v>
      </c>
      <c r="D86" s="191" t="n">
        <v>1700</v>
      </c>
      <c r="E86" s="192" t="n">
        <v>-893.55</v>
      </c>
      <c r="F86" s="193" t="n">
        <v>150</v>
      </c>
      <c r="G86" s="176"/>
      <c r="H86" s="174" t="e">
        <f aca="false">VLOOKUP(C86,#REF!,5,FALSE())</f>
        <v>#VALUE!</v>
      </c>
      <c r="I86" s="175" t="e">
        <f aca="false">G86-H86</f>
        <v>#VALUE!</v>
      </c>
    </row>
    <row r="87" customFormat="false" ht="12.75" hidden="false" customHeight="true" outlineLevel="0" collapsed="false">
      <c r="A87" s="2"/>
      <c r="B87" s="201"/>
      <c r="C87" s="190" t="n">
        <v>35</v>
      </c>
      <c r="D87" s="191" t="n">
        <v>1900</v>
      </c>
      <c r="E87" s="192" t="n">
        <v>-889.7</v>
      </c>
      <c r="F87" s="193" t="n">
        <v>150</v>
      </c>
      <c r="G87" s="176"/>
      <c r="H87" s="174" t="e">
        <f aca="false">VLOOKUP(C87,#REF!,5,FALSE())</f>
        <v>#VALUE!</v>
      </c>
      <c r="I87" s="175" t="e">
        <f aca="false">G87-H87</f>
        <v>#VALUE!</v>
      </c>
    </row>
    <row r="88" customFormat="false" ht="12.75" hidden="false" customHeight="true" outlineLevel="0" collapsed="false">
      <c r="A88" s="2"/>
      <c r="B88" s="201"/>
      <c r="C88" s="190" t="n">
        <v>36</v>
      </c>
      <c r="D88" s="191" t="n">
        <v>2100</v>
      </c>
      <c r="E88" s="192" t="n">
        <v>-883.78</v>
      </c>
      <c r="F88" s="193" t="n">
        <v>150</v>
      </c>
      <c r="G88" s="176"/>
      <c r="H88" s="174" t="e">
        <f aca="false">VLOOKUP(C88,#REF!,5,FALSE())</f>
        <v>#VALUE!</v>
      </c>
      <c r="I88" s="175" t="e">
        <f aca="false">G88-H88</f>
        <v>#VALUE!</v>
      </c>
    </row>
    <row r="89" customFormat="false" ht="12.75" hidden="false" customHeight="true" outlineLevel="0" collapsed="false">
      <c r="A89" s="2"/>
      <c r="B89" s="201"/>
      <c r="C89" s="190" t="n">
        <v>37</v>
      </c>
      <c r="D89" s="191" t="n">
        <v>2300</v>
      </c>
      <c r="E89" s="192" t="n">
        <v>-883.98</v>
      </c>
      <c r="F89" s="193" t="n">
        <v>150</v>
      </c>
      <c r="G89" s="176"/>
      <c r="H89" s="174" t="e">
        <f aca="false">VLOOKUP(C89,#REF!,5,FALSE())</f>
        <v>#VALUE!</v>
      </c>
      <c r="I89" s="175" t="e">
        <f aca="false">G89-H89</f>
        <v>#VALUE!</v>
      </c>
    </row>
    <row r="90" customFormat="false" ht="12.75" hidden="false" customHeight="true" outlineLevel="0" collapsed="false">
      <c r="A90" s="2"/>
      <c r="B90" s="201"/>
      <c r="C90" s="190" t="n">
        <v>204</v>
      </c>
      <c r="D90" s="191" t="n">
        <v>2400</v>
      </c>
      <c r="E90" s="192" t="n">
        <v>-888.9</v>
      </c>
      <c r="F90" s="193" t="n">
        <v>150</v>
      </c>
      <c r="G90" s="176"/>
      <c r="H90" s="174" t="e">
        <f aca="false">VLOOKUP(C90,#REF!,5,FALSE())</f>
        <v>#VALUE!</v>
      </c>
      <c r="I90" s="175" t="e">
        <f aca="false">G90-H90</f>
        <v>#VALUE!</v>
      </c>
    </row>
    <row r="91" customFormat="false" ht="12.75" hidden="false" customHeight="true" outlineLevel="0" collapsed="false">
      <c r="A91" s="2"/>
      <c r="B91" s="201"/>
      <c r="C91" s="190" t="n">
        <v>205</v>
      </c>
      <c r="D91" s="191" t="n">
        <v>3208</v>
      </c>
      <c r="E91" s="192" t="n">
        <v>-855.5</v>
      </c>
      <c r="F91" s="193" t="n">
        <v>150</v>
      </c>
      <c r="G91" s="176"/>
      <c r="H91" s="174" t="e">
        <f aca="false">VLOOKUP(C91,#REF!,5,FALSE())</f>
        <v>#VALUE!</v>
      </c>
      <c r="I91" s="175" t="e">
        <f aca="false">G91-H91</f>
        <v>#VALUE!</v>
      </c>
    </row>
    <row r="92" customFormat="false" ht="12.75" hidden="false" customHeight="true" outlineLevel="0" collapsed="false">
      <c r="A92" s="2"/>
      <c r="B92" s="201"/>
      <c r="C92" s="190" t="n">
        <v>38</v>
      </c>
      <c r="D92" s="191" t="n">
        <v>3300</v>
      </c>
      <c r="E92" s="192" t="n">
        <v>-830.78</v>
      </c>
      <c r="F92" s="193" t="n">
        <v>150</v>
      </c>
      <c r="G92" s="176"/>
      <c r="H92" s="174" t="e">
        <f aca="false">VLOOKUP(C92,#REF!,5,FALSE())</f>
        <v>#VALUE!</v>
      </c>
      <c r="I92" s="175" t="e">
        <f aca="false">G92-H92</f>
        <v>#VALUE!</v>
      </c>
    </row>
    <row r="93" customFormat="false" ht="12.75" hidden="false" customHeight="true" outlineLevel="0" collapsed="false">
      <c r="A93" s="2"/>
      <c r="B93" s="201"/>
      <c r="C93" s="190" t="n">
        <v>39</v>
      </c>
      <c r="D93" s="191" t="n">
        <v>3500</v>
      </c>
      <c r="E93" s="192" t="n">
        <v>-777.73</v>
      </c>
      <c r="F93" s="193" t="n">
        <v>150</v>
      </c>
      <c r="G93" s="176"/>
      <c r="H93" s="174" t="e">
        <f aca="false">VLOOKUP(C93,#REF!,5,FALSE())</f>
        <v>#VALUE!</v>
      </c>
      <c r="I93" s="175" t="e">
        <f aca="false">G93-H93</f>
        <v>#VALUE!</v>
      </c>
    </row>
    <row r="94" customFormat="false" ht="12.75" hidden="false" customHeight="true" outlineLevel="0" collapsed="false">
      <c r="A94" s="2"/>
      <c r="B94" s="201"/>
      <c r="C94" s="190" t="n">
        <v>198</v>
      </c>
      <c r="D94" s="191" t="n">
        <v>3588</v>
      </c>
      <c r="E94" s="192" t="n">
        <v>-748</v>
      </c>
      <c r="F94" s="193" t="n">
        <v>150</v>
      </c>
      <c r="G94" s="176"/>
      <c r="H94" s="174" t="e">
        <f aca="false">VLOOKUP(C94,#REF!,5,FALSE())</f>
        <v>#VALUE!</v>
      </c>
      <c r="I94" s="175" t="e">
        <f aca="false">G94-H94</f>
        <v>#VALUE!</v>
      </c>
    </row>
    <row r="95" customFormat="false" ht="12.75" hidden="false" customHeight="true" outlineLevel="0" collapsed="false">
      <c r="A95" s="2"/>
      <c r="B95" s="201"/>
      <c r="C95" s="190" t="n">
        <v>40</v>
      </c>
      <c r="D95" s="191" t="n">
        <v>3656.8</v>
      </c>
      <c r="E95" s="192" t="n">
        <v>-700</v>
      </c>
      <c r="F95" s="193" t="n">
        <v>150</v>
      </c>
      <c r="G95" s="176"/>
      <c r="H95" s="174" t="e">
        <f aca="false">VLOOKUP(C95,#REF!,5,FALSE())</f>
        <v>#VALUE!</v>
      </c>
      <c r="I95" s="175" t="e">
        <f aca="false">G95-H95</f>
        <v>#VALUE!</v>
      </c>
    </row>
    <row r="96" customFormat="false" ht="12.75" hidden="false" customHeight="true" outlineLevel="0" collapsed="false">
      <c r="A96" s="2"/>
      <c r="B96" s="201"/>
      <c r="C96" s="190" t="n">
        <v>41</v>
      </c>
      <c r="D96" s="191" t="n">
        <v>3712.5</v>
      </c>
      <c r="E96" s="192" t="n">
        <v>-600</v>
      </c>
      <c r="F96" s="193" t="n">
        <v>150</v>
      </c>
      <c r="G96" s="176"/>
      <c r="H96" s="174" t="e">
        <f aca="false">VLOOKUP(C96,#REF!,5,FALSE())</f>
        <v>#VALUE!</v>
      </c>
      <c r="I96" s="175" t="e">
        <f aca="false">G96-H96</f>
        <v>#VALUE!</v>
      </c>
    </row>
    <row r="97" customFormat="false" ht="12.75" hidden="false" customHeight="true" outlineLevel="0" collapsed="false">
      <c r="A97" s="2"/>
      <c r="B97" s="201"/>
      <c r="C97" s="190" t="n">
        <v>42</v>
      </c>
      <c r="D97" s="191" t="n">
        <v>3765.4</v>
      </c>
      <c r="E97" s="192" t="n">
        <v>-400</v>
      </c>
      <c r="F97" s="193" t="n">
        <v>150</v>
      </c>
      <c r="G97" s="176"/>
      <c r="H97" s="174" t="e">
        <f aca="false">VLOOKUP(C97,#REF!,5,FALSE())</f>
        <v>#VALUE!</v>
      </c>
      <c r="I97" s="175" t="e">
        <f aca="false">G97-H97</f>
        <v>#VALUE!</v>
      </c>
    </row>
    <row r="98" customFormat="false" ht="12.75" hidden="false" customHeight="true" outlineLevel="0" collapsed="false">
      <c r="A98" s="2"/>
      <c r="B98" s="201"/>
      <c r="C98" s="194" t="n">
        <v>43</v>
      </c>
      <c r="D98" s="195" t="n">
        <v>3791.3</v>
      </c>
      <c r="E98" s="196" t="n">
        <v>-200</v>
      </c>
      <c r="F98" s="197" t="n">
        <v>150</v>
      </c>
      <c r="G98" s="222"/>
      <c r="H98" s="223" t="e">
        <f aca="false">VLOOKUP(C98,#REF!,5,FALSE())</f>
        <v>#VALUE!</v>
      </c>
      <c r="I98" s="224" t="e">
        <f aca="false">G98-H98</f>
        <v>#VALUE!</v>
      </c>
    </row>
    <row r="99" customFormat="false" ht="12.75" hidden="false" customHeight="true" outlineLevel="0" collapsed="false">
      <c r="A99" s="2"/>
      <c r="B99" s="207" t="s">
        <v>182</v>
      </c>
      <c r="C99" s="202" t="n">
        <v>551</v>
      </c>
      <c r="D99" s="203" t="n">
        <v>-343.04</v>
      </c>
      <c r="E99" s="204" t="n">
        <v>-600</v>
      </c>
      <c r="F99" s="205" t="n">
        <v>-115</v>
      </c>
      <c r="G99" s="218"/>
      <c r="H99" s="185" t="e">
        <f aca="false">VLOOKUP(C99,#REF!,5,FALSE())</f>
        <v>#VALUE!</v>
      </c>
      <c r="I99" s="206" t="e">
        <f aca="false">G99-H99</f>
        <v>#VALUE!</v>
      </c>
    </row>
    <row r="100" customFormat="false" ht="12.75" hidden="false" customHeight="true" outlineLevel="0" collapsed="false">
      <c r="A100" s="2"/>
      <c r="B100" s="207"/>
      <c r="C100" s="190" t="n">
        <v>567</v>
      </c>
      <c r="D100" s="191" t="n">
        <v>-339.45</v>
      </c>
      <c r="E100" s="192" t="n">
        <v>-600</v>
      </c>
      <c r="F100" s="193" t="n">
        <v>30.23</v>
      </c>
      <c r="G100" s="176"/>
      <c r="H100" s="174" t="e">
        <f aca="false">VLOOKUP(C100,#REF!,5,FALSE())</f>
        <v>#VALUE!</v>
      </c>
      <c r="I100" s="175" t="e">
        <f aca="false">G100-H100</f>
        <v>#VALUE!</v>
      </c>
    </row>
    <row r="101" customFormat="false" ht="12.75" hidden="false" customHeight="true" outlineLevel="0" collapsed="false">
      <c r="A101" s="2"/>
      <c r="B101" s="207"/>
      <c r="C101" s="190" t="n">
        <v>568</v>
      </c>
      <c r="D101" s="191" t="n">
        <v>-318.19</v>
      </c>
      <c r="E101" s="192" t="n">
        <v>-600</v>
      </c>
      <c r="F101" s="193" t="n">
        <v>173.58</v>
      </c>
      <c r="G101" s="176"/>
      <c r="H101" s="174" t="e">
        <f aca="false">VLOOKUP(C101,#REF!,5,FALSE())</f>
        <v>#VALUE!</v>
      </c>
      <c r="I101" s="175" t="e">
        <f aca="false">G101-H101</f>
        <v>#VALUE!</v>
      </c>
    </row>
    <row r="102" customFormat="false" ht="12.75" hidden="false" customHeight="true" outlineLevel="0" collapsed="false">
      <c r="A102" s="2"/>
      <c r="B102" s="207"/>
      <c r="C102" s="190" t="n">
        <v>569</v>
      </c>
      <c r="D102" s="191" t="n">
        <v>-245.15</v>
      </c>
      <c r="E102" s="192" t="n">
        <v>-600</v>
      </c>
      <c r="F102" s="193" t="n">
        <v>298.08</v>
      </c>
      <c r="G102" s="176"/>
      <c r="H102" s="174" t="e">
        <f aca="false">VLOOKUP(C102,#REF!,5,FALSE())</f>
        <v>#VALUE!</v>
      </c>
      <c r="I102" s="175" t="e">
        <f aca="false">G102-H102</f>
        <v>#VALUE!</v>
      </c>
    </row>
    <row r="103" customFormat="false" ht="12.75" hidden="false" customHeight="true" outlineLevel="0" collapsed="false">
      <c r="A103" s="2"/>
      <c r="B103" s="207"/>
      <c r="C103" s="190" t="n">
        <v>570</v>
      </c>
      <c r="D103" s="191" t="n">
        <v>-127.79</v>
      </c>
      <c r="E103" s="192" t="n">
        <v>-600</v>
      </c>
      <c r="F103" s="193" t="n">
        <v>381.66</v>
      </c>
      <c r="G103" s="176"/>
      <c r="H103" s="174" t="e">
        <f aca="false">VLOOKUP(C103,#REF!,5,FALSE())</f>
        <v>#VALUE!</v>
      </c>
      <c r="I103" s="175" t="e">
        <f aca="false">G103-H103</f>
        <v>#VALUE!</v>
      </c>
    </row>
    <row r="104" customFormat="false" ht="12.75" hidden="false" customHeight="true" outlineLevel="0" collapsed="false">
      <c r="A104" s="2"/>
      <c r="B104" s="207"/>
      <c r="C104" s="190" t="n">
        <v>571</v>
      </c>
      <c r="D104" s="191" t="n">
        <v>13.6</v>
      </c>
      <c r="E104" s="192" t="n">
        <v>-600</v>
      </c>
      <c r="F104" s="193" t="n">
        <v>409.76</v>
      </c>
      <c r="G104" s="176"/>
      <c r="H104" s="174" t="e">
        <f aca="false">VLOOKUP(C104,#REF!,5,FALSE())</f>
        <v>#VALUE!</v>
      </c>
      <c r="I104" s="175" t="e">
        <f aca="false">G104-H104</f>
        <v>#VALUE!</v>
      </c>
    </row>
    <row r="105" customFormat="false" ht="12.75" hidden="false" customHeight="true" outlineLevel="0" collapsed="false">
      <c r="A105" s="2"/>
      <c r="B105" s="207"/>
      <c r="C105" s="190" t="n">
        <v>572</v>
      </c>
      <c r="D105" s="191" t="n">
        <v>154.19</v>
      </c>
      <c r="E105" s="192" t="n">
        <v>-600</v>
      </c>
      <c r="F105" s="193" t="n">
        <v>378.11</v>
      </c>
      <c r="G105" s="176"/>
      <c r="H105" s="174" t="e">
        <f aca="false">VLOOKUP(C105,#REF!,5,FALSE())</f>
        <v>#VALUE!</v>
      </c>
      <c r="I105" s="175" t="e">
        <f aca="false">G105-H105</f>
        <v>#VALUE!</v>
      </c>
    </row>
    <row r="106" customFormat="false" ht="12.75" hidden="false" customHeight="true" outlineLevel="0" collapsed="false">
      <c r="A106" s="2"/>
      <c r="B106" s="207"/>
      <c r="C106" s="190" t="n">
        <v>573</v>
      </c>
      <c r="D106" s="191" t="n">
        <v>270.12</v>
      </c>
      <c r="E106" s="192" t="n">
        <v>-600</v>
      </c>
      <c r="F106" s="193" t="n">
        <v>291.95</v>
      </c>
      <c r="G106" s="176"/>
      <c r="H106" s="174" t="e">
        <f aca="false">VLOOKUP(C106,#REF!,5,FALSE())</f>
        <v>#VALUE!</v>
      </c>
      <c r="I106" s="175" t="e">
        <f aca="false">G106-H106</f>
        <v>#VALUE!</v>
      </c>
    </row>
    <row r="107" customFormat="false" ht="12.75" hidden="false" customHeight="true" outlineLevel="0" collapsed="false">
      <c r="A107" s="2"/>
      <c r="B107" s="207"/>
      <c r="C107" s="190" t="n">
        <v>574</v>
      </c>
      <c r="D107" s="191" t="n">
        <v>351.02</v>
      </c>
      <c r="E107" s="192" t="n">
        <v>-600</v>
      </c>
      <c r="F107" s="193" t="n">
        <v>171.73</v>
      </c>
      <c r="G107" s="176"/>
      <c r="H107" s="174" t="e">
        <f aca="false">VLOOKUP(C107,#REF!,5,FALSE())</f>
        <v>#VALUE!</v>
      </c>
      <c r="I107" s="175" t="e">
        <f aca="false">G107-H107</f>
        <v>#VALUE!</v>
      </c>
    </row>
    <row r="108" customFormat="false" ht="12.75" hidden="false" customHeight="true" outlineLevel="0" collapsed="false">
      <c r="A108" s="2"/>
      <c r="B108" s="207"/>
      <c r="C108" s="190" t="n">
        <v>575</v>
      </c>
      <c r="D108" s="191" t="n">
        <v>379.08</v>
      </c>
      <c r="E108" s="192" t="n">
        <v>-600</v>
      </c>
      <c r="F108" s="193" t="n">
        <v>30.12</v>
      </c>
      <c r="G108" s="176"/>
      <c r="H108" s="174" t="e">
        <f aca="false">VLOOKUP(C108,#REF!,5,FALSE())</f>
        <v>#VALUE!</v>
      </c>
      <c r="I108" s="175" t="e">
        <f aca="false">G108-H108</f>
        <v>#VALUE!</v>
      </c>
    </row>
    <row r="109" customFormat="false" ht="12.75" hidden="false" customHeight="true" outlineLevel="0" collapsed="false">
      <c r="A109" s="2"/>
      <c r="B109" s="207"/>
      <c r="C109" s="194" t="n">
        <v>556</v>
      </c>
      <c r="D109" s="195" t="n">
        <v>384.79</v>
      </c>
      <c r="E109" s="196" t="n">
        <v>-600</v>
      </c>
      <c r="F109" s="197" t="n">
        <v>-115</v>
      </c>
      <c r="G109" s="221"/>
      <c r="H109" s="199" t="e">
        <f aca="false">VLOOKUP(C109,#REF!,5,FALSE())</f>
        <v>#VALUE!</v>
      </c>
      <c r="I109" s="200" t="e">
        <f aca="false">G109-H109</f>
        <v>#VALUE!</v>
      </c>
    </row>
    <row r="110" customFormat="false" ht="12.75" hidden="false" customHeight="true" outlineLevel="0" collapsed="false">
      <c r="A110" s="2"/>
      <c r="B110" s="207" t="s">
        <v>183</v>
      </c>
      <c r="C110" s="202" t="n">
        <v>550</v>
      </c>
      <c r="D110" s="203" t="n">
        <v>-380.29</v>
      </c>
      <c r="E110" s="204" t="n">
        <v>-750</v>
      </c>
      <c r="F110" s="205" t="n">
        <v>-115</v>
      </c>
      <c r="G110" s="167"/>
      <c r="H110" s="165" t="e">
        <f aca="false">VLOOKUP(C110,#REF!,5,FALSE())</f>
        <v>#VALUE!</v>
      </c>
      <c r="I110" s="166" t="e">
        <f aca="false">G110-H110</f>
        <v>#VALUE!</v>
      </c>
    </row>
    <row r="111" customFormat="false" ht="12.75" hidden="false" customHeight="true" outlineLevel="0" collapsed="false">
      <c r="A111" s="2"/>
      <c r="B111" s="207"/>
      <c r="C111" s="190" t="n">
        <v>558</v>
      </c>
      <c r="D111" s="191" t="n">
        <v>-377.67</v>
      </c>
      <c r="E111" s="192" t="n">
        <v>-750</v>
      </c>
      <c r="F111" s="193" t="n">
        <v>43.15</v>
      </c>
      <c r="G111" s="176"/>
      <c r="H111" s="174" t="e">
        <f aca="false">VLOOKUP(C111,#REF!,5,FALSE())</f>
        <v>#VALUE!</v>
      </c>
      <c r="I111" s="175" t="e">
        <f aca="false">G111-H111</f>
        <v>#VALUE!</v>
      </c>
    </row>
    <row r="112" customFormat="false" ht="12.75" hidden="false" customHeight="true" outlineLevel="0" collapsed="false">
      <c r="A112" s="2"/>
      <c r="B112" s="207"/>
      <c r="C112" s="190" t="n">
        <v>559</v>
      </c>
      <c r="D112" s="191" t="n">
        <v>-356.53</v>
      </c>
      <c r="E112" s="192" t="n">
        <v>-750</v>
      </c>
      <c r="F112" s="193" t="n">
        <v>199</v>
      </c>
      <c r="G112" s="176"/>
      <c r="H112" s="174" t="e">
        <f aca="false">VLOOKUP(C112,#REF!,5,FALSE())</f>
        <v>#VALUE!</v>
      </c>
      <c r="I112" s="175" t="e">
        <f aca="false">G112-H112</f>
        <v>#VALUE!</v>
      </c>
    </row>
    <row r="113" customFormat="false" ht="12.75" hidden="false" customHeight="true" outlineLevel="0" collapsed="false">
      <c r="A113" s="2"/>
      <c r="B113" s="207"/>
      <c r="C113" s="190" t="n">
        <v>560</v>
      </c>
      <c r="D113" s="191" t="n">
        <v>-272.73</v>
      </c>
      <c r="E113" s="192" t="n">
        <v>-750</v>
      </c>
      <c r="F113" s="193" t="n">
        <v>331.81</v>
      </c>
      <c r="G113" s="176"/>
      <c r="H113" s="174" t="e">
        <f aca="false">VLOOKUP(C113,#REF!,5,FALSE())</f>
        <v>#VALUE!</v>
      </c>
      <c r="I113" s="175" t="e">
        <f aca="false">G113-H113</f>
        <v>#VALUE!</v>
      </c>
    </row>
    <row r="114" customFormat="false" ht="12.75" hidden="false" customHeight="true" outlineLevel="0" collapsed="false">
      <c r="A114" s="2"/>
      <c r="B114" s="207"/>
      <c r="C114" s="190" t="n">
        <v>561</v>
      </c>
      <c r="D114" s="191" t="n">
        <v>-143.05</v>
      </c>
      <c r="E114" s="192" t="n">
        <v>-750</v>
      </c>
      <c r="F114" s="193" t="n">
        <v>420.67</v>
      </c>
      <c r="G114" s="176"/>
      <c r="H114" s="174" t="e">
        <f aca="false">VLOOKUP(C114,#REF!,5,FALSE())</f>
        <v>#VALUE!</v>
      </c>
      <c r="I114" s="175" t="e">
        <f aca="false">G114-H114</f>
        <v>#VALUE!</v>
      </c>
    </row>
    <row r="115" customFormat="false" ht="12.75" hidden="false" customHeight="true" outlineLevel="0" collapsed="false">
      <c r="A115" s="2"/>
      <c r="B115" s="207"/>
      <c r="C115" s="190" t="n">
        <v>562</v>
      </c>
      <c r="D115" s="191" t="n">
        <v>10.68</v>
      </c>
      <c r="E115" s="192" t="n">
        <v>-750</v>
      </c>
      <c r="F115" s="193" t="n">
        <v>452.54</v>
      </c>
      <c r="G115" s="176"/>
      <c r="H115" s="174" t="e">
        <f aca="false">VLOOKUP(C115,#REF!,5,FALSE())</f>
        <v>#VALUE!</v>
      </c>
      <c r="I115" s="175" t="e">
        <f aca="false">G115-H115</f>
        <v>#VALUE!</v>
      </c>
    </row>
    <row r="116" customFormat="false" ht="12.75" hidden="false" customHeight="true" outlineLevel="0" collapsed="false">
      <c r="A116" s="2"/>
      <c r="B116" s="207"/>
      <c r="C116" s="190" t="n">
        <v>563</v>
      </c>
      <c r="D116" s="191" t="n">
        <v>164.46</v>
      </c>
      <c r="E116" s="192" t="n">
        <v>-750</v>
      </c>
      <c r="F116" s="193" t="n">
        <v>420.88</v>
      </c>
      <c r="G116" s="176"/>
      <c r="H116" s="174" t="e">
        <f aca="false">VLOOKUP(C116,#REF!,5,FALSE())</f>
        <v>#VALUE!</v>
      </c>
      <c r="I116" s="175" t="e">
        <f aca="false">G116-H116</f>
        <v>#VALUE!</v>
      </c>
    </row>
    <row r="117" customFormat="false" ht="12.75" hidden="false" customHeight="true" outlineLevel="0" collapsed="false">
      <c r="A117" s="2"/>
      <c r="B117" s="207"/>
      <c r="C117" s="190" t="n">
        <v>564</v>
      </c>
      <c r="D117" s="191" t="n">
        <v>293.38</v>
      </c>
      <c r="E117" s="192" t="n">
        <v>-750</v>
      </c>
      <c r="F117" s="193" t="n">
        <v>330.82</v>
      </c>
      <c r="G117" s="176"/>
      <c r="H117" s="174" t="e">
        <f aca="false">VLOOKUP(C117,#REF!,5,FALSE())</f>
        <v>#VALUE!</v>
      </c>
      <c r="I117" s="175" t="e">
        <f aca="false">G117-H117</f>
        <v>#VALUE!</v>
      </c>
    </row>
    <row r="118" customFormat="false" ht="12.75" hidden="false" customHeight="true" outlineLevel="0" collapsed="false">
      <c r="A118" s="2"/>
      <c r="B118" s="207"/>
      <c r="C118" s="190" t="n">
        <v>565</v>
      </c>
      <c r="D118" s="191" t="n">
        <v>378.34</v>
      </c>
      <c r="E118" s="192" t="n">
        <v>-750</v>
      </c>
      <c r="F118" s="193" t="n">
        <v>198.6</v>
      </c>
      <c r="G118" s="176"/>
      <c r="H118" s="174" t="e">
        <f aca="false">VLOOKUP(C118,#REF!,5,FALSE())</f>
        <v>#VALUE!</v>
      </c>
      <c r="I118" s="175" t="e">
        <f aca="false">G118-H118</f>
        <v>#VALUE!</v>
      </c>
    </row>
    <row r="119" customFormat="false" ht="12.75" hidden="false" customHeight="true" outlineLevel="0" collapsed="false">
      <c r="A119" s="2"/>
      <c r="B119" s="207"/>
      <c r="C119" s="190" t="n">
        <v>566</v>
      </c>
      <c r="D119" s="191" t="n">
        <v>401.96</v>
      </c>
      <c r="E119" s="192" t="n">
        <v>-750</v>
      </c>
      <c r="F119" s="193" t="n">
        <v>43.11</v>
      </c>
      <c r="G119" s="176"/>
      <c r="H119" s="174" t="e">
        <f aca="false">VLOOKUP(C119,#REF!,5,FALSE())</f>
        <v>#VALUE!</v>
      </c>
      <c r="I119" s="175" t="e">
        <f aca="false">G119-H119</f>
        <v>#VALUE!</v>
      </c>
    </row>
    <row r="120" customFormat="false" ht="12.75" hidden="false" customHeight="true" outlineLevel="0" collapsed="false">
      <c r="A120" s="2"/>
      <c r="B120" s="207"/>
      <c r="C120" s="194" t="n">
        <v>557</v>
      </c>
      <c r="D120" s="195" t="n">
        <v>406</v>
      </c>
      <c r="E120" s="196" t="n">
        <v>-750</v>
      </c>
      <c r="F120" s="197" t="n">
        <v>-115</v>
      </c>
      <c r="G120" s="222"/>
      <c r="H120" s="223" t="e">
        <f aca="false">VLOOKUP(C120,#REF!,5,FALSE())</f>
        <v>#VALUE!</v>
      </c>
      <c r="I120" s="224" t="e">
        <f aca="false">G120-H120</f>
        <v>#VALUE!</v>
      </c>
    </row>
    <row r="121" customFormat="false" ht="12.75" hidden="false" customHeight="true" outlineLevel="0" collapsed="false">
      <c r="A121" s="2"/>
      <c r="B121" s="208" t="s">
        <v>184</v>
      </c>
      <c r="C121" s="202" t="n">
        <v>552</v>
      </c>
      <c r="D121" s="203" t="n">
        <v>-130</v>
      </c>
      <c r="E121" s="204" t="n">
        <v>-479</v>
      </c>
      <c r="F121" s="205" t="n">
        <v>-155</v>
      </c>
      <c r="G121" s="218"/>
      <c r="H121" s="185" t="e">
        <f aca="false">VLOOKUP(C121,#REF!,5,FALSE())</f>
        <v>#VALUE!</v>
      </c>
      <c r="I121" s="206" t="e">
        <f aca="false">G121-H121</f>
        <v>#VALUE!</v>
      </c>
    </row>
    <row r="122" customFormat="false" ht="12.75" hidden="false" customHeight="true" outlineLevel="0" collapsed="false">
      <c r="A122" s="2"/>
      <c r="B122" s="208"/>
      <c r="C122" s="190" t="n">
        <v>553</v>
      </c>
      <c r="D122" s="191" t="n">
        <v>0</v>
      </c>
      <c r="E122" s="192" t="n">
        <v>-473.4</v>
      </c>
      <c r="F122" s="193" t="n">
        <v>-155</v>
      </c>
      <c r="G122" s="176"/>
      <c r="H122" s="174" t="e">
        <f aca="false">VLOOKUP(C122,#REF!,5,FALSE())</f>
        <v>#VALUE!</v>
      </c>
      <c r="I122" s="175" t="e">
        <f aca="false">G122-H122</f>
        <v>#VALUE!</v>
      </c>
    </row>
    <row r="123" customFormat="false" ht="12.75" hidden="false" customHeight="true" outlineLevel="0" collapsed="false">
      <c r="A123" s="2"/>
      <c r="B123" s="208"/>
      <c r="C123" s="190" t="n">
        <v>554</v>
      </c>
      <c r="D123" s="191" t="n">
        <v>130</v>
      </c>
      <c r="E123" s="192" t="n">
        <v>-467.81</v>
      </c>
      <c r="F123" s="193" t="n">
        <v>-155</v>
      </c>
      <c r="G123" s="176"/>
      <c r="H123" s="174" t="e">
        <f aca="false">VLOOKUP(C123,#REF!,5,FALSE())</f>
        <v>#VALUE!</v>
      </c>
      <c r="I123" s="175" t="e">
        <f aca="false">G123-H123</f>
        <v>#VALUE!</v>
      </c>
    </row>
    <row r="124" customFormat="false" ht="12.75" hidden="false" customHeight="true" outlineLevel="0" collapsed="false">
      <c r="A124" s="2"/>
      <c r="B124" s="208"/>
      <c r="C124" s="194" t="n">
        <v>555</v>
      </c>
      <c r="D124" s="195" t="n">
        <v>334.9</v>
      </c>
      <c r="E124" s="196" t="n">
        <v>-506.09</v>
      </c>
      <c r="F124" s="197" t="n">
        <v>-115</v>
      </c>
      <c r="G124" s="221"/>
      <c r="H124" s="199" t="e">
        <f aca="false">VLOOKUP(C124,#REF!,5,FALSE())</f>
        <v>#VALUE!</v>
      </c>
      <c r="I124" s="200" t="e">
        <f aca="false">G124-H124</f>
        <v>#VALUE!</v>
      </c>
    </row>
    <row r="125" customFormat="false" ht="12.75" hidden="false" customHeight="true" outlineLevel="0" collapsed="false">
      <c r="A125" s="2"/>
      <c r="B125" s="201" t="s">
        <v>185</v>
      </c>
      <c r="C125" s="202" t="n">
        <v>219</v>
      </c>
      <c r="D125" s="203" t="n">
        <v>728.2</v>
      </c>
      <c r="E125" s="204" t="n">
        <v>-733</v>
      </c>
      <c r="F125" s="205" t="n">
        <v>675</v>
      </c>
      <c r="G125" s="167"/>
      <c r="H125" s="165" t="e">
        <f aca="false">VLOOKUP(C125,#REF!,5,FALSE())</f>
        <v>#VALUE!</v>
      </c>
      <c r="I125" s="166" t="e">
        <f aca="false">G125-H125</f>
        <v>#VALUE!</v>
      </c>
    </row>
    <row r="126" customFormat="false" ht="12.75" hidden="false" customHeight="true" outlineLevel="0" collapsed="false">
      <c r="A126" s="2"/>
      <c r="B126" s="201"/>
      <c r="C126" s="190" t="n">
        <v>220</v>
      </c>
      <c r="D126" s="191" t="n">
        <v>874.3</v>
      </c>
      <c r="E126" s="192" t="n">
        <v>-701.5</v>
      </c>
      <c r="F126" s="193" t="n">
        <v>775</v>
      </c>
      <c r="G126" s="176"/>
      <c r="H126" s="174" t="e">
        <f aca="false">VLOOKUP(C126,#REF!,5,FALSE())</f>
        <v>#VALUE!</v>
      </c>
      <c r="I126" s="175" t="e">
        <f aca="false">G126-H126</f>
        <v>#VALUE!</v>
      </c>
    </row>
    <row r="127" customFormat="false" ht="12.75" hidden="false" customHeight="true" outlineLevel="0" collapsed="false">
      <c r="A127" s="2"/>
      <c r="B127" s="201"/>
      <c r="C127" s="190" t="n">
        <v>223</v>
      </c>
      <c r="D127" s="191" t="n">
        <v>1018.3</v>
      </c>
      <c r="E127" s="192" t="n">
        <v>-648.7</v>
      </c>
      <c r="F127" s="193" t="n">
        <v>875</v>
      </c>
      <c r="G127" s="176"/>
      <c r="H127" s="174" t="e">
        <f aca="false">VLOOKUP(C127,#REF!,5,FALSE())</f>
        <v>#VALUE!</v>
      </c>
      <c r="I127" s="175" t="e">
        <f aca="false">G127-H127</f>
        <v>#VALUE!</v>
      </c>
    </row>
    <row r="128" customFormat="false" ht="12.75" hidden="false" customHeight="true" outlineLevel="0" collapsed="false">
      <c r="A128" s="2"/>
      <c r="B128" s="201"/>
      <c r="C128" s="190" t="n">
        <v>221</v>
      </c>
      <c r="D128" s="191" t="n">
        <v>1034.3</v>
      </c>
      <c r="E128" s="192" t="n">
        <v>-664.5</v>
      </c>
      <c r="F128" s="193" t="n">
        <v>875</v>
      </c>
      <c r="G128" s="176"/>
      <c r="H128" s="174" t="e">
        <f aca="false">VLOOKUP(C128,#REF!,5,FALSE())</f>
        <v>#VALUE!</v>
      </c>
      <c r="I128" s="175" t="e">
        <f aca="false">G128-H128</f>
        <v>#VALUE!</v>
      </c>
    </row>
    <row r="129" customFormat="false" ht="12.75" hidden="false" customHeight="true" outlineLevel="0" collapsed="false">
      <c r="A129" s="2"/>
      <c r="B129" s="201"/>
      <c r="C129" s="190" t="n">
        <v>224</v>
      </c>
      <c r="D129" s="191" t="n">
        <v>1060</v>
      </c>
      <c r="E129" s="192" t="n">
        <v>-675.8</v>
      </c>
      <c r="F129" s="193" t="n">
        <v>875</v>
      </c>
      <c r="G129" s="176"/>
      <c r="H129" s="174" t="e">
        <f aca="false">VLOOKUP(C129,#REF!,5,FALSE())</f>
        <v>#VALUE!</v>
      </c>
      <c r="I129" s="175" t="e">
        <f aca="false">G129-H129</f>
        <v>#VALUE!</v>
      </c>
    </row>
    <row r="130" customFormat="false" ht="12.75" hidden="false" customHeight="true" outlineLevel="0" collapsed="false">
      <c r="A130" s="2"/>
      <c r="B130" s="201"/>
      <c r="C130" s="190" t="n">
        <v>44</v>
      </c>
      <c r="D130" s="191" t="n">
        <v>1100</v>
      </c>
      <c r="E130" s="192" t="n">
        <v>-681.75</v>
      </c>
      <c r="F130" s="193" t="n">
        <v>875</v>
      </c>
      <c r="G130" s="176"/>
      <c r="H130" s="174" t="e">
        <f aca="false">VLOOKUP(C130,#REF!,5,FALSE())</f>
        <v>#VALUE!</v>
      </c>
      <c r="I130" s="175" t="e">
        <f aca="false">G130-H130</f>
        <v>#VALUE!</v>
      </c>
    </row>
    <row r="131" customFormat="false" ht="12.75" hidden="false" customHeight="true" outlineLevel="0" collapsed="false">
      <c r="A131" s="2"/>
      <c r="B131" s="201"/>
      <c r="C131" s="190" t="n">
        <v>222</v>
      </c>
      <c r="D131" s="191" t="n">
        <v>1219</v>
      </c>
      <c r="E131" s="192" t="n">
        <v>-617</v>
      </c>
      <c r="F131" s="193" t="n">
        <v>975</v>
      </c>
      <c r="G131" s="176"/>
      <c r="H131" s="174" t="e">
        <f aca="false">VLOOKUP(C131,#REF!,5,FALSE())</f>
        <v>#VALUE!</v>
      </c>
      <c r="I131" s="175" t="e">
        <f aca="false">G131-H131</f>
        <v>#VALUE!</v>
      </c>
    </row>
    <row r="132" customFormat="false" ht="12.75" hidden="false" customHeight="true" outlineLevel="0" collapsed="false">
      <c r="A132" s="2"/>
      <c r="B132" s="201"/>
      <c r="C132" s="194" t="n">
        <v>45</v>
      </c>
      <c r="D132" s="195" t="n">
        <v>1300</v>
      </c>
      <c r="E132" s="196" t="n">
        <v>-630.23</v>
      </c>
      <c r="F132" s="197" t="n">
        <v>975</v>
      </c>
      <c r="G132" s="222"/>
      <c r="H132" s="223" t="e">
        <f aca="false">VLOOKUP(C132,#REF!,5,FALSE())</f>
        <v>#VALUE!</v>
      </c>
      <c r="I132" s="224" t="e">
        <f aca="false">G132-H132</f>
        <v>#VALUE!</v>
      </c>
    </row>
    <row r="133" customFormat="false" ht="12.75" hidden="false" customHeight="true" outlineLevel="0" collapsed="false">
      <c r="A133" s="2"/>
      <c r="B133" s="201" t="s">
        <v>186</v>
      </c>
      <c r="C133" s="202" t="n">
        <v>38</v>
      </c>
      <c r="D133" s="203" t="n">
        <v>3300</v>
      </c>
      <c r="E133" s="204" t="n">
        <v>-830.78</v>
      </c>
      <c r="F133" s="205" t="n">
        <v>150</v>
      </c>
      <c r="G133" s="218"/>
      <c r="H133" s="185" t="e">
        <f aca="false">VLOOKUP(C133,#REF!,5,FALSE())</f>
        <v>#VALUE!</v>
      </c>
      <c r="I133" s="206" t="e">
        <f aca="false">G133-H133</f>
        <v>#VALUE!</v>
      </c>
    </row>
    <row r="134" customFormat="false" ht="12.75" hidden="false" customHeight="true" outlineLevel="0" collapsed="false">
      <c r="A134" s="2"/>
      <c r="B134" s="201"/>
      <c r="C134" s="190" t="n">
        <v>39</v>
      </c>
      <c r="D134" s="191" t="n">
        <v>3500</v>
      </c>
      <c r="E134" s="192" t="n">
        <v>-777.73</v>
      </c>
      <c r="F134" s="193" t="n">
        <v>150</v>
      </c>
      <c r="G134" s="176"/>
      <c r="H134" s="174" t="e">
        <f aca="false">VLOOKUP(C134,#REF!,5,FALSE())</f>
        <v>#VALUE!</v>
      </c>
      <c r="I134" s="175" t="e">
        <f aca="false">G134-H134</f>
        <v>#VALUE!</v>
      </c>
    </row>
    <row r="135" customFormat="false" ht="12.75" hidden="false" customHeight="true" outlineLevel="0" collapsed="false">
      <c r="A135" s="2"/>
      <c r="B135" s="201"/>
      <c r="C135" s="190" t="n">
        <v>198</v>
      </c>
      <c r="D135" s="191" t="n">
        <v>3588</v>
      </c>
      <c r="E135" s="192" t="n">
        <v>-748</v>
      </c>
      <c r="F135" s="193" t="n">
        <v>150</v>
      </c>
      <c r="G135" s="176"/>
      <c r="H135" s="174" t="e">
        <f aca="false">VLOOKUP(C135,#REF!,5,FALSE())</f>
        <v>#VALUE!</v>
      </c>
      <c r="I135" s="175" t="e">
        <f aca="false">G135-H135</f>
        <v>#VALUE!</v>
      </c>
    </row>
    <row r="136" customFormat="false" ht="12.75" hidden="false" customHeight="true" outlineLevel="0" collapsed="false">
      <c r="A136" s="2"/>
      <c r="B136" s="201"/>
      <c r="C136" s="190" t="n">
        <v>40</v>
      </c>
      <c r="D136" s="191" t="n">
        <v>3656.8</v>
      </c>
      <c r="E136" s="192" t="n">
        <v>-700</v>
      </c>
      <c r="F136" s="193" t="n">
        <v>150</v>
      </c>
      <c r="G136" s="176"/>
      <c r="H136" s="174" t="e">
        <f aca="false">VLOOKUP(C136,#REF!,5,FALSE())</f>
        <v>#VALUE!</v>
      </c>
      <c r="I136" s="175" t="e">
        <f aca="false">G136-H136</f>
        <v>#VALUE!</v>
      </c>
    </row>
    <row r="137" customFormat="false" ht="12.75" hidden="false" customHeight="true" outlineLevel="0" collapsed="false">
      <c r="A137" s="2"/>
      <c r="B137" s="201"/>
      <c r="C137" s="190" t="n">
        <v>42</v>
      </c>
      <c r="D137" s="191" t="n">
        <v>3765.4</v>
      </c>
      <c r="E137" s="192" t="n">
        <v>-400</v>
      </c>
      <c r="F137" s="193" t="n">
        <v>150</v>
      </c>
      <c r="G137" s="176"/>
      <c r="H137" s="174" t="e">
        <f aca="false">VLOOKUP(C137,#REF!,5,FALSE())</f>
        <v>#VALUE!</v>
      </c>
      <c r="I137" s="175" t="e">
        <f aca="false">G137-H137</f>
        <v>#VALUE!</v>
      </c>
    </row>
    <row r="138" customFormat="false" ht="12.75" hidden="false" customHeight="true" outlineLevel="0" collapsed="false">
      <c r="A138" s="2"/>
      <c r="B138" s="201"/>
      <c r="C138" s="190" t="n">
        <v>207</v>
      </c>
      <c r="D138" s="191" t="n">
        <v>3765</v>
      </c>
      <c r="E138" s="192" t="n">
        <v>400</v>
      </c>
      <c r="F138" s="193" t="n">
        <v>150</v>
      </c>
      <c r="G138" s="176"/>
      <c r="H138" s="174" t="e">
        <f aca="false">VLOOKUP(C138,#REF!,5,FALSE())</f>
        <v>#VALUE!</v>
      </c>
      <c r="I138" s="175" t="e">
        <f aca="false">G138-H138</f>
        <v>#VALUE!</v>
      </c>
    </row>
    <row r="139" customFormat="false" ht="12.75" hidden="false" customHeight="true" outlineLevel="0" collapsed="false">
      <c r="A139" s="2"/>
      <c r="B139" s="201"/>
      <c r="C139" s="190" t="n">
        <v>201</v>
      </c>
      <c r="D139" s="191" t="n">
        <v>3656.8</v>
      </c>
      <c r="E139" s="192" t="n">
        <v>700</v>
      </c>
      <c r="F139" s="193" t="n">
        <v>150</v>
      </c>
      <c r="G139" s="176"/>
      <c r="H139" s="174" t="e">
        <f aca="false">VLOOKUP(C139,#REF!,5,FALSE())</f>
        <v>#VALUE!</v>
      </c>
      <c r="I139" s="175" t="e">
        <f aca="false">G139-H139</f>
        <v>#VALUE!</v>
      </c>
    </row>
    <row r="140" customFormat="false" ht="12.75" hidden="false" customHeight="true" outlineLevel="0" collapsed="false">
      <c r="A140" s="2"/>
      <c r="B140" s="201"/>
      <c r="C140" s="190" t="n">
        <v>206</v>
      </c>
      <c r="D140" s="191" t="n">
        <v>3588</v>
      </c>
      <c r="E140" s="192" t="n">
        <v>748</v>
      </c>
      <c r="F140" s="193" t="n">
        <v>150</v>
      </c>
      <c r="G140" s="176"/>
      <c r="H140" s="174" t="e">
        <f aca="false">VLOOKUP(C140,#REF!,5,FALSE())</f>
        <v>#VALUE!</v>
      </c>
      <c r="I140" s="175" t="e">
        <f aca="false">G140-H140</f>
        <v>#VALUE!</v>
      </c>
    </row>
    <row r="141" customFormat="false" ht="12.75" hidden="false" customHeight="true" outlineLevel="0" collapsed="false">
      <c r="A141" s="2"/>
      <c r="B141" s="201"/>
      <c r="C141" s="190" t="n">
        <v>200</v>
      </c>
      <c r="D141" s="191" t="n">
        <v>3500</v>
      </c>
      <c r="E141" s="192" t="n">
        <v>777.7</v>
      </c>
      <c r="F141" s="193" t="n">
        <v>150</v>
      </c>
      <c r="G141" s="176"/>
      <c r="H141" s="174" t="e">
        <f aca="false">VLOOKUP(C141,#REF!,5,FALSE())</f>
        <v>#VALUE!</v>
      </c>
      <c r="I141" s="175" t="e">
        <f aca="false">G141-H141</f>
        <v>#VALUE!</v>
      </c>
    </row>
    <row r="142" customFormat="false" ht="12.75" hidden="false" customHeight="true" outlineLevel="0" collapsed="false">
      <c r="A142" s="2"/>
      <c r="B142" s="201"/>
      <c r="C142" s="194" t="n">
        <v>199</v>
      </c>
      <c r="D142" s="195" t="n">
        <v>3300</v>
      </c>
      <c r="E142" s="196" t="n">
        <v>830.8</v>
      </c>
      <c r="F142" s="197" t="n">
        <v>150</v>
      </c>
      <c r="G142" s="221"/>
      <c r="H142" s="199" t="e">
        <f aca="false">VLOOKUP(C142,#REF!,5,FALSE())</f>
        <v>#VALUE!</v>
      </c>
      <c r="I142" s="200" t="e">
        <f aca="false">G142-H142</f>
        <v>#VALUE!</v>
      </c>
    </row>
    <row r="143" customFormat="false" ht="12.75" hidden="false" customHeight="true" outlineLevel="0" collapsed="false">
      <c r="A143" s="2"/>
      <c r="B143" s="207" t="s">
        <v>187</v>
      </c>
      <c r="C143" s="202" t="n">
        <v>225</v>
      </c>
      <c r="D143" s="203" t="n">
        <v>3300</v>
      </c>
      <c r="E143" s="204" t="n">
        <v>-782.4</v>
      </c>
      <c r="F143" s="205" t="n">
        <v>500</v>
      </c>
      <c r="G143" s="167"/>
      <c r="H143" s="165" t="e">
        <f aca="false">VLOOKUP(C143,#REF!,5,FALSE())</f>
        <v>#VALUE!</v>
      </c>
      <c r="I143" s="166" t="e">
        <f aca="false">G143-H143</f>
        <v>#VALUE!</v>
      </c>
    </row>
    <row r="144" customFormat="false" ht="12.75" hidden="false" customHeight="true" outlineLevel="0" collapsed="false">
      <c r="A144" s="2"/>
      <c r="B144" s="207"/>
      <c r="C144" s="190" t="n">
        <v>226</v>
      </c>
      <c r="D144" s="191" t="n">
        <v>3425</v>
      </c>
      <c r="E144" s="192" t="n">
        <v>-762.3</v>
      </c>
      <c r="F144" s="193" t="n">
        <v>500</v>
      </c>
      <c r="G144" s="176"/>
      <c r="H144" s="174" t="e">
        <f aca="false">VLOOKUP(C144,#REF!,5,FALSE())</f>
        <v>#VALUE!</v>
      </c>
      <c r="I144" s="175" t="e">
        <f aca="false">G144-H144</f>
        <v>#VALUE!</v>
      </c>
    </row>
    <row r="145" customFormat="false" ht="12.75" hidden="false" customHeight="true" outlineLevel="0" collapsed="false">
      <c r="A145" s="2"/>
      <c r="B145" s="207"/>
      <c r="C145" s="190" t="n">
        <v>227</v>
      </c>
      <c r="D145" s="191" t="n">
        <v>3525</v>
      </c>
      <c r="E145" s="192" t="n">
        <v>-743.3</v>
      </c>
      <c r="F145" s="193" t="n">
        <v>500</v>
      </c>
      <c r="G145" s="176"/>
      <c r="H145" s="174" t="e">
        <f aca="false">VLOOKUP(C145,#REF!,5,FALSE())</f>
        <v>#VALUE!</v>
      </c>
      <c r="I145" s="175" t="e">
        <f aca="false">G145-H145</f>
        <v>#VALUE!</v>
      </c>
    </row>
    <row r="146" customFormat="false" ht="12.75" hidden="false" customHeight="true" outlineLevel="0" collapsed="false">
      <c r="A146" s="2"/>
      <c r="B146" s="207"/>
      <c r="C146" s="190" t="n">
        <v>228</v>
      </c>
      <c r="D146" s="191" t="n">
        <v>3599.5</v>
      </c>
      <c r="E146" s="192" t="n">
        <v>-690</v>
      </c>
      <c r="F146" s="193" t="n">
        <v>500</v>
      </c>
      <c r="G146" s="176"/>
      <c r="H146" s="174" t="e">
        <f aca="false">VLOOKUP(C146,#REF!,5,FALSE())</f>
        <v>#VALUE!</v>
      </c>
      <c r="I146" s="175" t="e">
        <f aca="false">G146-H146</f>
        <v>#VALUE!</v>
      </c>
    </row>
    <row r="147" customFormat="false" ht="12.75" hidden="false" customHeight="true" outlineLevel="0" collapsed="false">
      <c r="A147" s="2"/>
      <c r="B147" s="207"/>
      <c r="C147" s="190" t="n">
        <v>229</v>
      </c>
      <c r="D147" s="191" t="n">
        <v>3646.2</v>
      </c>
      <c r="E147" s="192" t="n">
        <v>-600</v>
      </c>
      <c r="F147" s="193" t="n">
        <v>500</v>
      </c>
      <c r="G147" s="176"/>
      <c r="H147" s="174" t="e">
        <f aca="false">VLOOKUP(C147,#REF!,5,FALSE())</f>
        <v>#VALUE!</v>
      </c>
      <c r="I147" s="175" t="e">
        <f aca="false">G147-H147</f>
        <v>#VALUE!</v>
      </c>
    </row>
    <row r="148" customFormat="false" ht="12.75" hidden="false" customHeight="true" outlineLevel="0" collapsed="false">
      <c r="A148" s="2"/>
      <c r="B148" s="207"/>
      <c r="C148" s="190" t="n">
        <v>234</v>
      </c>
      <c r="D148" s="191" t="n">
        <v>3646.2</v>
      </c>
      <c r="E148" s="192" t="n">
        <v>600</v>
      </c>
      <c r="F148" s="193" t="n">
        <v>500</v>
      </c>
      <c r="G148" s="176"/>
      <c r="H148" s="174" t="e">
        <f aca="false">VLOOKUP(C148,#REF!,5,FALSE())</f>
        <v>#VALUE!</v>
      </c>
      <c r="I148" s="175" t="e">
        <f aca="false">G148-H148</f>
        <v>#VALUE!</v>
      </c>
    </row>
    <row r="149" customFormat="false" ht="12.75" hidden="false" customHeight="true" outlineLevel="0" collapsed="false">
      <c r="A149" s="2"/>
      <c r="B149" s="207"/>
      <c r="C149" s="190" t="n">
        <v>233</v>
      </c>
      <c r="D149" s="191" t="n">
        <v>3599.5</v>
      </c>
      <c r="E149" s="192" t="n">
        <v>690</v>
      </c>
      <c r="F149" s="193" t="n">
        <v>500</v>
      </c>
      <c r="G149" s="176"/>
      <c r="H149" s="174" t="e">
        <f aca="false">VLOOKUP(C149,#REF!,5,FALSE())</f>
        <v>#VALUE!</v>
      </c>
      <c r="I149" s="175" t="e">
        <f aca="false">G149-H149</f>
        <v>#VALUE!</v>
      </c>
    </row>
    <row r="150" customFormat="false" ht="12.75" hidden="false" customHeight="true" outlineLevel="0" collapsed="false">
      <c r="A150" s="2"/>
      <c r="B150" s="207"/>
      <c r="C150" s="190" t="n">
        <v>232</v>
      </c>
      <c r="D150" s="191" t="n">
        <v>3525</v>
      </c>
      <c r="E150" s="192" t="n">
        <v>743.3</v>
      </c>
      <c r="F150" s="193" t="n">
        <v>500</v>
      </c>
      <c r="G150" s="176"/>
      <c r="H150" s="174" t="e">
        <f aca="false">VLOOKUP(C150,#REF!,5,FALSE())</f>
        <v>#VALUE!</v>
      </c>
      <c r="I150" s="175"/>
    </row>
    <row r="151" customFormat="false" ht="12.75" hidden="false" customHeight="true" outlineLevel="0" collapsed="false">
      <c r="A151" s="2"/>
      <c r="B151" s="207"/>
      <c r="C151" s="190" t="n">
        <v>231</v>
      </c>
      <c r="D151" s="191" t="n">
        <v>3425</v>
      </c>
      <c r="E151" s="192" t="n">
        <v>762.3</v>
      </c>
      <c r="F151" s="193" t="n">
        <v>500</v>
      </c>
      <c r="G151" s="176"/>
      <c r="H151" s="174" t="e">
        <f aca="false">VLOOKUP(C151,#REF!,5,FALSE())</f>
        <v>#VALUE!</v>
      </c>
      <c r="I151" s="175" t="e">
        <f aca="false">G151-H151</f>
        <v>#VALUE!</v>
      </c>
    </row>
    <row r="152" customFormat="false" ht="12.75" hidden="false" customHeight="true" outlineLevel="0" collapsed="false">
      <c r="A152" s="2"/>
      <c r="B152" s="207"/>
      <c r="C152" s="194" t="n">
        <v>230</v>
      </c>
      <c r="D152" s="195" t="n">
        <v>3300</v>
      </c>
      <c r="E152" s="196" t="n">
        <v>782.4</v>
      </c>
      <c r="F152" s="197" t="n">
        <v>500</v>
      </c>
      <c r="G152" s="222"/>
      <c r="H152" s="223" t="e">
        <f aca="false">VLOOKUP(C152,#REF!,5,FALSE())</f>
        <v>#VALUE!</v>
      </c>
      <c r="I152" s="224" t="e">
        <f aca="false">G152-H152</f>
        <v>#VALUE!</v>
      </c>
    </row>
    <row r="153" customFormat="false" ht="12.75" hidden="false" customHeight="true" outlineLevel="0" collapsed="false">
      <c r="A153" s="2"/>
      <c r="B153" s="209" t="s">
        <v>188</v>
      </c>
      <c r="C153" s="210" t="n">
        <v>260</v>
      </c>
      <c r="D153" s="204" t="n">
        <v>3008.4</v>
      </c>
      <c r="E153" s="204" t="n">
        <v>-677.2</v>
      </c>
      <c r="F153" s="205" t="n">
        <v>775</v>
      </c>
      <c r="G153" s="218"/>
      <c r="H153" s="185" t="e">
        <f aca="false">VLOOKUP(C153,#REF!,5,FALSE())</f>
        <v>#VALUE!</v>
      </c>
      <c r="I153" s="206" t="e">
        <f aca="false">G153-H153</f>
        <v>#VALUE!</v>
      </c>
    </row>
    <row r="154" customFormat="false" ht="12.75" hidden="false" customHeight="true" outlineLevel="0" collapsed="false">
      <c r="A154" s="2"/>
      <c r="B154" s="209"/>
      <c r="C154" s="211" t="n">
        <v>263</v>
      </c>
      <c r="D154" s="192" t="n">
        <v>2831.7</v>
      </c>
      <c r="E154" s="192" t="n">
        <v>-643.3</v>
      </c>
      <c r="F154" s="193" t="n">
        <v>875</v>
      </c>
      <c r="G154" s="176"/>
      <c r="H154" s="174" t="e">
        <f aca="false">VLOOKUP(C154,#REF!,5,FALSE())</f>
        <v>#VALUE!</v>
      </c>
      <c r="I154" s="175" t="e">
        <f aca="false">G154-H154</f>
        <v>#VALUE!</v>
      </c>
    </row>
    <row r="155" customFormat="false" ht="12.75" hidden="false" customHeight="true" outlineLevel="0" collapsed="false">
      <c r="A155" s="2"/>
      <c r="B155" s="209"/>
      <c r="C155" s="211" t="n">
        <v>133</v>
      </c>
      <c r="D155" s="192" t="n">
        <v>2619.5</v>
      </c>
      <c r="E155" s="192" t="n">
        <v>-600</v>
      </c>
      <c r="F155" s="193" t="n">
        <v>975</v>
      </c>
      <c r="G155" s="176"/>
      <c r="H155" s="174" t="e">
        <f aca="false">VLOOKUP(C155,#REF!,5,FALSE())</f>
        <v>#VALUE!</v>
      </c>
      <c r="I155" s="175" t="e">
        <f aca="false">G155-H155</f>
        <v>#VALUE!</v>
      </c>
    </row>
    <row r="156" customFormat="false" ht="12.75" hidden="false" customHeight="true" outlineLevel="0" collapsed="false">
      <c r="A156" s="2"/>
      <c r="B156" s="209"/>
      <c r="C156" s="211" t="n">
        <v>272</v>
      </c>
      <c r="D156" s="192" t="n">
        <v>2619.5</v>
      </c>
      <c r="E156" s="192" t="n">
        <v>600</v>
      </c>
      <c r="F156" s="193" t="n">
        <v>975</v>
      </c>
      <c r="G156" s="176"/>
      <c r="H156" s="174" t="e">
        <f aca="false">VLOOKUP(C156,#REF!,5,FALSE())</f>
        <v>#VALUE!</v>
      </c>
      <c r="I156" s="175" t="e">
        <f aca="false">G156-H156</f>
        <v>#VALUE!</v>
      </c>
    </row>
    <row r="157" customFormat="false" ht="12.75" hidden="false" customHeight="true" outlineLevel="0" collapsed="false">
      <c r="A157" s="2"/>
      <c r="B157" s="209"/>
      <c r="C157" s="211" t="n">
        <v>271</v>
      </c>
      <c r="D157" s="192" t="n">
        <v>2831.7</v>
      </c>
      <c r="E157" s="192" t="n">
        <v>643.3</v>
      </c>
      <c r="F157" s="193" t="n">
        <v>875</v>
      </c>
      <c r="G157" s="176"/>
      <c r="H157" s="174" t="e">
        <f aca="false">VLOOKUP(C157,#REF!,5,FALSE())</f>
        <v>#VALUE!</v>
      </c>
      <c r="I157" s="175" t="e">
        <f aca="false">G157-H157</f>
        <v>#VALUE!</v>
      </c>
    </row>
    <row r="158" customFormat="false" ht="12.75" hidden="false" customHeight="true" outlineLevel="0" collapsed="false">
      <c r="A158" s="2"/>
      <c r="B158" s="209"/>
      <c r="C158" s="212" t="n">
        <v>270</v>
      </c>
      <c r="D158" s="196" t="n">
        <v>3008.4</v>
      </c>
      <c r="E158" s="196" t="n">
        <v>677.2</v>
      </c>
      <c r="F158" s="197" t="n">
        <v>775</v>
      </c>
      <c r="G158" s="221"/>
      <c r="H158" s="199" t="e">
        <f aca="false">VLOOKUP(C158,#REF!,5,FALSE())</f>
        <v>#VALUE!</v>
      </c>
      <c r="I158" s="200" t="e">
        <f aca="false">G158-H158</f>
        <v>#VALUE!</v>
      </c>
    </row>
    <row r="159" customFormat="false" ht="12.75" hidden="false" customHeight="true" outlineLevel="0" collapsed="false">
      <c r="A159" s="2"/>
      <c r="B159" s="207" t="s">
        <v>189</v>
      </c>
      <c r="C159" s="213" t="n">
        <v>265</v>
      </c>
      <c r="D159" s="203" t="n">
        <v>2561.2</v>
      </c>
      <c r="E159" s="204" t="n">
        <v>-619.1</v>
      </c>
      <c r="F159" s="205" t="n">
        <v>963.8</v>
      </c>
      <c r="G159" s="167"/>
      <c r="H159" s="165" t="e">
        <f aca="false">VLOOKUP(C159,#REF!,5,FALSE())</f>
        <v>#VALUE!</v>
      </c>
      <c r="I159" s="166" t="e">
        <f aca="false">G159-H159</f>
        <v>#VALUE!</v>
      </c>
    </row>
    <row r="160" customFormat="false" ht="12.75" hidden="false" customHeight="true" outlineLevel="0" collapsed="false">
      <c r="A160" s="2"/>
      <c r="B160" s="207"/>
      <c r="C160" s="178" t="n">
        <v>133</v>
      </c>
      <c r="D160" s="191" t="n">
        <v>2619.5</v>
      </c>
      <c r="E160" s="192" t="n">
        <v>-600</v>
      </c>
      <c r="F160" s="193" t="n">
        <v>975</v>
      </c>
      <c r="G160" s="176"/>
      <c r="H160" s="174" t="e">
        <f aca="false">VLOOKUP(C160,#REF!,5,FALSE())</f>
        <v>#VALUE!</v>
      </c>
      <c r="I160" s="175" t="e">
        <f aca="false">G160-H160</f>
        <v>#VALUE!</v>
      </c>
    </row>
    <row r="161" customFormat="false" ht="12.75" hidden="false" customHeight="true" outlineLevel="0" collapsed="false">
      <c r="A161" s="2"/>
      <c r="B161" s="207"/>
      <c r="C161" s="178" t="n">
        <v>266</v>
      </c>
      <c r="D161" s="191" t="n">
        <v>2664.2</v>
      </c>
      <c r="E161" s="192" t="n">
        <v>-576</v>
      </c>
      <c r="F161" s="193" t="n">
        <v>975</v>
      </c>
      <c r="G161" s="176"/>
      <c r="H161" s="174" t="e">
        <f aca="false">VLOOKUP(C161,#REF!,5,FALSE())</f>
        <v>#VALUE!</v>
      </c>
      <c r="I161" s="175" t="e">
        <f aca="false">G161-H161</f>
        <v>#VALUE!</v>
      </c>
    </row>
    <row r="162" customFormat="false" ht="12.75" hidden="false" customHeight="true" outlineLevel="0" collapsed="false">
      <c r="A162" s="2"/>
      <c r="B162" s="207"/>
      <c r="C162" s="178" t="n">
        <v>134</v>
      </c>
      <c r="D162" s="191" t="n">
        <v>2778.4</v>
      </c>
      <c r="E162" s="192" t="n">
        <v>-600</v>
      </c>
      <c r="F162" s="193" t="n">
        <v>925</v>
      </c>
      <c r="G162" s="176"/>
      <c r="H162" s="174" t="e">
        <f aca="false">VLOOKUP(C162,#REF!,5,FALSE())</f>
        <v>#VALUE!</v>
      </c>
      <c r="I162" s="175" t="e">
        <f aca="false">G162-H162</f>
        <v>#VALUE!</v>
      </c>
    </row>
    <row r="163" customFormat="false" ht="12.75" hidden="false" customHeight="true" outlineLevel="0" collapsed="false">
      <c r="A163" s="2"/>
      <c r="B163" s="207"/>
      <c r="C163" s="178" t="n">
        <v>262</v>
      </c>
      <c r="D163" s="191" t="n">
        <v>2753.8</v>
      </c>
      <c r="E163" s="192" t="n">
        <v>-656.6</v>
      </c>
      <c r="F163" s="193" t="n">
        <v>875</v>
      </c>
      <c r="G163" s="176"/>
      <c r="H163" s="174" t="e">
        <f aca="false">VLOOKUP(C163,#REF!,5,FALSE())</f>
        <v>#VALUE!</v>
      </c>
      <c r="I163" s="175" t="e">
        <f aca="false">G163-H163</f>
        <v>#VALUE!</v>
      </c>
    </row>
    <row r="164" customFormat="false" ht="12.75" hidden="false" customHeight="true" outlineLevel="0" collapsed="false">
      <c r="A164" s="2"/>
      <c r="B164" s="207"/>
      <c r="C164" s="178" t="n">
        <v>263</v>
      </c>
      <c r="D164" s="191" t="n">
        <v>2831.7</v>
      </c>
      <c r="E164" s="192" t="n">
        <v>-643.3</v>
      </c>
      <c r="F164" s="193" t="n">
        <v>875</v>
      </c>
      <c r="G164" s="176"/>
      <c r="H164" s="174" t="e">
        <f aca="false">VLOOKUP(C164,#REF!,5,FALSE())</f>
        <v>#VALUE!</v>
      </c>
      <c r="I164" s="175" t="e">
        <f aca="false">G164-H164</f>
        <v>#VALUE!</v>
      </c>
    </row>
    <row r="165" customFormat="false" ht="12.75" hidden="false" customHeight="true" outlineLevel="0" collapsed="false">
      <c r="A165" s="2"/>
      <c r="B165" s="207"/>
      <c r="C165" s="178" t="n">
        <v>264</v>
      </c>
      <c r="D165" s="191" t="n">
        <v>2872.8</v>
      </c>
      <c r="E165" s="192" t="n">
        <v>-625.7</v>
      </c>
      <c r="F165" s="193" t="n">
        <v>875</v>
      </c>
      <c r="G165" s="176"/>
      <c r="H165" s="174" t="e">
        <f aca="false">VLOOKUP(C165,#REF!,5,FALSE())</f>
        <v>#VALUE!</v>
      </c>
      <c r="I165" s="175" t="e">
        <f aca="false">G165-H165</f>
        <v>#VALUE!</v>
      </c>
    </row>
    <row r="166" customFormat="false" ht="12.75" hidden="false" customHeight="true" outlineLevel="0" collapsed="false">
      <c r="A166" s="2"/>
      <c r="B166" s="207"/>
      <c r="C166" s="178" t="n">
        <v>259</v>
      </c>
      <c r="D166" s="191" t="n">
        <v>2930.6</v>
      </c>
      <c r="E166" s="192" t="n">
        <v>-689.8</v>
      </c>
      <c r="F166" s="193" t="n">
        <v>775</v>
      </c>
      <c r="G166" s="176"/>
      <c r="H166" s="174" t="e">
        <f aca="false">VLOOKUP(C166,#REF!,5,FALSE())</f>
        <v>#VALUE!</v>
      </c>
      <c r="I166" s="175" t="e">
        <f aca="false">G166-H166</f>
        <v>#VALUE!</v>
      </c>
    </row>
    <row r="167" customFormat="false" ht="12.75" hidden="false" customHeight="true" outlineLevel="0" collapsed="false">
      <c r="A167" s="2"/>
      <c r="B167" s="207"/>
      <c r="C167" s="178" t="n">
        <v>260</v>
      </c>
      <c r="D167" s="191" t="n">
        <v>3008.4</v>
      </c>
      <c r="E167" s="192" t="n">
        <v>-677.2</v>
      </c>
      <c r="F167" s="193" t="n">
        <v>775</v>
      </c>
      <c r="G167" s="176"/>
      <c r="H167" s="174" t="e">
        <f aca="false">VLOOKUP(C167,#REF!,5,FALSE())</f>
        <v>#VALUE!</v>
      </c>
      <c r="I167" s="175" t="e">
        <f aca="false">G167-H167</f>
        <v>#VALUE!</v>
      </c>
    </row>
    <row r="168" customFormat="false" ht="12.75" hidden="false" customHeight="true" outlineLevel="0" collapsed="false">
      <c r="A168" s="2"/>
      <c r="B168" s="207"/>
      <c r="C168" s="178" t="n">
        <v>261</v>
      </c>
      <c r="D168" s="191" t="n">
        <v>3085.5</v>
      </c>
      <c r="E168" s="192" t="n">
        <v>-643.1</v>
      </c>
      <c r="F168" s="193" t="n">
        <v>775</v>
      </c>
      <c r="G168" s="176"/>
      <c r="H168" s="174" t="e">
        <f aca="false">VLOOKUP(C168,#REF!,5,FALSE())</f>
        <v>#VALUE!</v>
      </c>
      <c r="I168" s="175" t="e">
        <f aca="false">G168-H168</f>
        <v>#VALUE!</v>
      </c>
    </row>
    <row r="169" customFormat="false" ht="12.75" hidden="false" customHeight="true" outlineLevel="0" collapsed="false">
      <c r="A169" s="2"/>
      <c r="B169" s="207"/>
      <c r="C169" s="178" t="n">
        <v>269</v>
      </c>
      <c r="D169" s="191" t="n">
        <v>2667.9</v>
      </c>
      <c r="E169" s="192" t="n">
        <v>-529.1</v>
      </c>
      <c r="F169" s="193" t="n">
        <v>975</v>
      </c>
      <c r="G169" s="176"/>
      <c r="H169" s="174" t="e">
        <f aca="false">VLOOKUP(C169,#REF!,5,FALSE())</f>
        <v>#VALUE!</v>
      </c>
      <c r="I169" s="175" t="e">
        <f aca="false">G169-H169</f>
        <v>#VALUE!</v>
      </c>
    </row>
    <row r="170" customFormat="false" ht="12.75" hidden="false" customHeight="true" outlineLevel="0" collapsed="false">
      <c r="A170" s="2"/>
      <c r="B170" s="207"/>
      <c r="C170" s="178" t="n">
        <v>268</v>
      </c>
      <c r="D170" s="191" t="n">
        <v>2897.9</v>
      </c>
      <c r="E170" s="192" t="n">
        <v>-565.2</v>
      </c>
      <c r="F170" s="193" t="n">
        <v>875</v>
      </c>
      <c r="G170" s="176"/>
      <c r="H170" s="174" t="e">
        <f aca="false">VLOOKUP(C170,#REF!,5,FALSE())</f>
        <v>#VALUE!</v>
      </c>
      <c r="I170" s="175" t="e">
        <f aca="false">G170-H170</f>
        <v>#VALUE!</v>
      </c>
    </row>
    <row r="171" customFormat="false" ht="12.75" hidden="false" customHeight="true" outlineLevel="0" collapsed="false">
      <c r="A171" s="2"/>
      <c r="B171" s="207"/>
      <c r="C171" s="214" t="n">
        <v>267</v>
      </c>
      <c r="D171" s="195" t="n">
        <v>3099.9</v>
      </c>
      <c r="E171" s="196" t="n">
        <v>-588.4</v>
      </c>
      <c r="F171" s="197" t="n">
        <v>775</v>
      </c>
      <c r="G171" s="222"/>
      <c r="H171" s="223" t="e">
        <f aca="false">VLOOKUP(C171,#REF!,5,FALSE())</f>
        <v>#VALUE!</v>
      </c>
      <c r="I171" s="224" t="e">
        <f aca="false">G171-H171</f>
        <v>#VALUE!</v>
      </c>
    </row>
    <row r="172" customFormat="false" ht="12.75" hidden="false" customHeight="true" outlineLevel="0" collapsed="false">
      <c r="A172" s="2"/>
      <c r="B172" s="207" t="s">
        <v>190</v>
      </c>
      <c r="C172" s="202" t="n">
        <v>621</v>
      </c>
      <c r="D172" s="203" t="n">
        <v>540</v>
      </c>
      <c r="E172" s="204" t="n">
        <v>-339.3</v>
      </c>
      <c r="F172" s="205" t="n">
        <v>-120</v>
      </c>
      <c r="G172" s="218"/>
      <c r="H172" s="185" t="e">
        <f aca="false">VLOOKUP(C172,#REF!,5,FALSE())</f>
        <v>#VALUE!</v>
      </c>
      <c r="I172" s="206" t="e">
        <f aca="false">G172-H172</f>
        <v>#VALUE!</v>
      </c>
    </row>
    <row r="173" customFormat="false" ht="12.75" hidden="false" customHeight="true" outlineLevel="0" collapsed="false">
      <c r="A173" s="2"/>
      <c r="B173" s="207"/>
      <c r="C173" s="190" t="n">
        <v>622</v>
      </c>
      <c r="D173" s="191" t="n">
        <v>750</v>
      </c>
      <c r="E173" s="192" t="n">
        <v>-328.45</v>
      </c>
      <c r="F173" s="193" t="n">
        <v>-120</v>
      </c>
      <c r="G173" s="176"/>
      <c r="H173" s="174" t="e">
        <f aca="false">VLOOKUP(C173,#REF!,5,FALSE())</f>
        <v>#VALUE!</v>
      </c>
      <c r="I173" s="175" t="e">
        <f aca="false">G173-H173</f>
        <v>#VALUE!</v>
      </c>
    </row>
    <row r="174" customFormat="false" ht="12.75" hidden="false" customHeight="true" outlineLevel="0" collapsed="false">
      <c r="A174" s="2"/>
      <c r="B174" s="207"/>
      <c r="C174" s="190" t="n">
        <v>623</v>
      </c>
      <c r="D174" s="191" t="n">
        <v>1100</v>
      </c>
      <c r="E174" s="192" t="n">
        <v>-360</v>
      </c>
      <c r="F174" s="193" t="n">
        <v>-155.66</v>
      </c>
      <c r="G174" s="176"/>
      <c r="H174" s="174" t="e">
        <f aca="false">VLOOKUP(C174,#REF!,5,FALSE())</f>
        <v>#VALUE!</v>
      </c>
      <c r="I174" s="175" t="e">
        <f aca="false">G174-H174</f>
        <v>#VALUE!</v>
      </c>
    </row>
    <row r="175" customFormat="false" ht="12.75" hidden="false" customHeight="true" outlineLevel="0" collapsed="false">
      <c r="A175" s="2"/>
      <c r="B175" s="207"/>
      <c r="C175" s="190" t="n">
        <v>624</v>
      </c>
      <c r="D175" s="191" t="n">
        <v>1500</v>
      </c>
      <c r="E175" s="192" t="n">
        <v>-360</v>
      </c>
      <c r="F175" s="193" t="n">
        <v>-150.12</v>
      </c>
      <c r="G175" s="176"/>
      <c r="H175" s="174" t="e">
        <f aca="false">VLOOKUP(C175,#REF!,5,FALSE())</f>
        <v>#VALUE!</v>
      </c>
      <c r="I175" s="175" t="e">
        <f aca="false">G175-H175</f>
        <v>#VALUE!</v>
      </c>
    </row>
    <row r="176" customFormat="false" ht="12.75" hidden="false" customHeight="true" outlineLevel="0" collapsed="false">
      <c r="A176" s="2"/>
      <c r="B176" s="207"/>
      <c r="C176" s="190" t="n">
        <v>625</v>
      </c>
      <c r="D176" s="191" t="n">
        <v>400</v>
      </c>
      <c r="E176" s="192" t="n">
        <v>-550</v>
      </c>
      <c r="F176" s="193" t="n">
        <v>-159.6</v>
      </c>
      <c r="G176" s="176"/>
      <c r="H176" s="174" t="e">
        <f aca="false">VLOOKUP(C176,#REF!,5,FALSE())</f>
        <v>#VALUE!</v>
      </c>
      <c r="I176" s="175" t="e">
        <f aca="false">G176-H176</f>
        <v>#VALUE!</v>
      </c>
    </row>
    <row r="177" customFormat="false" ht="12.75" hidden="false" customHeight="true" outlineLevel="0" collapsed="false">
      <c r="A177" s="2"/>
      <c r="B177" s="207"/>
      <c r="C177" s="190" t="n">
        <v>626</v>
      </c>
      <c r="D177" s="191" t="n">
        <v>500</v>
      </c>
      <c r="E177" s="192" t="n">
        <v>-700</v>
      </c>
      <c r="F177" s="193" t="n">
        <v>-159.7</v>
      </c>
      <c r="G177" s="176"/>
      <c r="H177" s="174" t="e">
        <f aca="false">VLOOKUP(C177,#REF!,5,FALSE())</f>
        <v>#VALUE!</v>
      </c>
      <c r="I177" s="175" t="e">
        <f aca="false">G177-H177</f>
        <v>#VALUE!</v>
      </c>
    </row>
    <row r="178" customFormat="false" ht="12.75" hidden="false" customHeight="true" outlineLevel="0" collapsed="false">
      <c r="A178" s="2"/>
      <c r="B178" s="207"/>
      <c r="C178" s="190" t="n">
        <v>627</v>
      </c>
      <c r="D178" s="191" t="n">
        <v>540</v>
      </c>
      <c r="E178" s="192" t="n">
        <v>-590</v>
      </c>
      <c r="F178" s="193" t="n">
        <v>-164.6</v>
      </c>
      <c r="G178" s="176"/>
      <c r="H178" s="174" t="e">
        <f aca="false">VLOOKUP(C178,#REF!,5,FALSE())</f>
        <v>#VALUE!</v>
      </c>
      <c r="I178" s="175" t="e">
        <f aca="false">G178-H178</f>
        <v>#VALUE!</v>
      </c>
    </row>
    <row r="179" customFormat="false" ht="12.75" hidden="false" customHeight="true" outlineLevel="0" collapsed="false">
      <c r="A179" s="2"/>
      <c r="B179" s="207"/>
      <c r="C179" s="190" t="n">
        <v>628</v>
      </c>
      <c r="D179" s="191" t="n">
        <v>750</v>
      </c>
      <c r="E179" s="192" t="n">
        <v>-590</v>
      </c>
      <c r="F179" s="193" t="n">
        <v>-160.05</v>
      </c>
      <c r="G179" s="176"/>
      <c r="H179" s="174" t="e">
        <f aca="false">VLOOKUP(C179,#REF!,5,FALSE())</f>
        <v>#VALUE!</v>
      </c>
      <c r="I179" s="175" t="e">
        <f aca="false">G179-H179</f>
        <v>#VALUE!</v>
      </c>
    </row>
    <row r="180" customFormat="false" ht="12.75" hidden="false" customHeight="true" outlineLevel="0" collapsed="false">
      <c r="A180" s="2"/>
      <c r="B180" s="207"/>
      <c r="C180" s="190" t="n">
        <v>629</v>
      </c>
      <c r="D180" s="191" t="n">
        <v>1100</v>
      </c>
      <c r="E180" s="192" t="n">
        <v>-590</v>
      </c>
      <c r="F180" s="193" t="n">
        <v>-155.66</v>
      </c>
      <c r="G180" s="176"/>
      <c r="H180" s="174" t="e">
        <f aca="false">VLOOKUP(C180,#REF!,5,FALSE())</f>
        <v>#VALUE!</v>
      </c>
      <c r="I180" s="175" t="e">
        <f aca="false">G180-H180</f>
        <v>#VALUE!</v>
      </c>
    </row>
    <row r="181" customFormat="false" ht="12.75" hidden="false" customHeight="true" outlineLevel="0" collapsed="false">
      <c r="A181" s="2"/>
      <c r="B181" s="207"/>
      <c r="C181" s="190" t="n">
        <v>630</v>
      </c>
      <c r="D181" s="191" t="n">
        <v>1500</v>
      </c>
      <c r="E181" s="192" t="n">
        <v>-590</v>
      </c>
      <c r="F181" s="193" t="n">
        <v>-150.12</v>
      </c>
      <c r="G181" s="176"/>
      <c r="H181" s="174" t="e">
        <f aca="false">VLOOKUP(C181,#REF!,5,FALSE())</f>
        <v>#VALUE!</v>
      </c>
      <c r="I181" s="175" t="e">
        <f aca="false">G181-H181</f>
        <v>#VALUE!</v>
      </c>
    </row>
    <row r="182" customFormat="false" ht="12.75" hidden="false" customHeight="true" outlineLevel="0" collapsed="false">
      <c r="A182" s="2"/>
      <c r="B182" s="207"/>
      <c r="C182" s="190" t="n">
        <v>631</v>
      </c>
      <c r="D182" s="191" t="n">
        <v>2403.7</v>
      </c>
      <c r="E182" s="192" t="n">
        <v>-740</v>
      </c>
      <c r="F182" s="193" t="n">
        <v>-97.1</v>
      </c>
      <c r="G182" s="176"/>
      <c r="H182" s="174" t="e">
        <f aca="false">VLOOKUP(C182,#REF!,5,FALSE())</f>
        <v>#VALUE!</v>
      </c>
      <c r="I182" s="175" t="e">
        <f aca="false">G182-H182</f>
        <v>#VALUE!</v>
      </c>
    </row>
    <row r="183" customFormat="false" ht="12.75" hidden="false" customHeight="true" outlineLevel="0" collapsed="false">
      <c r="A183" s="2"/>
      <c r="B183" s="207"/>
      <c r="C183" s="190" t="n">
        <v>632</v>
      </c>
      <c r="D183" s="191" t="n">
        <v>2793.2</v>
      </c>
      <c r="E183" s="192" t="n">
        <v>-740</v>
      </c>
      <c r="F183" s="193" t="n">
        <v>461.5</v>
      </c>
      <c r="G183" s="176"/>
      <c r="H183" s="174" t="e">
        <f aca="false">VLOOKUP(C183,#REF!,5,FALSE())</f>
        <v>#VALUE!</v>
      </c>
      <c r="I183" s="175" t="e">
        <f aca="false">G183-H183</f>
        <v>#VALUE!</v>
      </c>
    </row>
    <row r="184" customFormat="false" ht="12.75" hidden="false" customHeight="true" outlineLevel="0" collapsed="false">
      <c r="A184" s="2"/>
      <c r="B184" s="207"/>
      <c r="C184" s="194" t="n">
        <v>633</v>
      </c>
      <c r="D184" s="195" t="n">
        <v>3172.9</v>
      </c>
      <c r="E184" s="196" t="n">
        <v>-740</v>
      </c>
      <c r="F184" s="197" t="n">
        <v>185.2</v>
      </c>
      <c r="G184" s="221"/>
      <c r="H184" s="199" t="e">
        <f aca="false">VLOOKUP(C184,#REF!,5,FALSE())</f>
        <v>#VALUE!</v>
      </c>
      <c r="I184" s="200" t="e">
        <f aca="false">G184-H184</f>
        <v>#VALUE!</v>
      </c>
    </row>
    <row r="185" customFormat="false" ht="12.75" hidden="false" customHeight="true" outlineLevel="0" collapsed="false">
      <c r="A185" s="2"/>
      <c r="B185" s="207" t="s">
        <v>191</v>
      </c>
      <c r="C185" s="202" t="n">
        <v>55</v>
      </c>
      <c r="D185" s="203" t="n">
        <v>553.5</v>
      </c>
      <c r="E185" s="204" t="n">
        <v>-200</v>
      </c>
      <c r="F185" s="205" t="n">
        <v>675</v>
      </c>
      <c r="G185" s="167"/>
      <c r="H185" s="165" t="e">
        <f aca="false">VLOOKUP(C185,#REF!,5,FALSE())</f>
        <v>#VALUE!</v>
      </c>
      <c r="I185" s="166" t="e">
        <f aca="false">G185-H185</f>
        <v>#VALUE!</v>
      </c>
    </row>
    <row r="186" customFormat="false" ht="12.75" hidden="false" customHeight="true" outlineLevel="0" collapsed="false">
      <c r="A186" s="2"/>
      <c r="B186" s="207"/>
      <c r="C186" s="190" t="n">
        <v>59</v>
      </c>
      <c r="D186" s="191" t="n">
        <v>589.2</v>
      </c>
      <c r="E186" s="192" t="n">
        <v>-400</v>
      </c>
      <c r="F186" s="193" t="n">
        <v>675</v>
      </c>
      <c r="G186" s="176"/>
      <c r="H186" s="174" t="e">
        <f aca="false">VLOOKUP(C186,#REF!,5,FALSE())</f>
        <v>#VALUE!</v>
      </c>
      <c r="I186" s="175" t="e">
        <f aca="false">G186-H186</f>
        <v>#VALUE!</v>
      </c>
    </row>
    <row r="187" customFormat="false" ht="12.75" hidden="false" customHeight="true" outlineLevel="0" collapsed="false">
      <c r="A187" s="2"/>
      <c r="B187" s="207"/>
      <c r="C187" s="190" t="n">
        <v>63</v>
      </c>
      <c r="D187" s="191" t="n">
        <v>661.1</v>
      </c>
      <c r="E187" s="192" t="n">
        <v>-600</v>
      </c>
      <c r="F187" s="193" t="n">
        <v>675</v>
      </c>
      <c r="G187" s="176"/>
      <c r="H187" s="174" t="e">
        <f aca="false">VLOOKUP(C187,#REF!,5,FALSE())</f>
        <v>#VALUE!</v>
      </c>
      <c r="I187" s="175" t="e">
        <f aca="false">G187-H187</f>
        <v>#VALUE!</v>
      </c>
    </row>
    <row r="188" customFormat="false" ht="12.75" hidden="false" customHeight="true" outlineLevel="0" collapsed="false">
      <c r="A188" s="2"/>
      <c r="B188" s="207"/>
      <c r="C188" s="190" t="n">
        <v>56</v>
      </c>
      <c r="D188" s="191" t="n">
        <v>718.28</v>
      </c>
      <c r="E188" s="192" t="n">
        <v>-200</v>
      </c>
      <c r="F188" s="193" t="n">
        <v>775</v>
      </c>
      <c r="G188" s="176"/>
      <c r="H188" s="174" t="e">
        <f aca="false">VLOOKUP(C188,#REF!,5,FALSE())</f>
        <v>#VALUE!</v>
      </c>
      <c r="I188" s="175" t="e">
        <f aca="false">G188-H188</f>
        <v>#VALUE!</v>
      </c>
    </row>
    <row r="189" customFormat="false" ht="12.75" hidden="false" customHeight="true" outlineLevel="0" collapsed="false">
      <c r="A189" s="2"/>
      <c r="B189" s="207"/>
      <c r="C189" s="190" t="n">
        <v>60</v>
      </c>
      <c r="D189" s="191" t="n">
        <v>754.38</v>
      </c>
      <c r="E189" s="192" t="n">
        <v>-400</v>
      </c>
      <c r="F189" s="193" t="n">
        <v>775</v>
      </c>
      <c r="G189" s="176"/>
      <c r="H189" s="174" t="e">
        <f aca="false">VLOOKUP(C189,#REF!,5,FALSE())</f>
        <v>#VALUE!</v>
      </c>
      <c r="I189" s="175" t="e">
        <f aca="false">G189-H189</f>
        <v>#VALUE!</v>
      </c>
    </row>
    <row r="190" customFormat="false" ht="12.75" hidden="false" customHeight="true" outlineLevel="0" collapsed="false">
      <c r="A190" s="2"/>
      <c r="B190" s="207"/>
      <c r="C190" s="190" t="n">
        <v>64</v>
      </c>
      <c r="D190" s="191" t="n">
        <v>827.65</v>
      </c>
      <c r="E190" s="192" t="n">
        <v>-600</v>
      </c>
      <c r="F190" s="193" t="n">
        <v>775</v>
      </c>
      <c r="G190" s="176"/>
      <c r="H190" s="174" t="e">
        <f aca="false">VLOOKUP(C190,#REF!,5,FALSE())</f>
        <v>#VALUE!</v>
      </c>
      <c r="I190" s="175" t="e">
        <f aca="false">G190-H190</f>
        <v>#VALUE!</v>
      </c>
    </row>
    <row r="191" customFormat="false" ht="12.75" hidden="false" customHeight="true" outlineLevel="0" collapsed="false">
      <c r="A191" s="2"/>
      <c r="B191" s="207"/>
      <c r="C191" s="190" t="n">
        <v>57</v>
      </c>
      <c r="D191" s="191" t="n">
        <v>895.8</v>
      </c>
      <c r="E191" s="192" t="n">
        <v>-200</v>
      </c>
      <c r="F191" s="193" t="n">
        <v>875</v>
      </c>
      <c r="G191" s="176"/>
      <c r="H191" s="174" t="e">
        <f aca="false">VLOOKUP(C191,#REF!,5,FALSE())</f>
        <v>#VALUE!</v>
      </c>
      <c r="I191" s="175" t="e">
        <f aca="false">G191-H191</f>
        <v>#VALUE!</v>
      </c>
    </row>
    <row r="192" customFormat="false" ht="12.75" hidden="false" customHeight="true" outlineLevel="0" collapsed="false">
      <c r="A192" s="2"/>
      <c r="B192" s="207"/>
      <c r="C192" s="190" t="n">
        <v>61</v>
      </c>
      <c r="D192" s="191" t="n">
        <v>932.43</v>
      </c>
      <c r="E192" s="192" t="n">
        <v>-400</v>
      </c>
      <c r="F192" s="193" t="n">
        <v>875</v>
      </c>
      <c r="G192" s="176"/>
      <c r="H192" s="174" t="e">
        <f aca="false">VLOOKUP(C192,#REF!,5,FALSE())</f>
        <v>#VALUE!</v>
      </c>
      <c r="I192" s="175" t="e">
        <f aca="false">G192-H192</f>
        <v>#VALUE!</v>
      </c>
    </row>
    <row r="193" customFormat="false" ht="12.75" hidden="false" customHeight="true" outlineLevel="0" collapsed="false">
      <c r="A193" s="2"/>
      <c r="B193" s="207"/>
      <c r="C193" s="190" t="n">
        <v>65</v>
      </c>
      <c r="D193" s="191" t="n">
        <v>1007.9</v>
      </c>
      <c r="E193" s="192" t="n">
        <v>-600</v>
      </c>
      <c r="F193" s="193" t="n">
        <v>875</v>
      </c>
      <c r="G193" s="176"/>
      <c r="H193" s="174" t="e">
        <f aca="false">VLOOKUP(C193,#REF!,5,FALSE())</f>
        <v>#VALUE!</v>
      </c>
      <c r="I193" s="175" t="e">
        <f aca="false">G193-H193</f>
        <v>#VALUE!</v>
      </c>
    </row>
    <row r="194" customFormat="false" ht="12.75" hidden="false" customHeight="true" outlineLevel="0" collapsed="false">
      <c r="A194" s="2"/>
      <c r="B194" s="207"/>
      <c r="C194" s="190" t="n">
        <v>58</v>
      </c>
      <c r="D194" s="191" t="n">
        <v>1095.9</v>
      </c>
      <c r="E194" s="192" t="n">
        <v>-200</v>
      </c>
      <c r="F194" s="193" t="n">
        <v>975</v>
      </c>
      <c r="G194" s="176"/>
      <c r="H194" s="174" t="e">
        <f aca="false">VLOOKUP(C194,#REF!,5,FALSE())</f>
        <v>#VALUE!</v>
      </c>
      <c r="I194" s="175" t="e">
        <f aca="false">G194-H194</f>
        <v>#VALUE!</v>
      </c>
    </row>
    <row r="195" customFormat="false" ht="12.75" hidden="false" customHeight="true" outlineLevel="0" collapsed="false">
      <c r="A195" s="2"/>
      <c r="B195" s="207"/>
      <c r="C195" s="194" t="n">
        <v>62</v>
      </c>
      <c r="D195" s="195" t="n">
        <v>1134.9</v>
      </c>
      <c r="E195" s="196" t="n">
        <v>-400</v>
      </c>
      <c r="F195" s="197" t="n">
        <v>975</v>
      </c>
      <c r="G195" s="222"/>
      <c r="H195" s="223" t="e">
        <f aca="false">VLOOKUP(C195,#REF!,5,FALSE())</f>
        <v>#VALUE!</v>
      </c>
      <c r="I195" s="224" t="e">
        <f aca="false">G195-H195</f>
        <v>#VALUE!</v>
      </c>
    </row>
    <row r="196" customFormat="false" ht="12.75" hidden="false" customHeight="true" outlineLevel="0" collapsed="false">
      <c r="A196" s="2"/>
      <c r="B196" s="201" t="s">
        <v>192</v>
      </c>
      <c r="C196" s="213" t="n">
        <v>129</v>
      </c>
      <c r="D196" s="203" t="n">
        <v>2743.55</v>
      </c>
      <c r="E196" s="204" t="n">
        <v>-400</v>
      </c>
      <c r="F196" s="205" t="n">
        <v>975</v>
      </c>
      <c r="G196" s="218"/>
      <c r="H196" s="185" t="e">
        <f aca="false">VLOOKUP(C196,#REF!,5,FALSE())</f>
        <v>#VALUE!</v>
      </c>
      <c r="I196" s="206" t="e">
        <f aca="false">G196-H196</f>
        <v>#VALUE!</v>
      </c>
    </row>
    <row r="197" customFormat="false" ht="12.75" hidden="false" customHeight="true" outlineLevel="0" collapsed="false">
      <c r="A197" s="2"/>
      <c r="B197" s="201"/>
      <c r="C197" s="178" t="n">
        <v>125</v>
      </c>
      <c r="D197" s="191" t="n">
        <v>2803.68</v>
      </c>
      <c r="E197" s="192" t="n">
        <v>-200</v>
      </c>
      <c r="F197" s="193" t="n">
        <v>975</v>
      </c>
      <c r="G197" s="176"/>
      <c r="H197" s="174" t="e">
        <f aca="false">VLOOKUP(C197,#REF!,5,FALSE())</f>
        <v>#VALUE!</v>
      </c>
      <c r="I197" s="175" t="e">
        <f aca="false">G197-H197</f>
        <v>#VALUE!</v>
      </c>
    </row>
    <row r="198" customFormat="false" ht="12.75" hidden="false" customHeight="true" outlineLevel="0" collapsed="false">
      <c r="A198" s="2"/>
      <c r="B198" s="201"/>
      <c r="C198" s="178" t="n">
        <v>130</v>
      </c>
      <c r="D198" s="191" t="n">
        <v>2989.1</v>
      </c>
      <c r="E198" s="192" t="n">
        <v>-400</v>
      </c>
      <c r="F198" s="193" t="n">
        <v>875</v>
      </c>
      <c r="G198" s="176"/>
      <c r="H198" s="174" t="e">
        <f aca="false">VLOOKUP(C198,#REF!,5,FALSE())</f>
        <v>#VALUE!</v>
      </c>
      <c r="I198" s="175" t="e">
        <f aca="false">G198-H198</f>
        <v>#VALUE!</v>
      </c>
    </row>
    <row r="199" customFormat="false" ht="12.75" hidden="false" customHeight="true" outlineLevel="0" collapsed="false">
      <c r="A199" s="2"/>
      <c r="B199" s="201"/>
      <c r="C199" s="178" t="n">
        <v>126</v>
      </c>
      <c r="D199" s="191" t="n">
        <v>3042.9</v>
      </c>
      <c r="E199" s="192" t="n">
        <v>-200</v>
      </c>
      <c r="F199" s="193" t="n">
        <v>875</v>
      </c>
      <c r="G199" s="176"/>
      <c r="H199" s="174" t="e">
        <f aca="false">VLOOKUP(C199,#REF!,5,FALSE())</f>
        <v>#VALUE!</v>
      </c>
      <c r="I199" s="175" t="e">
        <f aca="false">G199-H199</f>
        <v>#VALUE!</v>
      </c>
    </row>
    <row r="200" customFormat="false" ht="12.75" hidden="false" customHeight="true" outlineLevel="0" collapsed="false">
      <c r="A200" s="2"/>
      <c r="B200" s="201"/>
      <c r="C200" s="178" t="n">
        <v>131</v>
      </c>
      <c r="D200" s="191" t="n">
        <v>3200.9</v>
      </c>
      <c r="E200" s="192" t="n">
        <v>-400</v>
      </c>
      <c r="F200" s="193" t="n">
        <v>775</v>
      </c>
      <c r="G200" s="176"/>
      <c r="H200" s="174" t="e">
        <f aca="false">VLOOKUP(C200,#REF!,5,FALSE())</f>
        <v>#VALUE!</v>
      </c>
      <c r="I200" s="175" t="e">
        <f aca="false">G200-H200</f>
        <v>#VALUE!</v>
      </c>
    </row>
    <row r="201" customFormat="false" ht="12.75" hidden="false" customHeight="true" outlineLevel="0" collapsed="false">
      <c r="A201" s="2"/>
      <c r="B201" s="201"/>
      <c r="C201" s="178" t="n">
        <v>127</v>
      </c>
      <c r="D201" s="191" t="n">
        <v>3251.25</v>
      </c>
      <c r="E201" s="192" t="n">
        <v>-200</v>
      </c>
      <c r="F201" s="193" t="n">
        <v>775</v>
      </c>
      <c r="G201" s="176"/>
      <c r="H201" s="174" t="e">
        <f aca="false">VLOOKUP(C201,#REF!,5,FALSE())</f>
        <v>#VALUE!</v>
      </c>
      <c r="I201" s="175" t="e">
        <f aca="false">G201-H201</f>
        <v>#VALUE!</v>
      </c>
    </row>
    <row r="202" customFormat="false" ht="12.75" hidden="false" customHeight="true" outlineLevel="0" collapsed="false">
      <c r="A202" s="2"/>
      <c r="B202" s="201"/>
      <c r="C202" s="178" t="n">
        <v>128</v>
      </c>
      <c r="D202" s="191" t="n">
        <v>3500</v>
      </c>
      <c r="E202" s="192" t="n">
        <v>-200</v>
      </c>
      <c r="F202" s="193" t="n">
        <v>731.48</v>
      </c>
      <c r="G202" s="176"/>
      <c r="H202" s="174" t="e">
        <f aca="false">VLOOKUP(C202,#REF!,5,FALSE())</f>
        <v>#VALUE!</v>
      </c>
      <c r="I202" s="175" t="e">
        <f aca="false">G202-H202</f>
        <v>#VALUE!</v>
      </c>
    </row>
    <row r="203" customFormat="false" ht="12.75" hidden="false" customHeight="true" outlineLevel="0" collapsed="false">
      <c r="A203" s="2"/>
      <c r="B203" s="201"/>
      <c r="C203" s="214" t="n">
        <v>132</v>
      </c>
      <c r="D203" s="195" t="n">
        <v>3500</v>
      </c>
      <c r="E203" s="196" t="n">
        <v>-400</v>
      </c>
      <c r="F203" s="197" t="n">
        <v>721.2</v>
      </c>
      <c r="G203" s="221"/>
      <c r="H203" s="199" t="e">
        <f aca="false">VLOOKUP(C203,#REF!,5,FALSE())</f>
        <v>#VALUE!</v>
      </c>
      <c r="I203" s="200" t="e">
        <f aca="false">G203-H203</f>
        <v>#VALUE!</v>
      </c>
    </row>
    <row r="204" customFormat="false" ht="12.75" hidden="false" customHeight="true" outlineLevel="0" collapsed="false">
      <c r="A204" s="2"/>
      <c r="B204" s="201" t="s">
        <v>193</v>
      </c>
      <c r="C204" s="202" t="n">
        <v>210</v>
      </c>
      <c r="D204" s="203" t="n">
        <v>1020</v>
      </c>
      <c r="E204" s="204" t="n">
        <v>-720.9</v>
      </c>
      <c r="F204" s="205" t="n">
        <v>775</v>
      </c>
      <c r="G204" s="167"/>
      <c r="H204" s="165" t="e">
        <f aca="false">VLOOKUP(C204,#REF!,5,FALSE())</f>
        <v>#VALUE!</v>
      </c>
      <c r="I204" s="166" t="e">
        <f aca="false">G204-H204</f>
        <v>#VALUE!</v>
      </c>
    </row>
    <row r="205" customFormat="false" ht="12.75" hidden="false" customHeight="true" outlineLevel="0" collapsed="false">
      <c r="A205" s="2"/>
      <c r="B205" s="201"/>
      <c r="C205" s="190" t="n">
        <v>211</v>
      </c>
      <c r="D205" s="191" t="n">
        <v>1100</v>
      </c>
      <c r="E205" s="192" t="n">
        <v>-698.8</v>
      </c>
      <c r="F205" s="193" t="n">
        <v>830</v>
      </c>
      <c r="G205" s="176"/>
      <c r="H205" s="174" t="e">
        <f aca="false">VLOOKUP(C205,#REF!,5,FALSE())</f>
        <v>#VALUE!</v>
      </c>
      <c r="I205" s="175" t="e">
        <f aca="false">G205-H205</f>
        <v>#VALUE!</v>
      </c>
    </row>
    <row r="206" customFormat="false" ht="12.75" hidden="false" customHeight="true" outlineLevel="0" collapsed="false">
      <c r="A206" s="2"/>
      <c r="B206" s="201"/>
      <c r="C206" s="190" t="n">
        <v>212</v>
      </c>
      <c r="D206" s="191" t="n">
        <v>1200</v>
      </c>
      <c r="E206" s="192" t="n">
        <v>-676.7</v>
      </c>
      <c r="F206" s="193" t="n">
        <v>880</v>
      </c>
      <c r="G206" s="176"/>
      <c r="H206" s="174" t="e">
        <f aca="false">VLOOKUP(C206,#REF!,5,FALSE())</f>
        <v>#VALUE!</v>
      </c>
      <c r="I206" s="175" t="e">
        <f aca="false">G206-H206</f>
        <v>#VALUE!</v>
      </c>
    </row>
    <row r="207" customFormat="false" ht="12.75" hidden="false" customHeight="true" outlineLevel="0" collapsed="false">
      <c r="A207" s="2"/>
      <c r="B207" s="201"/>
      <c r="C207" s="190" t="n">
        <v>213</v>
      </c>
      <c r="D207" s="191" t="n">
        <v>1300</v>
      </c>
      <c r="E207" s="192" t="n">
        <v>-654.5</v>
      </c>
      <c r="F207" s="193" t="n">
        <v>925</v>
      </c>
      <c r="G207" s="176"/>
      <c r="H207" s="174" t="e">
        <f aca="false">VLOOKUP(C207,#REF!,5,FALSE())</f>
        <v>#VALUE!</v>
      </c>
      <c r="I207" s="175" t="e">
        <f aca="false">G207-H207</f>
        <v>#VALUE!</v>
      </c>
    </row>
    <row r="208" customFormat="false" ht="12.75" hidden="false" customHeight="true" outlineLevel="0" collapsed="false">
      <c r="A208" s="2"/>
      <c r="B208" s="201"/>
      <c r="C208" s="190" t="n">
        <v>214</v>
      </c>
      <c r="D208" s="191" t="n">
        <v>1400</v>
      </c>
      <c r="E208" s="192" t="n">
        <v>-641.8</v>
      </c>
      <c r="F208" s="193" t="n">
        <v>950</v>
      </c>
      <c r="G208" s="176"/>
      <c r="H208" s="174" t="e">
        <f aca="false">VLOOKUP(C208,#REF!,5,FALSE())</f>
        <v>#VALUE!</v>
      </c>
      <c r="I208" s="175" t="e">
        <f aca="false">G208-H208</f>
        <v>#VALUE!</v>
      </c>
    </row>
    <row r="209" customFormat="false" ht="12.75" hidden="false" customHeight="true" outlineLevel="0" collapsed="false">
      <c r="A209" s="2"/>
      <c r="B209" s="201"/>
      <c r="C209" s="190" t="n">
        <v>54</v>
      </c>
      <c r="D209" s="191" t="n">
        <v>1500</v>
      </c>
      <c r="E209" s="192" t="n">
        <v>-628.05</v>
      </c>
      <c r="F209" s="193" t="n">
        <v>975</v>
      </c>
      <c r="G209" s="176"/>
      <c r="H209" s="174" t="e">
        <f aca="false">VLOOKUP(C209,#REF!,5,FALSE())</f>
        <v>#VALUE!</v>
      </c>
      <c r="I209" s="175" t="e">
        <f aca="false">G209-H209</f>
        <v>#VALUE!</v>
      </c>
    </row>
    <row r="210" customFormat="false" ht="12.75" hidden="false" customHeight="true" outlineLevel="0" collapsed="false">
      <c r="A210" s="2"/>
      <c r="B210" s="201"/>
      <c r="C210" s="190" t="n">
        <v>209</v>
      </c>
      <c r="D210" s="191" t="n">
        <v>1020</v>
      </c>
      <c r="E210" s="192" t="n">
        <v>-741.1</v>
      </c>
      <c r="F210" s="193" t="n">
        <v>725</v>
      </c>
      <c r="G210" s="176"/>
      <c r="H210" s="174" t="e">
        <f aca="false">VLOOKUP(C210,#REF!,5,FALSE())</f>
        <v>#VALUE!</v>
      </c>
      <c r="I210" s="175" t="e">
        <f aca="false">G210-H210</f>
        <v>#VALUE!</v>
      </c>
    </row>
    <row r="211" customFormat="false" ht="12.75" hidden="false" customHeight="true" outlineLevel="0" collapsed="false">
      <c r="A211" s="2"/>
      <c r="B211" s="201"/>
      <c r="C211" s="190" t="n">
        <v>46</v>
      </c>
      <c r="D211" s="191" t="n">
        <v>1100</v>
      </c>
      <c r="E211" s="192" t="n">
        <v>-723.63</v>
      </c>
      <c r="F211" s="193" t="n">
        <v>775</v>
      </c>
      <c r="G211" s="176"/>
      <c r="H211" s="174" t="e">
        <f aca="false">VLOOKUP(C211,#REF!,5,FALSE())</f>
        <v>#VALUE!</v>
      </c>
      <c r="I211" s="175" t="e">
        <f aca="false">G211-H211</f>
        <v>#VALUE!</v>
      </c>
    </row>
    <row r="212" customFormat="false" ht="12.75" hidden="false" customHeight="true" outlineLevel="0" collapsed="false">
      <c r="A212" s="2"/>
      <c r="B212" s="201"/>
      <c r="C212" s="190" t="n">
        <v>215</v>
      </c>
      <c r="D212" s="191" t="n">
        <v>1200</v>
      </c>
      <c r="E212" s="192" t="n">
        <v>-706.5</v>
      </c>
      <c r="F212" s="193" t="n">
        <v>820</v>
      </c>
      <c r="G212" s="176"/>
      <c r="H212" s="174" t="e">
        <f aca="false">VLOOKUP(C212,#REF!,5,FALSE())</f>
        <v>#VALUE!</v>
      </c>
      <c r="I212" s="175" t="e">
        <f aca="false">G212-H212</f>
        <v>#VALUE!</v>
      </c>
    </row>
    <row r="213" customFormat="false" ht="12.75" hidden="false" customHeight="true" outlineLevel="0" collapsed="false">
      <c r="A213" s="2"/>
      <c r="B213" s="201"/>
      <c r="C213" s="190" t="n">
        <v>47</v>
      </c>
      <c r="D213" s="191" t="n">
        <v>1300</v>
      </c>
      <c r="E213" s="192" t="n">
        <v>-681.85</v>
      </c>
      <c r="F213" s="193" t="n">
        <v>875</v>
      </c>
      <c r="G213" s="176"/>
      <c r="H213" s="174" t="e">
        <f aca="false">VLOOKUP(C213,#REF!,5,FALSE())</f>
        <v>#VALUE!</v>
      </c>
      <c r="I213" s="175" t="e">
        <f aca="false">G213-H213</f>
        <v>#VALUE!</v>
      </c>
    </row>
    <row r="214" customFormat="false" ht="12.75" hidden="false" customHeight="true" outlineLevel="0" collapsed="false">
      <c r="A214" s="2"/>
      <c r="B214" s="201"/>
      <c r="C214" s="190" t="n">
        <v>217</v>
      </c>
      <c r="D214" s="191" t="n">
        <v>1400</v>
      </c>
      <c r="E214" s="192" t="n">
        <v>-681.2</v>
      </c>
      <c r="F214" s="193" t="n">
        <v>880</v>
      </c>
      <c r="G214" s="176"/>
      <c r="H214" s="174" t="e">
        <f aca="false">VLOOKUP(C214,#REF!,5,FALSE())</f>
        <v>#VALUE!</v>
      </c>
      <c r="I214" s="175" t="e">
        <f aca="false">G214-H214</f>
        <v>#VALUE!</v>
      </c>
    </row>
    <row r="215" customFormat="false" ht="12.75" hidden="false" customHeight="true" outlineLevel="0" collapsed="false">
      <c r="A215" s="2"/>
      <c r="B215" s="201"/>
      <c r="C215" s="190" t="n">
        <v>53</v>
      </c>
      <c r="D215" s="191" t="n">
        <v>1500</v>
      </c>
      <c r="E215" s="192" t="n">
        <v>-685.2</v>
      </c>
      <c r="F215" s="193" t="n">
        <v>875</v>
      </c>
      <c r="G215" s="176"/>
      <c r="H215" s="174" t="e">
        <f aca="false">VLOOKUP(C215,#REF!,5,FALSE())</f>
        <v>#VALUE!</v>
      </c>
      <c r="I215" s="175" t="e">
        <f aca="false">G215-H215</f>
        <v>#VALUE!</v>
      </c>
    </row>
    <row r="216" customFormat="false" ht="12.75" hidden="false" customHeight="true" outlineLevel="0" collapsed="false">
      <c r="A216" s="2"/>
      <c r="B216" s="201"/>
      <c r="C216" s="190" t="n">
        <v>216</v>
      </c>
      <c r="D216" s="191" t="n">
        <v>1200</v>
      </c>
      <c r="E216" s="192" t="n">
        <v>-724.4</v>
      </c>
      <c r="F216" s="193" t="n">
        <v>780</v>
      </c>
      <c r="G216" s="176"/>
      <c r="H216" s="174" t="e">
        <f aca="false">VLOOKUP(C216,#REF!,5,FALSE())</f>
        <v>#VALUE!</v>
      </c>
      <c r="I216" s="175" t="e">
        <f aca="false">G216-H216</f>
        <v>#VALUE!</v>
      </c>
    </row>
    <row r="217" customFormat="false" ht="12.75" hidden="false" customHeight="true" outlineLevel="0" collapsed="false">
      <c r="A217" s="2"/>
      <c r="B217" s="201"/>
      <c r="C217" s="190" t="n">
        <v>50</v>
      </c>
      <c r="D217" s="191" t="n">
        <v>1300</v>
      </c>
      <c r="E217" s="192" t="n">
        <v>-728.8</v>
      </c>
      <c r="F217" s="193" t="n">
        <v>775</v>
      </c>
      <c r="G217" s="176"/>
      <c r="H217" s="174" t="e">
        <f aca="false">VLOOKUP(C217,#REF!,5,FALSE())</f>
        <v>#VALUE!</v>
      </c>
      <c r="I217" s="175" t="e">
        <f aca="false">G217-H217</f>
        <v>#VALUE!</v>
      </c>
    </row>
    <row r="218" customFormat="false" ht="12.75" hidden="false" customHeight="true" outlineLevel="0" collapsed="false">
      <c r="A218" s="2"/>
      <c r="B218" s="201"/>
      <c r="C218" s="190" t="n">
        <v>218</v>
      </c>
      <c r="D218" s="191" t="n">
        <v>1400</v>
      </c>
      <c r="E218" s="192" t="n">
        <v>-728.5</v>
      </c>
      <c r="F218" s="193" t="n">
        <v>780</v>
      </c>
      <c r="G218" s="176"/>
      <c r="H218" s="174" t="e">
        <f aca="false">VLOOKUP(C218,#REF!,5,FALSE())</f>
        <v>#VALUE!</v>
      </c>
      <c r="I218" s="175" t="e">
        <f aca="false">G218-H218</f>
        <v>#VALUE!</v>
      </c>
    </row>
    <row r="219" customFormat="false" ht="12.75" hidden="false" customHeight="true" outlineLevel="0" collapsed="false">
      <c r="A219" s="2"/>
      <c r="B219" s="201"/>
      <c r="C219" s="190" t="n">
        <v>52</v>
      </c>
      <c r="D219" s="191" t="n">
        <v>1500</v>
      </c>
      <c r="E219" s="192" t="n">
        <v>-731.85</v>
      </c>
      <c r="F219" s="193" t="n">
        <v>775</v>
      </c>
      <c r="G219" s="176"/>
      <c r="H219" s="174" t="e">
        <f aca="false">VLOOKUP(C219,#REF!,5,FALSE())</f>
        <v>#VALUE!</v>
      </c>
      <c r="I219" s="175" t="e">
        <f aca="false">G219-H219</f>
        <v>#VALUE!</v>
      </c>
    </row>
    <row r="220" customFormat="false" ht="12.75" hidden="false" customHeight="true" outlineLevel="0" collapsed="false">
      <c r="A220" s="2"/>
      <c r="B220" s="201"/>
      <c r="C220" s="190" t="n">
        <v>208</v>
      </c>
      <c r="D220" s="191" t="n">
        <v>1020</v>
      </c>
      <c r="E220" s="192" t="n">
        <v>-759</v>
      </c>
      <c r="F220" s="193" t="n">
        <v>675</v>
      </c>
      <c r="G220" s="176"/>
      <c r="H220" s="174" t="e">
        <f aca="false">VLOOKUP(C220,#REF!,5,FALSE())</f>
        <v>#VALUE!</v>
      </c>
      <c r="I220" s="175" t="e">
        <f aca="false">G220-H220</f>
        <v>#VALUE!</v>
      </c>
    </row>
    <row r="221" customFormat="false" ht="12.75" hidden="false" customHeight="true" outlineLevel="0" collapsed="false">
      <c r="A221" s="2"/>
      <c r="B221" s="201"/>
      <c r="C221" s="190" t="n">
        <v>48</v>
      </c>
      <c r="D221" s="191" t="n">
        <v>1100</v>
      </c>
      <c r="E221" s="192" t="n">
        <v>-761.53</v>
      </c>
      <c r="F221" s="193" t="n">
        <v>675</v>
      </c>
      <c r="G221" s="176"/>
      <c r="H221" s="174" t="e">
        <f aca="false">VLOOKUP(C221,#REF!,5,FALSE())</f>
        <v>#VALUE!</v>
      </c>
      <c r="I221" s="175" t="e">
        <f aca="false">G221-H221</f>
        <v>#VALUE!</v>
      </c>
    </row>
    <row r="222" customFormat="false" ht="12.75" hidden="false" customHeight="true" outlineLevel="0" collapsed="false">
      <c r="A222" s="2"/>
      <c r="B222" s="201"/>
      <c r="C222" s="190" t="n">
        <v>49</v>
      </c>
      <c r="D222" s="191" t="n">
        <v>1300</v>
      </c>
      <c r="E222" s="192" t="n">
        <v>-766.35</v>
      </c>
      <c r="F222" s="193" t="n">
        <v>675</v>
      </c>
      <c r="G222" s="176"/>
      <c r="H222" s="174" t="e">
        <f aca="false">VLOOKUP(C222,#REF!,5,FALSE())</f>
        <v>#VALUE!</v>
      </c>
      <c r="I222" s="175" t="e">
        <f aca="false">G222-H222</f>
        <v>#VALUE!</v>
      </c>
    </row>
    <row r="223" customFormat="false" ht="12.75" hidden="false" customHeight="true" outlineLevel="0" collapsed="false">
      <c r="A223" s="2"/>
      <c r="B223" s="201"/>
      <c r="C223" s="194" t="n">
        <v>51</v>
      </c>
      <c r="D223" s="195" t="n">
        <v>1500</v>
      </c>
      <c r="E223" s="196" t="n">
        <v>-769.13</v>
      </c>
      <c r="F223" s="197" t="n">
        <v>675</v>
      </c>
      <c r="G223" s="221"/>
      <c r="H223" s="199" t="e">
        <f aca="false">VLOOKUP(C223,#REF!,5,FALSE())</f>
        <v>#VALUE!</v>
      </c>
      <c r="I223" s="200" t="e">
        <f aca="false">G223-H223</f>
        <v>#VALUE!</v>
      </c>
    </row>
    <row r="224" customFormat="false" ht="12.75" hidden="false" customHeight="true" outlineLevel="0" collapsed="false">
      <c r="A224" s="2"/>
      <c r="B224" s="215"/>
      <c r="C224" s="2"/>
      <c r="D224" s="2"/>
      <c r="E224" s="2"/>
      <c r="F224" s="2"/>
      <c r="G224" s="2"/>
      <c r="H224" s="2"/>
      <c r="I224" s="2"/>
    </row>
    <row r="225" customFormat="false" ht="12.75" hidden="false" customHeight="true" outlineLevel="0" collapsed="false">
      <c r="A225" s="2"/>
      <c r="B225" s="215"/>
      <c r="C225" s="2"/>
      <c r="D225" s="2"/>
      <c r="E225" s="2"/>
      <c r="F225" s="2"/>
      <c r="G225" s="2"/>
      <c r="H225" s="2"/>
      <c r="I225" s="2"/>
    </row>
    <row r="226" customFormat="false" ht="12.75" hidden="false" customHeight="true" outlineLevel="0" collapsed="false">
      <c r="A226" s="2"/>
      <c r="B226" s="215"/>
      <c r="C226" s="2"/>
      <c r="D226" s="2"/>
      <c r="E226" s="2"/>
      <c r="F226" s="2"/>
      <c r="G226" s="2"/>
      <c r="H226" s="2"/>
      <c r="I226" s="2"/>
    </row>
    <row r="227" customFormat="false" ht="12.75" hidden="false" customHeight="true" outlineLevel="0" collapsed="false">
      <c r="B227" s="215"/>
      <c r="C227" s="2"/>
      <c r="D227" s="2"/>
      <c r="E227" s="2"/>
      <c r="F227" s="2"/>
    </row>
    <row r="228" customFormat="false" ht="12.75" hidden="false" customHeight="true" outlineLevel="0" collapsed="false">
      <c r="B228" s="215"/>
      <c r="C228" s="2"/>
      <c r="D228" s="2"/>
      <c r="E228" s="2"/>
      <c r="F228" s="2"/>
    </row>
    <row r="229" customFormat="false" ht="12.75" hidden="false" customHeight="true" outlineLevel="0" collapsed="false">
      <c r="B229" s="215"/>
      <c r="C229" s="2"/>
      <c r="D229" s="2"/>
      <c r="E229" s="2"/>
      <c r="F229" s="2"/>
    </row>
    <row r="230" customFormat="false" ht="12.75" hidden="false" customHeight="true" outlineLevel="0" collapsed="false">
      <c r="B230" s="215"/>
      <c r="C230" s="2"/>
      <c r="D230" s="2"/>
      <c r="E230" s="2"/>
      <c r="F230" s="2"/>
    </row>
    <row r="231" customFormat="false" ht="12.75" hidden="false" customHeight="true" outlineLevel="0" collapsed="false">
      <c r="B231" s="215"/>
      <c r="C231" s="2"/>
      <c r="D231" s="2"/>
      <c r="E231" s="2"/>
      <c r="F231" s="2"/>
    </row>
    <row r="232" customFormat="false" ht="12.75" hidden="false" customHeight="true" outlineLevel="0" collapsed="false">
      <c r="B232" s="215"/>
      <c r="C232" s="2"/>
      <c r="D232" s="2"/>
      <c r="E232" s="2"/>
      <c r="F232" s="2"/>
    </row>
    <row r="233" customFormat="false" ht="12.75" hidden="false" customHeight="true" outlineLevel="0" collapsed="false">
      <c r="B233" s="215"/>
      <c r="C233" s="2"/>
      <c r="D233" s="2"/>
      <c r="E233" s="2"/>
      <c r="F233" s="2"/>
    </row>
    <row r="234" customFormat="false" ht="12.75" hidden="false" customHeight="true" outlineLevel="0" collapsed="false">
      <c r="B234" s="215"/>
      <c r="C234" s="2"/>
      <c r="D234" s="2"/>
      <c r="E234" s="2"/>
      <c r="F234" s="2"/>
    </row>
    <row r="235" customFormat="false" ht="12.75" hidden="false" customHeight="true" outlineLevel="0" collapsed="false">
      <c r="B235" s="215"/>
      <c r="C235" s="2"/>
      <c r="D235" s="2"/>
      <c r="E235" s="2"/>
      <c r="F235" s="2"/>
    </row>
    <row r="236" customFormat="false" ht="12.75" hidden="false" customHeight="true" outlineLevel="0" collapsed="false">
      <c r="B236" s="215"/>
      <c r="C236" s="2"/>
      <c r="D236" s="2"/>
      <c r="E236" s="2"/>
      <c r="F236" s="2"/>
    </row>
    <row r="237" customFormat="false" ht="12.75" hidden="false" customHeight="true" outlineLevel="0" collapsed="false">
      <c r="B237" s="215"/>
      <c r="C237" s="2"/>
      <c r="D237" s="2"/>
      <c r="E237" s="2"/>
      <c r="F237" s="2"/>
    </row>
    <row r="238" customFormat="false" ht="12.75" hidden="false" customHeight="true" outlineLevel="0" collapsed="false">
      <c r="B238" s="215"/>
      <c r="C238" s="2"/>
      <c r="D238" s="2"/>
      <c r="E238" s="2"/>
      <c r="F238" s="2"/>
    </row>
    <row r="239" customFormat="false" ht="12.75" hidden="false" customHeight="true" outlineLevel="0" collapsed="false">
      <c r="B239" s="215"/>
      <c r="C239" s="2"/>
      <c r="D239" s="2"/>
      <c r="E239" s="2"/>
      <c r="F239" s="2"/>
    </row>
    <row r="240" customFormat="false" ht="12.75" hidden="false" customHeight="true" outlineLevel="0" collapsed="false">
      <c r="B240" s="215"/>
      <c r="C240" s="2"/>
      <c r="D240" s="2"/>
      <c r="E240" s="2"/>
      <c r="F240" s="2"/>
    </row>
    <row r="241" customFormat="false" ht="12.75" hidden="false" customHeight="true" outlineLevel="0" collapsed="false">
      <c r="B241" s="215"/>
      <c r="C241" s="2"/>
      <c r="D241" s="2"/>
      <c r="E241" s="2"/>
      <c r="F241" s="2"/>
    </row>
    <row r="242" customFormat="false" ht="12.75" hidden="false" customHeight="true" outlineLevel="0" collapsed="false">
      <c r="B242" s="215"/>
      <c r="C242" s="2"/>
      <c r="D242" s="2"/>
      <c r="E242" s="2"/>
      <c r="F242" s="2"/>
    </row>
    <row r="243" customFormat="false" ht="12.75" hidden="false" customHeight="true" outlineLevel="0" collapsed="false">
      <c r="B243" s="215"/>
      <c r="C243" s="2"/>
      <c r="D243" s="2"/>
      <c r="E243" s="2"/>
      <c r="F243" s="2"/>
    </row>
    <row r="244" customFormat="false" ht="12.75" hidden="false" customHeight="true" outlineLevel="0" collapsed="false">
      <c r="B244" s="215"/>
      <c r="C244" s="2"/>
      <c r="D244" s="2"/>
      <c r="E244" s="2"/>
      <c r="F244" s="2"/>
    </row>
    <row r="245" customFormat="false" ht="12.75" hidden="false" customHeight="true" outlineLevel="0" collapsed="false">
      <c r="B245" s="215"/>
      <c r="C245" s="2"/>
      <c r="D245" s="2"/>
      <c r="E245" s="2"/>
      <c r="F245" s="2"/>
    </row>
    <row r="246" customFormat="false" ht="12.75" hidden="false" customHeight="true" outlineLevel="0" collapsed="false">
      <c r="B246" s="215"/>
      <c r="C246" s="2"/>
      <c r="D246" s="2"/>
      <c r="E246" s="2"/>
      <c r="F246" s="2"/>
    </row>
    <row r="247" customFormat="false" ht="12.75" hidden="false" customHeight="true" outlineLevel="0" collapsed="false">
      <c r="B247" s="215"/>
      <c r="C247" s="2"/>
      <c r="D247" s="2"/>
      <c r="E247" s="2"/>
      <c r="F247" s="2"/>
    </row>
    <row r="248" customFormat="false" ht="12.75" hidden="false" customHeight="true" outlineLevel="0" collapsed="false">
      <c r="B248" s="215"/>
      <c r="C248" s="2"/>
      <c r="D248" s="2"/>
      <c r="E248" s="2"/>
      <c r="F248" s="2"/>
    </row>
    <row r="249" customFormat="false" ht="12.75" hidden="false" customHeight="true" outlineLevel="0" collapsed="false">
      <c r="B249" s="215"/>
      <c r="C249" s="2"/>
      <c r="D249" s="2"/>
      <c r="E249" s="2"/>
      <c r="F249" s="2"/>
    </row>
    <row r="250" customFormat="false" ht="12.75" hidden="false" customHeight="true" outlineLevel="0" collapsed="false">
      <c r="B250" s="215"/>
      <c r="C250" s="2"/>
      <c r="D250" s="2"/>
      <c r="E250" s="2"/>
      <c r="F250" s="2"/>
    </row>
    <row r="251" customFormat="false" ht="12.75" hidden="false" customHeight="true" outlineLevel="0" collapsed="false">
      <c r="B251" s="215"/>
      <c r="C251" s="2"/>
      <c r="D251" s="2"/>
      <c r="E251" s="2"/>
      <c r="F251" s="2"/>
    </row>
    <row r="252" customFormat="false" ht="12.75" hidden="false" customHeight="true" outlineLevel="0" collapsed="false">
      <c r="B252" s="215"/>
      <c r="C252" s="2"/>
      <c r="D252" s="2"/>
      <c r="E252" s="2"/>
      <c r="F252" s="2"/>
    </row>
    <row r="253" customFormat="false" ht="12.75" hidden="false" customHeight="true" outlineLevel="0" collapsed="false">
      <c r="B253" s="215"/>
      <c r="C253" s="2"/>
      <c r="D253" s="2"/>
      <c r="E253" s="2"/>
      <c r="F253" s="2"/>
    </row>
    <row r="254" customFormat="false" ht="12.75" hidden="false" customHeight="true" outlineLevel="0" collapsed="false">
      <c r="B254" s="215"/>
      <c r="C254" s="2"/>
      <c r="D254" s="2"/>
      <c r="E254" s="2"/>
      <c r="F254" s="2"/>
    </row>
    <row r="255" customFormat="false" ht="12.75" hidden="false" customHeight="true" outlineLevel="0" collapsed="false">
      <c r="B255" s="215"/>
      <c r="C255" s="2"/>
      <c r="D255" s="2"/>
      <c r="E255" s="2"/>
      <c r="F255" s="2"/>
    </row>
    <row r="256" customFormat="false" ht="12.75" hidden="false" customHeight="true" outlineLevel="0" collapsed="false">
      <c r="B256" s="215"/>
      <c r="C256" s="2"/>
      <c r="D256" s="2"/>
      <c r="E256" s="2"/>
      <c r="F256" s="2"/>
    </row>
    <row r="257" customFormat="false" ht="12.75" hidden="false" customHeight="true" outlineLevel="0" collapsed="false">
      <c r="B257" s="215"/>
      <c r="C257" s="2"/>
      <c r="D257" s="2"/>
      <c r="E257" s="2"/>
      <c r="F257" s="2"/>
    </row>
    <row r="258" customFormat="false" ht="12.75" hidden="false" customHeight="true" outlineLevel="0" collapsed="false">
      <c r="B258" s="215"/>
      <c r="C258" s="2"/>
      <c r="D258" s="2"/>
      <c r="E258" s="2"/>
      <c r="F258" s="2"/>
    </row>
    <row r="259" customFormat="false" ht="12.75" hidden="false" customHeight="true" outlineLevel="0" collapsed="false">
      <c r="B259" s="215"/>
      <c r="C259" s="2"/>
      <c r="D259" s="2"/>
      <c r="E259" s="2"/>
      <c r="F259" s="2"/>
    </row>
    <row r="260" customFormat="false" ht="12.75" hidden="false" customHeight="true" outlineLevel="0" collapsed="false">
      <c r="B260" s="215"/>
      <c r="C260" s="2"/>
      <c r="D260" s="2"/>
      <c r="E260" s="2"/>
      <c r="F260" s="2"/>
    </row>
    <row r="261" customFormat="false" ht="12.75" hidden="false" customHeight="true" outlineLevel="0" collapsed="false">
      <c r="B261" s="215"/>
      <c r="C261" s="2"/>
      <c r="D261" s="2"/>
      <c r="E261" s="2"/>
      <c r="F261" s="2"/>
    </row>
    <row r="262" customFormat="false" ht="12.75" hidden="false" customHeight="true" outlineLevel="0" collapsed="false">
      <c r="B262" s="215"/>
      <c r="C262" s="2"/>
      <c r="D262" s="2"/>
      <c r="E262" s="2"/>
      <c r="F262" s="2"/>
    </row>
    <row r="263" customFormat="false" ht="12.75" hidden="false" customHeight="true" outlineLevel="0" collapsed="false">
      <c r="B263" s="215"/>
      <c r="C263" s="2"/>
      <c r="D263" s="2"/>
      <c r="E263" s="2"/>
      <c r="F263" s="2"/>
    </row>
    <row r="264" customFormat="false" ht="12.75" hidden="false" customHeight="true" outlineLevel="0" collapsed="false">
      <c r="B264" s="215"/>
      <c r="C264" s="2"/>
      <c r="D264" s="2"/>
      <c r="E264" s="2"/>
      <c r="F264" s="2"/>
    </row>
    <row r="265" customFormat="false" ht="12.75" hidden="false" customHeight="true" outlineLevel="0" collapsed="false">
      <c r="B265" s="215"/>
      <c r="C265" s="2"/>
      <c r="D265" s="2"/>
      <c r="E265" s="2"/>
      <c r="F265" s="2"/>
    </row>
    <row r="266" customFormat="false" ht="12.75" hidden="false" customHeight="true" outlineLevel="0" collapsed="false">
      <c r="B266" s="215"/>
      <c r="C266" s="2"/>
      <c r="D266" s="2"/>
      <c r="E266" s="2"/>
      <c r="F266" s="2"/>
    </row>
    <row r="267" customFormat="false" ht="12.75" hidden="false" customHeight="true" outlineLevel="0" collapsed="false">
      <c r="B267" s="215"/>
      <c r="C267" s="2"/>
      <c r="D267" s="2"/>
      <c r="E267" s="2"/>
      <c r="F267" s="2"/>
    </row>
    <row r="268" customFormat="false" ht="12.75" hidden="false" customHeight="true" outlineLevel="0" collapsed="false">
      <c r="B268" s="215"/>
      <c r="C268" s="2"/>
      <c r="D268" s="2"/>
      <c r="E268" s="2"/>
      <c r="F268" s="2"/>
    </row>
    <row r="269" customFormat="false" ht="12.75" hidden="false" customHeight="true" outlineLevel="0" collapsed="false">
      <c r="B269" s="215"/>
      <c r="C269" s="2"/>
      <c r="D269" s="2"/>
      <c r="E269" s="2"/>
      <c r="F269" s="2"/>
    </row>
    <row r="270" customFormat="false" ht="12.75" hidden="false" customHeight="true" outlineLevel="0" collapsed="false">
      <c r="B270" s="215"/>
      <c r="C270" s="2"/>
      <c r="D270" s="2"/>
      <c r="E270" s="2"/>
      <c r="F270" s="2"/>
    </row>
    <row r="271" customFormat="false" ht="12.75" hidden="false" customHeight="true" outlineLevel="0" collapsed="false">
      <c r="B271" s="215"/>
      <c r="C271" s="2"/>
      <c r="D271" s="2"/>
      <c r="E271" s="2"/>
      <c r="F271" s="2"/>
    </row>
    <row r="272" customFormat="false" ht="12.75" hidden="false" customHeight="true" outlineLevel="0" collapsed="false">
      <c r="B272" s="215"/>
      <c r="C272" s="2"/>
      <c r="D272" s="2"/>
      <c r="E272" s="2"/>
      <c r="F272" s="2"/>
    </row>
    <row r="273" customFormat="false" ht="12.75" hidden="false" customHeight="true" outlineLevel="0" collapsed="false">
      <c r="B273" s="215"/>
      <c r="C273" s="2"/>
      <c r="D273" s="2"/>
      <c r="E273" s="2"/>
      <c r="F273" s="2"/>
    </row>
    <row r="274" customFormat="false" ht="12.75" hidden="false" customHeight="true" outlineLevel="0" collapsed="false">
      <c r="B274" s="215"/>
      <c r="C274" s="2"/>
      <c r="D274" s="2"/>
      <c r="E274" s="2"/>
      <c r="F274" s="2"/>
    </row>
    <row r="275" customFormat="false" ht="12.75" hidden="false" customHeight="true" outlineLevel="0" collapsed="false">
      <c r="B275" s="215"/>
      <c r="C275" s="2"/>
      <c r="D275" s="2"/>
      <c r="E275" s="2"/>
      <c r="F275" s="2"/>
    </row>
    <row r="276" customFormat="false" ht="12.75" hidden="false" customHeight="true" outlineLevel="0" collapsed="false">
      <c r="B276" s="215"/>
      <c r="C276" s="2"/>
      <c r="D276" s="2"/>
      <c r="E276" s="2"/>
      <c r="F276" s="2"/>
    </row>
    <row r="277" customFormat="false" ht="12.75" hidden="false" customHeight="true" outlineLevel="0" collapsed="false">
      <c r="B277" s="215"/>
      <c r="C277" s="2"/>
      <c r="D277" s="2"/>
      <c r="E277" s="2"/>
      <c r="F277" s="2"/>
    </row>
    <row r="278" customFormat="false" ht="12.75" hidden="false" customHeight="true" outlineLevel="0" collapsed="false">
      <c r="B278" s="215"/>
      <c r="C278" s="2"/>
      <c r="D278" s="2"/>
      <c r="E278" s="2"/>
      <c r="F278" s="2"/>
    </row>
    <row r="279" customFormat="false" ht="12.75" hidden="false" customHeight="true" outlineLevel="0" collapsed="false">
      <c r="B279" s="215"/>
      <c r="C279" s="2"/>
      <c r="D279" s="2"/>
      <c r="E279" s="2"/>
      <c r="F279" s="2"/>
    </row>
    <row r="280" customFormat="false" ht="12.75" hidden="false" customHeight="true" outlineLevel="0" collapsed="false">
      <c r="B280" s="215"/>
      <c r="C280" s="2"/>
      <c r="D280" s="2"/>
      <c r="E280" s="2"/>
      <c r="F280" s="2"/>
    </row>
    <row r="281" customFormat="false" ht="12.75" hidden="false" customHeight="true" outlineLevel="0" collapsed="false">
      <c r="B281" s="215"/>
      <c r="C281" s="2"/>
      <c r="D281" s="2"/>
      <c r="E281" s="2"/>
      <c r="F281" s="2"/>
    </row>
    <row r="282" customFormat="false" ht="12.75" hidden="false" customHeight="true" outlineLevel="0" collapsed="false">
      <c r="B282" s="215"/>
      <c r="C282" s="2"/>
      <c r="D282" s="2"/>
      <c r="E282" s="2"/>
      <c r="F282" s="2"/>
    </row>
    <row r="283" customFormat="false" ht="12.75" hidden="false" customHeight="true" outlineLevel="0" collapsed="false">
      <c r="B283" s="215"/>
      <c r="C283" s="2"/>
      <c r="D283" s="2"/>
      <c r="E283" s="2"/>
      <c r="F283" s="2"/>
    </row>
    <row r="284" customFormat="false" ht="12.75" hidden="false" customHeight="true" outlineLevel="0" collapsed="false">
      <c r="B284" s="215"/>
      <c r="C284" s="2"/>
      <c r="D284" s="2"/>
      <c r="E284" s="2"/>
      <c r="F284" s="2"/>
    </row>
    <row r="285" customFormat="false" ht="12.75" hidden="false" customHeight="true" outlineLevel="0" collapsed="false">
      <c r="B285" s="215"/>
      <c r="C285" s="2"/>
      <c r="D285" s="2"/>
      <c r="E285" s="2"/>
      <c r="F285" s="2"/>
    </row>
    <row r="286" customFormat="false" ht="12.75" hidden="false" customHeight="true" outlineLevel="0" collapsed="false">
      <c r="B286" s="215"/>
      <c r="C286" s="2"/>
      <c r="D286" s="2"/>
      <c r="E286" s="2"/>
      <c r="F286" s="2"/>
    </row>
    <row r="287" customFormat="false" ht="12.75" hidden="false" customHeight="true" outlineLevel="0" collapsed="false">
      <c r="B287" s="215"/>
      <c r="C287" s="2"/>
      <c r="D287" s="2"/>
      <c r="E287" s="2"/>
      <c r="F287" s="2"/>
    </row>
    <row r="288" customFormat="false" ht="12.75" hidden="false" customHeight="true" outlineLevel="0" collapsed="false">
      <c r="B288" s="215"/>
      <c r="C288" s="2"/>
      <c r="D288" s="2"/>
      <c r="E288" s="2"/>
      <c r="F288" s="2"/>
    </row>
    <row r="289" customFormat="false" ht="12.75" hidden="false" customHeight="true" outlineLevel="0" collapsed="false">
      <c r="B289" s="215"/>
      <c r="C289" s="2"/>
      <c r="D289" s="2"/>
      <c r="E289" s="2"/>
      <c r="F289" s="2"/>
    </row>
    <row r="290" customFormat="false" ht="12.75" hidden="false" customHeight="true" outlineLevel="0" collapsed="false">
      <c r="B290" s="215"/>
      <c r="C290" s="2"/>
      <c r="D290" s="2"/>
      <c r="E290" s="2"/>
      <c r="F290" s="2"/>
    </row>
    <row r="291" customFormat="false" ht="12.75" hidden="false" customHeight="true" outlineLevel="0" collapsed="false">
      <c r="B291" s="215"/>
      <c r="C291" s="2"/>
      <c r="D291" s="2"/>
      <c r="E291" s="2"/>
      <c r="F291" s="2"/>
    </row>
    <row r="292" customFormat="false" ht="12.75" hidden="false" customHeight="true" outlineLevel="0" collapsed="false">
      <c r="B292" s="215"/>
      <c r="C292" s="2"/>
      <c r="D292" s="2"/>
      <c r="E292" s="2"/>
      <c r="F292" s="2"/>
    </row>
    <row r="293" customFormat="false" ht="12.75" hidden="false" customHeight="true" outlineLevel="0" collapsed="false">
      <c r="B293" s="215"/>
      <c r="C293" s="2"/>
      <c r="D293" s="2"/>
      <c r="E293" s="2"/>
      <c r="F293" s="2"/>
    </row>
    <row r="294" customFormat="false" ht="12.75" hidden="false" customHeight="true" outlineLevel="0" collapsed="false">
      <c r="B294" s="215"/>
      <c r="C294" s="2"/>
      <c r="D294" s="2"/>
      <c r="E294" s="2"/>
      <c r="F294" s="2"/>
    </row>
    <row r="295" customFormat="false" ht="12.75" hidden="false" customHeight="true" outlineLevel="0" collapsed="false">
      <c r="B295" s="215"/>
      <c r="C295" s="2"/>
      <c r="D295" s="2"/>
      <c r="E295" s="2"/>
      <c r="F295" s="2"/>
    </row>
    <row r="296" customFormat="false" ht="12.75" hidden="false" customHeight="true" outlineLevel="0" collapsed="false">
      <c r="B296" s="215"/>
      <c r="C296" s="2"/>
      <c r="D296" s="2"/>
      <c r="E296" s="2"/>
      <c r="F296" s="2"/>
    </row>
    <row r="297" customFormat="false" ht="12.75" hidden="false" customHeight="true" outlineLevel="0" collapsed="false">
      <c r="B297" s="215"/>
      <c r="C297" s="2"/>
      <c r="D297" s="2"/>
      <c r="E297" s="2"/>
      <c r="F297" s="2"/>
    </row>
    <row r="298" customFormat="false" ht="12.75" hidden="false" customHeight="true" outlineLevel="0" collapsed="false">
      <c r="B298" s="215"/>
      <c r="C298" s="2"/>
      <c r="D298" s="2"/>
      <c r="E298" s="2"/>
      <c r="F298" s="2"/>
    </row>
    <row r="299" customFormat="false" ht="12.75" hidden="false" customHeight="true" outlineLevel="0" collapsed="false">
      <c r="B299" s="215"/>
      <c r="C299" s="2"/>
      <c r="D299" s="2"/>
      <c r="E299" s="2"/>
      <c r="F299" s="2"/>
    </row>
    <row r="300" customFormat="false" ht="12.75" hidden="false" customHeight="true" outlineLevel="0" collapsed="false">
      <c r="B300" s="215"/>
      <c r="C300" s="2"/>
      <c r="D300" s="2"/>
      <c r="E300" s="2"/>
      <c r="F300" s="2"/>
    </row>
    <row r="301" customFormat="false" ht="12.75" hidden="false" customHeight="true" outlineLevel="0" collapsed="false">
      <c r="B301" s="215"/>
      <c r="C301" s="2"/>
      <c r="D301" s="2"/>
      <c r="E301" s="2"/>
      <c r="F301" s="2"/>
    </row>
    <row r="302" customFormat="false" ht="12.75" hidden="false" customHeight="true" outlineLevel="0" collapsed="false">
      <c r="B302" s="215"/>
      <c r="C302" s="2"/>
      <c r="D302" s="2"/>
      <c r="E302" s="2"/>
      <c r="F302" s="2"/>
    </row>
    <row r="303" customFormat="false" ht="12.75" hidden="false" customHeight="true" outlineLevel="0" collapsed="false">
      <c r="B303" s="215"/>
      <c r="C303" s="2"/>
      <c r="D303" s="2"/>
      <c r="E303" s="2"/>
      <c r="F303" s="2"/>
    </row>
    <row r="304" customFormat="false" ht="12.75" hidden="false" customHeight="true" outlineLevel="0" collapsed="false">
      <c r="B304" s="215"/>
      <c r="C304" s="2"/>
      <c r="D304" s="2"/>
      <c r="E304" s="2"/>
      <c r="F304" s="2"/>
    </row>
    <row r="305" customFormat="false" ht="12.75" hidden="false" customHeight="true" outlineLevel="0" collapsed="false">
      <c r="B305" s="215"/>
      <c r="C305" s="2"/>
      <c r="D305" s="2"/>
      <c r="E305" s="2"/>
      <c r="F305" s="2"/>
    </row>
    <row r="306" customFormat="false" ht="12.75" hidden="false" customHeight="true" outlineLevel="0" collapsed="false">
      <c r="B306" s="215"/>
      <c r="C306" s="2"/>
      <c r="D306" s="2"/>
      <c r="E306" s="2"/>
      <c r="F306" s="2"/>
    </row>
    <row r="307" customFormat="false" ht="12.75" hidden="false" customHeight="true" outlineLevel="0" collapsed="false">
      <c r="B307" s="215"/>
      <c r="C307" s="2"/>
      <c r="D307" s="2"/>
      <c r="E307" s="2"/>
      <c r="F307" s="2"/>
    </row>
    <row r="308" customFormat="false" ht="12.75" hidden="false" customHeight="true" outlineLevel="0" collapsed="false">
      <c r="B308" s="215"/>
      <c r="C308" s="2"/>
      <c r="D308" s="2"/>
      <c r="E308" s="2"/>
      <c r="F308" s="2"/>
    </row>
    <row r="309" customFormat="false" ht="12.75" hidden="false" customHeight="true" outlineLevel="0" collapsed="false">
      <c r="B309" s="215"/>
      <c r="C309" s="2"/>
      <c r="D309" s="2"/>
      <c r="E309" s="2"/>
      <c r="F309" s="2"/>
    </row>
    <row r="310" customFormat="false" ht="12.75" hidden="false" customHeight="true" outlineLevel="0" collapsed="false">
      <c r="B310" s="215"/>
      <c r="C310" s="2"/>
      <c r="D310" s="2"/>
      <c r="E310" s="2"/>
      <c r="F310" s="2"/>
    </row>
    <row r="311" customFormat="false" ht="12.75" hidden="false" customHeight="true" outlineLevel="0" collapsed="false">
      <c r="B311" s="215"/>
      <c r="C311" s="2"/>
      <c r="D311" s="2"/>
      <c r="E311" s="2"/>
      <c r="F311" s="2"/>
    </row>
    <row r="312" customFormat="false" ht="12.75" hidden="false" customHeight="true" outlineLevel="0" collapsed="false">
      <c r="B312" s="215"/>
      <c r="C312" s="2"/>
      <c r="D312" s="2"/>
      <c r="E312" s="2"/>
      <c r="F312" s="2"/>
    </row>
    <row r="313" customFormat="false" ht="12.75" hidden="false" customHeight="true" outlineLevel="0" collapsed="false">
      <c r="B313" s="215"/>
      <c r="C313" s="2"/>
      <c r="D313" s="2"/>
      <c r="E313" s="2"/>
      <c r="F313" s="2"/>
    </row>
    <row r="314" customFormat="false" ht="12.75" hidden="false" customHeight="true" outlineLevel="0" collapsed="false">
      <c r="B314" s="215"/>
      <c r="C314" s="2"/>
      <c r="D314" s="2"/>
      <c r="E314" s="2"/>
      <c r="F314" s="2"/>
    </row>
    <row r="315" customFormat="false" ht="12.75" hidden="false" customHeight="true" outlineLevel="0" collapsed="false">
      <c r="B315" s="215"/>
      <c r="C315" s="2"/>
      <c r="D315" s="2"/>
      <c r="E315" s="2"/>
      <c r="F315" s="2"/>
    </row>
    <row r="316" customFormat="false" ht="12.75" hidden="false" customHeight="true" outlineLevel="0" collapsed="false">
      <c r="B316" s="215"/>
      <c r="C316" s="2"/>
      <c r="D316" s="2"/>
      <c r="E316" s="2"/>
      <c r="F316" s="2"/>
    </row>
    <row r="317" customFormat="false" ht="12.75" hidden="false" customHeight="true" outlineLevel="0" collapsed="false">
      <c r="B317" s="215"/>
      <c r="C317" s="2"/>
      <c r="D317" s="2"/>
      <c r="E317" s="2"/>
      <c r="F317" s="2"/>
    </row>
    <row r="318" customFormat="false" ht="12.75" hidden="false" customHeight="true" outlineLevel="0" collapsed="false">
      <c r="B318" s="215"/>
      <c r="C318" s="2"/>
      <c r="D318" s="2"/>
      <c r="E318" s="2"/>
      <c r="F318" s="2"/>
    </row>
    <row r="319" customFormat="false" ht="12.75" hidden="false" customHeight="true" outlineLevel="0" collapsed="false">
      <c r="B319" s="215"/>
      <c r="C319" s="2"/>
      <c r="D319" s="2"/>
      <c r="E319" s="2"/>
      <c r="F319" s="2"/>
    </row>
    <row r="320" customFormat="false" ht="12.75" hidden="false" customHeight="true" outlineLevel="0" collapsed="false">
      <c r="B320" s="215"/>
      <c r="C320" s="2"/>
      <c r="D320" s="2"/>
      <c r="E320" s="2"/>
      <c r="F320" s="2"/>
    </row>
    <row r="321" customFormat="false" ht="12.75" hidden="false" customHeight="true" outlineLevel="0" collapsed="false">
      <c r="B321" s="215"/>
      <c r="C321" s="2"/>
      <c r="D321" s="2"/>
      <c r="E321" s="2"/>
      <c r="F321" s="2"/>
    </row>
    <row r="322" customFormat="false" ht="12.75" hidden="false" customHeight="true" outlineLevel="0" collapsed="false">
      <c r="B322" s="215"/>
      <c r="C322" s="2"/>
      <c r="D322" s="2"/>
      <c r="E322" s="2"/>
      <c r="F322" s="2"/>
    </row>
    <row r="323" customFormat="false" ht="12.75" hidden="false" customHeight="true" outlineLevel="0" collapsed="false">
      <c r="B323" s="215"/>
      <c r="C323" s="2"/>
      <c r="D323" s="2"/>
      <c r="E323" s="2"/>
      <c r="F323" s="2"/>
    </row>
    <row r="324" customFormat="false" ht="12.75" hidden="false" customHeight="true" outlineLevel="0" collapsed="false">
      <c r="B324" s="215"/>
      <c r="C324" s="2"/>
      <c r="D324" s="2"/>
      <c r="E324" s="2"/>
      <c r="F324" s="2"/>
    </row>
    <row r="325" customFormat="false" ht="12.75" hidden="false" customHeight="true" outlineLevel="0" collapsed="false">
      <c r="B325" s="215"/>
      <c r="C325" s="2"/>
      <c r="D325" s="2"/>
      <c r="E325" s="2"/>
      <c r="F325" s="2"/>
    </row>
    <row r="326" customFormat="false" ht="12.75" hidden="false" customHeight="true" outlineLevel="0" collapsed="false">
      <c r="B326" s="215"/>
      <c r="C326" s="2"/>
      <c r="D326" s="2"/>
      <c r="E326" s="2"/>
      <c r="F326" s="2"/>
    </row>
    <row r="327" customFormat="false" ht="12.75" hidden="false" customHeight="true" outlineLevel="0" collapsed="false">
      <c r="B327" s="215"/>
      <c r="C327" s="2"/>
      <c r="D327" s="2"/>
      <c r="E327" s="2"/>
      <c r="F327" s="2"/>
    </row>
    <row r="328" customFormat="false" ht="12.75" hidden="false" customHeight="true" outlineLevel="0" collapsed="false">
      <c r="B328" s="215"/>
      <c r="C328" s="2"/>
      <c r="D328" s="2"/>
      <c r="E328" s="2"/>
      <c r="F328" s="2"/>
    </row>
    <row r="329" customFormat="false" ht="12.75" hidden="false" customHeight="true" outlineLevel="0" collapsed="false">
      <c r="B329" s="215"/>
      <c r="C329" s="2"/>
      <c r="D329" s="2"/>
      <c r="E329" s="2"/>
      <c r="F329" s="2"/>
    </row>
    <row r="330" customFormat="false" ht="12.75" hidden="false" customHeight="true" outlineLevel="0" collapsed="false">
      <c r="B330" s="215"/>
      <c r="C330" s="2"/>
      <c r="D330" s="2"/>
      <c r="E330" s="2"/>
      <c r="F330" s="2"/>
    </row>
    <row r="331" customFormat="false" ht="12.75" hidden="false" customHeight="true" outlineLevel="0" collapsed="false">
      <c r="B331" s="215"/>
      <c r="C331" s="2"/>
      <c r="D331" s="2"/>
      <c r="E331" s="2"/>
      <c r="F331" s="2"/>
    </row>
    <row r="332" customFormat="false" ht="12.75" hidden="false" customHeight="true" outlineLevel="0" collapsed="false">
      <c r="B332" s="215"/>
      <c r="C332" s="2"/>
      <c r="D332" s="2"/>
      <c r="E332" s="2"/>
      <c r="F332" s="2"/>
    </row>
    <row r="333" customFormat="false" ht="12.75" hidden="false" customHeight="true" outlineLevel="0" collapsed="false">
      <c r="B333" s="215"/>
      <c r="C333" s="2"/>
      <c r="D333" s="2"/>
      <c r="E333" s="2"/>
      <c r="F333" s="2"/>
    </row>
    <row r="334" customFormat="false" ht="12.75" hidden="false" customHeight="true" outlineLevel="0" collapsed="false">
      <c r="B334" s="215"/>
      <c r="C334" s="2"/>
      <c r="D334" s="2"/>
      <c r="E334" s="2"/>
      <c r="F334" s="2"/>
    </row>
    <row r="335" customFormat="false" ht="12.75" hidden="false" customHeight="true" outlineLevel="0" collapsed="false">
      <c r="B335" s="215"/>
      <c r="C335" s="2"/>
      <c r="D335" s="2"/>
      <c r="E335" s="2"/>
      <c r="F335" s="2"/>
    </row>
    <row r="336" customFormat="false" ht="12.75" hidden="false" customHeight="true" outlineLevel="0" collapsed="false">
      <c r="B336" s="215"/>
      <c r="C336" s="2"/>
      <c r="D336" s="2"/>
      <c r="E336" s="2"/>
      <c r="F336" s="2"/>
    </row>
    <row r="337" customFormat="false" ht="12.75" hidden="false" customHeight="true" outlineLevel="0" collapsed="false">
      <c r="B337" s="215"/>
      <c r="C337" s="2"/>
      <c r="D337" s="2"/>
      <c r="E337" s="2"/>
      <c r="F337" s="2"/>
    </row>
    <row r="338" customFormat="false" ht="12.75" hidden="false" customHeight="true" outlineLevel="0" collapsed="false">
      <c r="B338" s="215"/>
      <c r="C338" s="2"/>
      <c r="D338" s="2"/>
      <c r="E338" s="2"/>
      <c r="F338" s="2"/>
    </row>
    <row r="339" customFormat="false" ht="12.75" hidden="false" customHeight="true" outlineLevel="0" collapsed="false">
      <c r="B339" s="215"/>
      <c r="C339" s="2"/>
      <c r="D339" s="2"/>
      <c r="E339" s="2"/>
      <c r="F339" s="2"/>
    </row>
    <row r="340" customFormat="false" ht="12.75" hidden="false" customHeight="true" outlineLevel="0" collapsed="false">
      <c r="B340" s="215"/>
      <c r="C340" s="2"/>
      <c r="D340" s="2"/>
      <c r="E340" s="2"/>
      <c r="F340" s="2"/>
    </row>
    <row r="341" customFormat="false" ht="12.75" hidden="false" customHeight="true" outlineLevel="0" collapsed="false">
      <c r="B341" s="215"/>
      <c r="C341" s="2"/>
      <c r="D341" s="2"/>
      <c r="E341" s="2"/>
      <c r="F341" s="2"/>
    </row>
    <row r="342" customFormat="false" ht="12.75" hidden="false" customHeight="true" outlineLevel="0" collapsed="false">
      <c r="B342" s="215"/>
      <c r="C342" s="2"/>
      <c r="D342" s="2"/>
      <c r="E342" s="2"/>
      <c r="F342" s="2"/>
    </row>
    <row r="343" customFormat="false" ht="12.75" hidden="false" customHeight="true" outlineLevel="0" collapsed="false">
      <c r="B343" s="215"/>
      <c r="C343" s="2"/>
      <c r="D343" s="2"/>
      <c r="E343" s="2"/>
      <c r="F343" s="2"/>
    </row>
    <row r="344" customFormat="false" ht="12.75" hidden="false" customHeight="true" outlineLevel="0" collapsed="false">
      <c r="B344" s="215"/>
      <c r="C344" s="2"/>
      <c r="D344" s="2"/>
      <c r="E344" s="2"/>
      <c r="F344" s="2"/>
    </row>
    <row r="345" customFormat="false" ht="12.75" hidden="false" customHeight="true" outlineLevel="0" collapsed="false">
      <c r="B345" s="215"/>
      <c r="C345" s="2"/>
      <c r="D345" s="2"/>
      <c r="E345" s="2"/>
      <c r="F345" s="2"/>
    </row>
    <row r="346" customFormat="false" ht="12.75" hidden="false" customHeight="true" outlineLevel="0" collapsed="false">
      <c r="B346" s="215"/>
      <c r="C346" s="2"/>
      <c r="D346" s="2"/>
      <c r="E346" s="2"/>
      <c r="F346" s="2"/>
    </row>
    <row r="347" customFormat="false" ht="12.75" hidden="false" customHeight="true" outlineLevel="0" collapsed="false">
      <c r="B347" s="215"/>
      <c r="C347" s="2"/>
      <c r="D347" s="2"/>
      <c r="E347" s="2"/>
      <c r="F347" s="2"/>
    </row>
    <row r="348" customFormat="false" ht="12.75" hidden="false" customHeight="true" outlineLevel="0" collapsed="false">
      <c r="B348" s="215"/>
      <c r="C348" s="2"/>
      <c r="D348" s="2"/>
      <c r="E348" s="2"/>
      <c r="F348" s="2"/>
    </row>
    <row r="349" customFormat="false" ht="12.75" hidden="false" customHeight="true" outlineLevel="0" collapsed="false">
      <c r="B349" s="215"/>
      <c r="C349" s="2"/>
      <c r="D349" s="2"/>
      <c r="E349" s="2"/>
      <c r="F349" s="2"/>
    </row>
    <row r="350" customFormat="false" ht="12.75" hidden="false" customHeight="true" outlineLevel="0" collapsed="false">
      <c r="B350" s="215"/>
      <c r="C350" s="2"/>
      <c r="D350" s="2"/>
      <c r="E350" s="2"/>
      <c r="F350" s="2"/>
    </row>
    <row r="351" customFormat="false" ht="12.75" hidden="false" customHeight="true" outlineLevel="0" collapsed="false">
      <c r="B351" s="215"/>
      <c r="C351" s="2"/>
      <c r="D351" s="2"/>
      <c r="E351" s="2"/>
      <c r="F351" s="2"/>
    </row>
    <row r="352" customFormat="false" ht="12.75" hidden="false" customHeight="true" outlineLevel="0" collapsed="false">
      <c r="B352" s="215"/>
      <c r="C352" s="2"/>
      <c r="D352" s="2"/>
      <c r="E352" s="2"/>
      <c r="F352" s="2"/>
    </row>
    <row r="353" customFormat="false" ht="12.75" hidden="false" customHeight="true" outlineLevel="0" collapsed="false">
      <c r="B353" s="215"/>
      <c r="C353" s="2"/>
      <c r="D353" s="2"/>
      <c r="E353" s="2"/>
      <c r="F353" s="2"/>
    </row>
    <row r="354" customFormat="false" ht="12.75" hidden="false" customHeight="true" outlineLevel="0" collapsed="false">
      <c r="B354" s="215"/>
      <c r="C354" s="2"/>
      <c r="D354" s="2"/>
      <c r="E354" s="2"/>
      <c r="F354" s="2"/>
    </row>
    <row r="355" customFormat="false" ht="12.75" hidden="false" customHeight="true" outlineLevel="0" collapsed="false">
      <c r="B355" s="215"/>
      <c r="C355" s="2"/>
      <c r="D355" s="2"/>
      <c r="E355" s="2"/>
      <c r="F355" s="2"/>
    </row>
    <row r="356" customFormat="false" ht="12.75" hidden="false" customHeight="true" outlineLevel="0" collapsed="false">
      <c r="B356" s="215"/>
      <c r="C356" s="2"/>
      <c r="D356" s="2"/>
      <c r="E356" s="2"/>
      <c r="F356" s="2"/>
    </row>
    <row r="357" customFormat="false" ht="12.75" hidden="false" customHeight="true" outlineLevel="0" collapsed="false">
      <c r="B357" s="215"/>
      <c r="C357" s="2"/>
      <c r="D357" s="2"/>
      <c r="E357" s="2"/>
      <c r="F357" s="2"/>
    </row>
    <row r="358" customFormat="false" ht="12.75" hidden="false" customHeight="true" outlineLevel="0" collapsed="false">
      <c r="B358" s="215"/>
      <c r="C358" s="2"/>
      <c r="D358" s="2"/>
      <c r="E358" s="2"/>
      <c r="F358" s="2"/>
    </row>
    <row r="359" customFormat="false" ht="12.75" hidden="false" customHeight="true" outlineLevel="0" collapsed="false">
      <c r="B359" s="215"/>
      <c r="C359" s="2"/>
      <c r="D359" s="2"/>
      <c r="E359" s="2"/>
      <c r="F359" s="2"/>
    </row>
    <row r="360" customFormat="false" ht="12.75" hidden="false" customHeight="true" outlineLevel="0" collapsed="false">
      <c r="B360" s="215"/>
      <c r="C360" s="2"/>
      <c r="D360" s="2"/>
      <c r="E360" s="2"/>
      <c r="F360" s="2"/>
    </row>
    <row r="361" customFormat="false" ht="12.75" hidden="false" customHeight="true" outlineLevel="0" collapsed="false">
      <c r="B361" s="215"/>
      <c r="C361" s="2"/>
      <c r="D361" s="2"/>
      <c r="E361" s="2"/>
      <c r="F361" s="2"/>
    </row>
    <row r="362" customFormat="false" ht="12.75" hidden="false" customHeight="true" outlineLevel="0" collapsed="false">
      <c r="B362" s="215"/>
      <c r="C362" s="2"/>
      <c r="D362" s="2"/>
      <c r="E362" s="2"/>
      <c r="F362" s="2"/>
    </row>
    <row r="363" customFormat="false" ht="12.75" hidden="false" customHeight="true" outlineLevel="0" collapsed="false">
      <c r="B363" s="215"/>
      <c r="C363" s="2"/>
      <c r="D363" s="2"/>
      <c r="E363" s="2"/>
      <c r="F363" s="2"/>
    </row>
    <row r="364" customFormat="false" ht="12.75" hidden="false" customHeight="true" outlineLevel="0" collapsed="false">
      <c r="B364" s="215"/>
      <c r="C364" s="2"/>
      <c r="D364" s="2"/>
      <c r="E364" s="2"/>
      <c r="F364" s="2"/>
    </row>
    <row r="365" customFormat="false" ht="12.75" hidden="false" customHeight="true" outlineLevel="0" collapsed="false">
      <c r="B365" s="215"/>
      <c r="C365" s="2"/>
      <c r="D365" s="2"/>
      <c r="E365" s="2"/>
      <c r="F365" s="2"/>
    </row>
    <row r="366" customFormat="false" ht="12.75" hidden="false" customHeight="true" outlineLevel="0" collapsed="false">
      <c r="B366" s="215"/>
      <c r="C366" s="2"/>
      <c r="D366" s="2"/>
      <c r="E366" s="2"/>
      <c r="F366" s="2"/>
    </row>
    <row r="367" customFormat="false" ht="12.75" hidden="false" customHeight="true" outlineLevel="0" collapsed="false">
      <c r="B367" s="215"/>
      <c r="C367" s="2"/>
      <c r="D367" s="2"/>
      <c r="E367" s="2"/>
      <c r="F367" s="2"/>
    </row>
    <row r="368" customFormat="false" ht="12.75" hidden="false" customHeight="true" outlineLevel="0" collapsed="false">
      <c r="B368" s="215"/>
      <c r="C368" s="2"/>
      <c r="D368" s="2"/>
      <c r="E368" s="2"/>
      <c r="F368" s="2"/>
    </row>
    <row r="369" customFormat="false" ht="12.75" hidden="false" customHeight="true" outlineLevel="0" collapsed="false">
      <c r="B369" s="215"/>
      <c r="C369" s="2"/>
      <c r="D369" s="2"/>
      <c r="E369" s="2"/>
      <c r="F369" s="2"/>
    </row>
    <row r="370" customFormat="false" ht="12.75" hidden="false" customHeight="true" outlineLevel="0" collapsed="false">
      <c r="B370" s="215"/>
      <c r="C370" s="2"/>
      <c r="D370" s="2"/>
      <c r="E370" s="2"/>
      <c r="F370" s="2"/>
    </row>
    <row r="371" customFormat="false" ht="12.75" hidden="false" customHeight="true" outlineLevel="0" collapsed="false">
      <c r="B371" s="148"/>
      <c r="C371" s="41"/>
      <c r="D371" s="41"/>
      <c r="E371" s="41"/>
      <c r="F371" s="41"/>
    </row>
    <row r="372" customFormat="false" ht="12.75" hidden="false" customHeight="true" outlineLevel="0" collapsed="false">
      <c r="B372" s="148"/>
      <c r="C372" s="41"/>
      <c r="D372" s="41"/>
      <c r="E372" s="41"/>
      <c r="F372" s="41"/>
    </row>
    <row r="373" customFormat="false" ht="12.75" hidden="false" customHeight="true" outlineLevel="0" collapsed="false">
      <c r="B373" s="148"/>
      <c r="C373" s="41"/>
      <c r="D373" s="41"/>
      <c r="E373" s="41"/>
      <c r="F373" s="41"/>
    </row>
    <row r="374" customFormat="false" ht="12.75" hidden="false" customHeight="true" outlineLevel="0" collapsed="false">
      <c r="B374" s="148"/>
      <c r="C374" s="41"/>
      <c r="D374" s="41"/>
      <c r="E374" s="41"/>
      <c r="F374" s="41"/>
    </row>
    <row r="375" customFormat="false" ht="12.75" hidden="false" customHeight="true" outlineLevel="0" collapsed="false">
      <c r="B375" s="148"/>
      <c r="C375" s="41"/>
      <c r="D375" s="41"/>
      <c r="E375" s="41"/>
      <c r="F375" s="41"/>
    </row>
    <row r="376" customFormat="false" ht="12.75" hidden="false" customHeight="true" outlineLevel="0" collapsed="false">
      <c r="B376" s="148"/>
      <c r="C376" s="41"/>
      <c r="D376" s="41"/>
      <c r="E376" s="41"/>
      <c r="F376" s="41"/>
    </row>
    <row r="377" customFormat="false" ht="12.75" hidden="false" customHeight="true" outlineLevel="0" collapsed="false">
      <c r="B377" s="148"/>
      <c r="C377" s="41"/>
      <c r="D377" s="41"/>
      <c r="E377" s="41"/>
      <c r="F377" s="41"/>
    </row>
    <row r="378" customFormat="false" ht="12.75" hidden="false" customHeight="true" outlineLevel="0" collapsed="false">
      <c r="B378" s="148"/>
      <c r="C378" s="41"/>
      <c r="D378" s="41"/>
      <c r="E378" s="41"/>
      <c r="F378" s="41"/>
    </row>
    <row r="379" customFormat="false" ht="12.75" hidden="false" customHeight="true" outlineLevel="0" collapsed="false">
      <c r="B379" s="148"/>
      <c r="C379" s="41"/>
      <c r="D379" s="41"/>
      <c r="E379" s="41"/>
      <c r="F379" s="41"/>
    </row>
    <row r="380" customFormat="false" ht="12.75" hidden="false" customHeight="true" outlineLevel="0" collapsed="false">
      <c r="B380" s="148"/>
      <c r="C380" s="41"/>
      <c r="D380" s="41"/>
      <c r="E380" s="41"/>
      <c r="F380" s="41"/>
    </row>
    <row r="381" customFormat="false" ht="12.75" hidden="false" customHeight="true" outlineLevel="0" collapsed="false">
      <c r="B381" s="148"/>
      <c r="C381" s="41"/>
      <c r="D381" s="41"/>
      <c r="E381" s="41"/>
      <c r="F381" s="41"/>
    </row>
    <row r="382" customFormat="false" ht="12.75" hidden="false" customHeight="true" outlineLevel="0" collapsed="false">
      <c r="B382" s="148"/>
      <c r="C382" s="41"/>
      <c r="D382" s="41"/>
      <c r="E382" s="41"/>
      <c r="F382" s="41"/>
    </row>
    <row r="383" customFormat="false" ht="12.75" hidden="false" customHeight="true" outlineLevel="0" collapsed="false">
      <c r="B383" s="148"/>
      <c r="C383" s="41"/>
      <c r="D383" s="41"/>
      <c r="E383" s="41"/>
      <c r="F383" s="41"/>
    </row>
    <row r="384" customFormat="false" ht="12.75" hidden="false" customHeight="true" outlineLevel="0" collapsed="false">
      <c r="B384" s="148"/>
      <c r="C384" s="41"/>
      <c r="D384" s="41"/>
      <c r="E384" s="41"/>
      <c r="F384" s="41"/>
    </row>
    <row r="385" customFormat="false" ht="12.75" hidden="false" customHeight="true" outlineLevel="0" collapsed="false">
      <c r="B385" s="148"/>
      <c r="C385" s="41"/>
      <c r="D385" s="41"/>
      <c r="E385" s="41"/>
      <c r="F385" s="41"/>
    </row>
    <row r="386" customFormat="false" ht="12.75" hidden="false" customHeight="true" outlineLevel="0" collapsed="false">
      <c r="B386" s="148"/>
      <c r="C386" s="41"/>
      <c r="D386" s="41"/>
      <c r="E386" s="41"/>
      <c r="F386" s="41"/>
    </row>
    <row r="387" customFormat="false" ht="12.75" hidden="false" customHeight="true" outlineLevel="0" collapsed="false">
      <c r="B387" s="148"/>
      <c r="C387" s="41"/>
      <c r="D387" s="41"/>
      <c r="E387" s="41"/>
      <c r="F387" s="41"/>
    </row>
    <row r="388" customFormat="false" ht="12.75" hidden="false" customHeight="true" outlineLevel="0" collapsed="false">
      <c r="B388" s="148"/>
      <c r="C388" s="41"/>
      <c r="D388" s="41"/>
      <c r="E388" s="41"/>
      <c r="F388" s="41"/>
    </row>
    <row r="389" customFormat="false" ht="12.75" hidden="false" customHeight="true" outlineLevel="0" collapsed="false">
      <c r="B389" s="148"/>
      <c r="C389" s="41"/>
      <c r="D389" s="41"/>
      <c r="E389" s="41"/>
      <c r="F389" s="41"/>
    </row>
    <row r="390" customFormat="false" ht="12.75" hidden="false" customHeight="true" outlineLevel="0" collapsed="false">
      <c r="B390" s="148"/>
      <c r="C390" s="41"/>
      <c r="D390" s="41"/>
      <c r="E390" s="41"/>
      <c r="F390" s="41"/>
    </row>
    <row r="391" customFormat="false" ht="12.75" hidden="false" customHeight="true" outlineLevel="0" collapsed="false">
      <c r="B391" s="148"/>
      <c r="C391" s="41"/>
      <c r="D391" s="41"/>
      <c r="E391" s="41"/>
      <c r="F391" s="41"/>
    </row>
    <row r="392" customFormat="false" ht="12.75" hidden="false" customHeight="true" outlineLevel="0" collapsed="false">
      <c r="B392" s="148"/>
      <c r="C392" s="41"/>
      <c r="D392" s="41"/>
      <c r="E392" s="41"/>
      <c r="F392" s="41"/>
    </row>
    <row r="393" customFormat="false" ht="12.75" hidden="false" customHeight="true" outlineLevel="0" collapsed="false">
      <c r="B393" s="148"/>
      <c r="C393" s="41"/>
      <c r="D393" s="41"/>
      <c r="E393" s="41"/>
      <c r="F393" s="41"/>
    </row>
    <row r="394" customFormat="false" ht="12.75" hidden="false" customHeight="true" outlineLevel="0" collapsed="false">
      <c r="B394" s="148"/>
      <c r="C394" s="41"/>
      <c r="D394" s="41"/>
      <c r="E394" s="41"/>
      <c r="F394" s="41"/>
    </row>
    <row r="395" customFormat="false" ht="12.75" hidden="false" customHeight="true" outlineLevel="0" collapsed="false">
      <c r="B395" s="148"/>
      <c r="C395" s="41"/>
      <c r="D395" s="41"/>
      <c r="E395" s="41"/>
      <c r="F395" s="41"/>
    </row>
    <row r="396" customFormat="false" ht="12.75" hidden="false" customHeight="true" outlineLevel="0" collapsed="false">
      <c r="B396" s="148"/>
      <c r="C396" s="41"/>
      <c r="D396" s="41"/>
      <c r="E396" s="41"/>
      <c r="F396" s="41"/>
    </row>
    <row r="397" customFormat="false" ht="12.75" hidden="false" customHeight="true" outlineLevel="0" collapsed="false">
      <c r="B397" s="148"/>
      <c r="C397" s="41"/>
      <c r="D397" s="41"/>
      <c r="E397" s="41"/>
      <c r="F397" s="41"/>
    </row>
    <row r="398" customFormat="false" ht="12.75" hidden="false" customHeight="true" outlineLevel="0" collapsed="false">
      <c r="B398" s="148"/>
      <c r="C398" s="41"/>
      <c r="D398" s="41"/>
      <c r="E398" s="41"/>
      <c r="F398" s="41"/>
    </row>
    <row r="399" customFormat="false" ht="12.75" hidden="false" customHeight="true" outlineLevel="0" collapsed="false">
      <c r="B399" s="148"/>
      <c r="C399" s="41"/>
      <c r="D399" s="41"/>
      <c r="E399" s="41"/>
      <c r="F399" s="41"/>
    </row>
    <row r="400" customFormat="false" ht="12.75" hidden="false" customHeight="true" outlineLevel="0" collapsed="false">
      <c r="B400" s="148"/>
      <c r="C400" s="41"/>
      <c r="D400" s="41"/>
      <c r="E400" s="41"/>
      <c r="F400" s="41"/>
    </row>
    <row r="401" customFormat="false" ht="12.75" hidden="false" customHeight="true" outlineLevel="0" collapsed="false">
      <c r="B401" s="148"/>
      <c r="C401" s="41"/>
      <c r="D401" s="41"/>
      <c r="E401" s="41"/>
      <c r="F401" s="41"/>
    </row>
    <row r="402" customFormat="false" ht="12.75" hidden="false" customHeight="true" outlineLevel="0" collapsed="false">
      <c r="B402" s="148"/>
      <c r="C402" s="41"/>
      <c r="D402" s="41"/>
      <c r="E402" s="41"/>
      <c r="F402" s="41"/>
    </row>
    <row r="403" customFormat="false" ht="12.75" hidden="false" customHeight="true" outlineLevel="0" collapsed="false">
      <c r="B403" s="148"/>
      <c r="C403" s="41"/>
      <c r="D403" s="41"/>
      <c r="E403" s="41"/>
      <c r="F403" s="41"/>
    </row>
    <row r="404" customFormat="false" ht="12.75" hidden="false" customHeight="true" outlineLevel="0" collapsed="false">
      <c r="B404" s="148"/>
      <c r="C404" s="41"/>
      <c r="D404" s="41"/>
      <c r="E404" s="41"/>
      <c r="F404" s="41"/>
    </row>
    <row r="405" customFormat="false" ht="12.75" hidden="false" customHeight="true" outlineLevel="0" collapsed="false">
      <c r="B405" s="148"/>
      <c r="C405" s="41"/>
      <c r="D405" s="41"/>
      <c r="E405" s="41"/>
      <c r="F405" s="41"/>
    </row>
    <row r="406" customFormat="false" ht="12.75" hidden="false" customHeight="true" outlineLevel="0" collapsed="false">
      <c r="B406" s="148"/>
      <c r="C406" s="41"/>
      <c r="D406" s="41"/>
      <c r="E406" s="41"/>
      <c r="F406" s="41"/>
    </row>
    <row r="407" customFormat="false" ht="12.75" hidden="false" customHeight="true" outlineLevel="0" collapsed="false">
      <c r="B407" s="148"/>
      <c r="C407" s="41"/>
      <c r="D407" s="41"/>
      <c r="E407" s="41"/>
      <c r="F407" s="41"/>
    </row>
    <row r="408" customFormat="false" ht="12.75" hidden="false" customHeight="true" outlineLevel="0" collapsed="false">
      <c r="B408" s="148"/>
      <c r="C408" s="41"/>
      <c r="D408" s="41"/>
      <c r="E408" s="41"/>
      <c r="F408" s="41"/>
    </row>
    <row r="409" customFormat="false" ht="12.75" hidden="false" customHeight="true" outlineLevel="0" collapsed="false">
      <c r="B409" s="148"/>
      <c r="C409" s="41"/>
      <c r="D409" s="41"/>
      <c r="E409" s="41"/>
      <c r="F409" s="41"/>
    </row>
    <row r="410" customFormat="false" ht="12.75" hidden="false" customHeight="true" outlineLevel="0" collapsed="false">
      <c r="B410" s="148"/>
      <c r="C410" s="41"/>
      <c r="D410" s="41"/>
      <c r="E410" s="41"/>
      <c r="F410" s="41"/>
    </row>
    <row r="411" customFormat="false" ht="12.75" hidden="false" customHeight="true" outlineLevel="0" collapsed="false">
      <c r="B411" s="148"/>
      <c r="C411" s="41"/>
      <c r="D411" s="41"/>
      <c r="E411" s="41"/>
      <c r="F411" s="41"/>
    </row>
    <row r="412" customFormat="false" ht="12.75" hidden="false" customHeight="true" outlineLevel="0" collapsed="false">
      <c r="B412" s="148"/>
      <c r="C412" s="41"/>
      <c r="D412" s="41"/>
      <c r="E412" s="41"/>
      <c r="F412" s="41"/>
    </row>
    <row r="413" customFormat="false" ht="12.75" hidden="false" customHeight="true" outlineLevel="0" collapsed="false">
      <c r="B413" s="148"/>
      <c r="C413" s="41"/>
      <c r="D413" s="41"/>
      <c r="E413" s="41"/>
      <c r="F413" s="41"/>
    </row>
    <row r="414" customFormat="false" ht="12.75" hidden="false" customHeight="true" outlineLevel="0" collapsed="false">
      <c r="B414" s="148"/>
      <c r="C414" s="41"/>
      <c r="D414" s="41"/>
      <c r="E414" s="41"/>
      <c r="F414" s="41"/>
    </row>
    <row r="415" customFormat="false" ht="12.75" hidden="false" customHeight="true" outlineLevel="0" collapsed="false">
      <c r="B415" s="148"/>
      <c r="C415" s="41"/>
      <c r="D415" s="41"/>
      <c r="E415" s="41"/>
      <c r="F415" s="41"/>
    </row>
    <row r="416" customFormat="false" ht="12.75" hidden="false" customHeight="true" outlineLevel="0" collapsed="false">
      <c r="B416" s="148"/>
      <c r="C416" s="41"/>
      <c r="D416" s="41"/>
      <c r="E416" s="41"/>
      <c r="F416" s="41"/>
    </row>
    <row r="417" customFormat="false" ht="12.75" hidden="false" customHeight="true" outlineLevel="0" collapsed="false">
      <c r="B417" s="148"/>
      <c r="C417" s="41"/>
      <c r="D417" s="41"/>
      <c r="E417" s="41"/>
      <c r="F417" s="41"/>
    </row>
    <row r="418" customFormat="false" ht="12.75" hidden="false" customHeight="true" outlineLevel="0" collapsed="false">
      <c r="B418" s="148"/>
      <c r="C418" s="41"/>
      <c r="D418" s="41"/>
      <c r="E418" s="41"/>
      <c r="F418" s="41"/>
    </row>
    <row r="419" customFormat="false" ht="12.75" hidden="false" customHeight="true" outlineLevel="0" collapsed="false">
      <c r="B419" s="148"/>
      <c r="C419" s="41"/>
      <c r="D419" s="41"/>
      <c r="E419" s="41"/>
      <c r="F419" s="41"/>
    </row>
    <row r="420" customFormat="false" ht="12.75" hidden="false" customHeight="true" outlineLevel="0" collapsed="false">
      <c r="B420" s="148"/>
      <c r="C420" s="41"/>
      <c r="D420" s="41"/>
      <c r="E420" s="41"/>
      <c r="F420" s="41"/>
    </row>
    <row r="421" customFormat="false" ht="12.75" hidden="false" customHeight="true" outlineLevel="0" collapsed="false">
      <c r="B421" s="148"/>
      <c r="C421" s="41"/>
      <c r="D421" s="41"/>
      <c r="E421" s="41"/>
      <c r="F421" s="41"/>
    </row>
    <row r="422" customFormat="false" ht="12.75" hidden="false" customHeight="true" outlineLevel="0" collapsed="false">
      <c r="B422" s="148"/>
      <c r="C422" s="41"/>
      <c r="D422" s="41"/>
      <c r="E422" s="41"/>
      <c r="F422" s="41"/>
    </row>
    <row r="423" customFormat="false" ht="12.75" hidden="false" customHeight="true" outlineLevel="0" collapsed="false">
      <c r="B423" s="148"/>
      <c r="C423" s="41"/>
      <c r="D423" s="41"/>
      <c r="E423" s="41"/>
      <c r="F423" s="41"/>
    </row>
    <row r="424" customFormat="false" ht="12.75" hidden="false" customHeight="true" outlineLevel="0" collapsed="false">
      <c r="B424" s="216"/>
      <c r="C424" s="217"/>
      <c r="D424" s="217"/>
      <c r="E424" s="217"/>
      <c r="F424" s="217"/>
    </row>
    <row r="425" customFormat="false" ht="12.75" hidden="false" customHeight="true" outlineLevel="0" collapsed="false">
      <c r="B425" s="216"/>
      <c r="C425" s="217"/>
      <c r="D425" s="217"/>
      <c r="E425" s="217"/>
      <c r="F425" s="217"/>
    </row>
    <row r="426" customFormat="false" ht="12.75" hidden="false" customHeight="true" outlineLevel="0" collapsed="false">
      <c r="B426" s="216"/>
      <c r="C426" s="217"/>
      <c r="D426" s="217"/>
      <c r="E426" s="217"/>
      <c r="F426" s="217"/>
    </row>
    <row r="427" customFormat="false" ht="12.75" hidden="false" customHeight="true" outlineLevel="0" collapsed="false">
      <c r="B427" s="216"/>
      <c r="C427" s="217"/>
      <c r="D427" s="217"/>
      <c r="E427" s="217"/>
      <c r="F427" s="217"/>
    </row>
    <row r="428" customFormat="false" ht="12.75" hidden="false" customHeight="true" outlineLevel="0" collapsed="false">
      <c r="B428" s="216"/>
      <c r="C428" s="217"/>
      <c r="D428" s="217"/>
      <c r="E428" s="217"/>
      <c r="F428" s="217"/>
    </row>
    <row r="429" customFormat="false" ht="12.75" hidden="false" customHeight="true" outlineLevel="0" collapsed="false">
      <c r="B429" s="216"/>
      <c r="C429" s="217"/>
      <c r="D429" s="217"/>
      <c r="E429" s="217"/>
      <c r="F429" s="217"/>
    </row>
    <row r="430" customFormat="false" ht="12.75" hidden="false" customHeight="true" outlineLevel="0" collapsed="false">
      <c r="B430" s="216"/>
      <c r="C430" s="217"/>
      <c r="D430" s="217"/>
      <c r="E430" s="217"/>
      <c r="F430" s="217"/>
    </row>
    <row r="431" customFormat="false" ht="12.75" hidden="false" customHeight="true" outlineLevel="0" collapsed="false">
      <c r="B431" s="216"/>
      <c r="C431" s="217"/>
      <c r="D431" s="217"/>
      <c r="E431" s="217"/>
      <c r="F431" s="217"/>
    </row>
    <row r="432" customFormat="false" ht="12.75" hidden="false" customHeight="true" outlineLevel="0" collapsed="false">
      <c r="B432" s="216"/>
      <c r="C432" s="217"/>
      <c r="D432" s="217"/>
      <c r="E432" s="217"/>
      <c r="F432" s="217"/>
    </row>
    <row r="433" customFormat="false" ht="12.75" hidden="false" customHeight="true" outlineLevel="0" collapsed="false">
      <c r="B433" s="216"/>
      <c r="C433" s="217"/>
      <c r="D433" s="217"/>
      <c r="E433" s="217"/>
      <c r="F433" s="217"/>
    </row>
    <row r="434" customFormat="false" ht="12.75" hidden="false" customHeight="true" outlineLevel="0" collapsed="false">
      <c r="B434" s="216"/>
      <c r="C434" s="217"/>
      <c r="D434" s="217"/>
      <c r="E434" s="217"/>
      <c r="F434" s="217"/>
    </row>
    <row r="435" customFormat="false" ht="12.75" hidden="false" customHeight="true" outlineLevel="0" collapsed="false">
      <c r="B435" s="216"/>
      <c r="C435" s="217"/>
      <c r="D435" s="217"/>
      <c r="E435" s="217"/>
      <c r="F435" s="217"/>
    </row>
    <row r="436" customFormat="false" ht="12.75" hidden="false" customHeight="true" outlineLevel="0" collapsed="false">
      <c r="B436" s="216"/>
      <c r="C436" s="217"/>
      <c r="D436" s="217"/>
      <c r="E436" s="217"/>
      <c r="F436" s="217"/>
    </row>
    <row r="437" customFormat="false" ht="12.75" hidden="false" customHeight="true" outlineLevel="0" collapsed="false">
      <c r="B437" s="216"/>
      <c r="C437" s="217"/>
      <c r="D437" s="217"/>
      <c r="E437" s="217"/>
      <c r="F437" s="217"/>
    </row>
    <row r="438" customFormat="false" ht="12.75" hidden="false" customHeight="true" outlineLevel="0" collapsed="false">
      <c r="B438" s="216"/>
      <c r="C438" s="217"/>
      <c r="D438" s="217"/>
      <c r="E438" s="217"/>
      <c r="F438" s="217"/>
    </row>
    <row r="439" customFormat="false" ht="12.75" hidden="false" customHeight="true" outlineLevel="0" collapsed="false">
      <c r="B439" s="216"/>
      <c r="C439" s="217"/>
      <c r="D439" s="217"/>
      <c r="E439" s="217"/>
      <c r="F439" s="217"/>
    </row>
    <row r="440" customFormat="false" ht="12.75" hidden="false" customHeight="true" outlineLevel="0" collapsed="false">
      <c r="B440" s="216"/>
      <c r="C440" s="217"/>
      <c r="D440" s="217"/>
      <c r="E440" s="217"/>
      <c r="F440" s="217"/>
    </row>
    <row r="441" customFormat="false" ht="12.75" hidden="false" customHeight="true" outlineLevel="0" collapsed="false">
      <c r="B441" s="216"/>
      <c r="C441" s="217"/>
      <c r="D441" s="217"/>
      <c r="E441" s="217"/>
      <c r="F441" s="217"/>
    </row>
    <row r="442" customFormat="false" ht="12.75" hidden="false" customHeight="true" outlineLevel="0" collapsed="false">
      <c r="B442" s="216"/>
      <c r="C442" s="217"/>
      <c r="D442" s="217"/>
      <c r="E442" s="217"/>
      <c r="F442" s="217"/>
    </row>
    <row r="443" customFormat="false" ht="12.75" hidden="false" customHeight="true" outlineLevel="0" collapsed="false">
      <c r="B443" s="216"/>
      <c r="C443" s="217"/>
      <c r="D443" s="217"/>
      <c r="E443" s="217"/>
      <c r="F443" s="217"/>
    </row>
    <row r="444" customFormat="false" ht="12.75" hidden="false" customHeight="true" outlineLevel="0" collapsed="false">
      <c r="B444" s="216"/>
      <c r="C444" s="217"/>
      <c r="D444" s="217"/>
      <c r="E444" s="217"/>
      <c r="F444" s="217"/>
    </row>
    <row r="445" customFormat="false" ht="12.75" hidden="false" customHeight="true" outlineLevel="0" collapsed="false">
      <c r="B445" s="216"/>
      <c r="C445" s="217"/>
      <c r="D445" s="217"/>
      <c r="E445" s="217"/>
      <c r="F445" s="217"/>
    </row>
    <row r="446" customFormat="false" ht="12.75" hidden="false" customHeight="true" outlineLevel="0" collapsed="false">
      <c r="B446" s="216"/>
      <c r="C446" s="217"/>
      <c r="D446" s="217"/>
      <c r="E446" s="217"/>
      <c r="F446" s="217"/>
    </row>
    <row r="447" customFormat="false" ht="12.75" hidden="false" customHeight="true" outlineLevel="0" collapsed="false">
      <c r="B447" s="216"/>
      <c r="C447" s="217"/>
      <c r="D447" s="217"/>
      <c r="E447" s="217"/>
      <c r="F447" s="217"/>
    </row>
    <row r="448" customFormat="false" ht="12.75" hidden="false" customHeight="true" outlineLevel="0" collapsed="false">
      <c r="B448" s="216"/>
      <c r="C448" s="217"/>
      <c r="D448" s="217"/>
      <c r="E448" s="217"/>
      <c r="F448" s="217"/>
    </row>
    <row r="449" customFormat="false" ht="12.75" hidden="false" customHeight="true" outlineLevel="0" collapsed="false">
      <c r="B449" s="216"/>
      <c r="C449" s="217"/>
      <c r="D449" s="217"/>
      <c r="E449" s="217"/>
      <c r="F449" s="217"/>
    </row>
    <row r="450" customFormat="false" ht="12.75" hidden="false" customHeight="true" outlineLevel="0" collapsed="false">
      <c r="B450" s="216"/>
      <c r="C450" s="217"/>
      <c r="D450" s="217"/>
      <c r="E450" s="217"/>
      <c r="F450" s="217"/>
    </row>
    <row r="451" customFormat="false" ht="12.75" hidden="false" customHeight="true" outlineLevel="0" collapsed="false">
      <c r="B451" s="216"/>
      <c r="C451" s="217"/>
      <c r="D451" s="217"/>
      <c r="E451" s="217"/>
      <c r="F451" s="217"/>
    </row>
    <row r="452" customFormat="false" ht="12.75" hidden="false" customHeight="true" outlineLevel="0" collapsed="false">
      <c r="B452" s="216"/>
      <c r="C452" s="217"/>
      <c r="D452" s="217"/>
      <c r="E452" s="217"/>
      <c r="F452" s="217"/>
    </row>
    <row r="453" customFormat="false" ht="12.75" hidden="false" customHeight="true" outlineLevel="0" collapsed="false">
      <c r="B453" s="216"/>
      <c r="C453" s="217"/>
      <c r="D453" s="217"/>
      <c r="E453" s="217"/>
      <c r="F453" s="217"/>
    </row>
    <row r="454" customFormat="false" ht="12.75" hidden="false" customHeight="true" outlineLevel="0" collapsed="false">
      <c r="B454" s="216"/>
      <c r="C454" s="217"/>
      <c r="D454" s="217"/>
      <c r="E454" s="217"/>
      <c r="F454" s="217"/>
    </row>
    <row r="455" customFormat="false" ht="12.75" hidden="false" customHeight="true" outlineLevel="0" collapsed="false">
      <c r="B455" s="216"/>
      <c r="C455" s="217"/>
      <c r="D455" s="217"/>
      <c r="E455" s="217"/>
      <c r="F455" s="217"/>
    </row>
    <row r="456" customFormat="false" ht="12.75" hidden="false" customHeight="true" outlineLevel="0" collapsed="false">
      <c r="B456" s="216"/>
      <c r="C456" s="217"/>
      <c r="D456" s="217"/>
      <c r="E456" s="217"/>
      <c r="F456" s="217"/>
    </row>
    <row r="457" customFormat="false" ht="12.75" hidden="false" customHeight="true" outlineLevel="0" collapsed="false">
      <c r="B457" s="216"/>
      <c r="C457" s="217"/>
      <c r="D457" s="217"/>
      <c r="E457" s="217"/>
      <c r="F457" s="217"/>
    </row>
    <row r="458" customFormat="false" ht="12.75" hidden="false" customHeight="true" outlineLevel="0" collapsed="false">
      <c r="B458" s="216"/>
      <c r="C458" s="217"/>
      <c r="D458" s="217"/>
      <c r="E458" s="217"/>
      <c r="F458" s="217"/>
    </row>
    <row r="459" customFormat="false" ht="12.75" hidden="false" customHeight="true" outlineLevel="0" collapsed="false">
      <c r="B459" s="216"/>
      <c r="C459" s="217"/>
      <c r="D459" s="217"/>
      <c r="E459" s="217"/>
      <c r="F459" s="217"/>
    </row>
    <row r="460" customFormat="false" ht="12.75" hidden="false" customHeight="true" outlineLevel="0" collapsed="false">
      <c r="B460" s="216"/>
      <c r="C460" s="217"/>
      <c r="D460" s="217"/>
      <c r="E460" s="217"/>
      <c r="F460" s="217"/>
    </row>
    <row r="461" customFormat="false" ht="12.75" hidden="false" customHeight="true" outlineLevel="0" collapsed="false">
      <c r="B461" s="216"/>
      <c r="C461" s="217"/>
      <c r="D461" s="217"/>
      <c r="E461" s="217"/>
      <c r="F461" s="217"/>
    </row>
    <row r="462" customFormat="false" ht="12.75" hidden="false" customHeight="true" outlineLevel="0" collapsed="false">
      <c r="B462" s="216"/>
      <c r="C462" s="217"/>
      <c r="D462" s="217"/>
      <c r="E462" s="217"/>
      <c r="F462" s="217"/>
    </row>
    <row r="463" customFormat="false" ht="12.75" hidden="false" customHeight="true" outlineLevel="0" collapsed="false">
      <c r="B463" s="216"/>
      <c r="C463" s="217"/>
      <c r="D463" s="217"/>
      <c r="E463" s="217"/>
      <c r="F463" s="217"/>
    </row>
    <row r="464" customFormat="false" ht="12.75" hidden="false" customHeight="true" outlineLevel="0" collapsed="false">
      <c r="B464" s="216"/>
      <c r="C464" s="217"/>
      <c r="D464" s="217"/>
      <c r="E464" s="217"/>
      <c r="F464" s="217"/>
    </row>
    <row r="465" customFormat="false" ht="12.75" hidden="false" customHeight="true" outlineLevel="0" collapsed="false">
      <c r="B465" s="216"/>
      <c r="C465" s="217"/>
      <c r="D465" s="217"/>
      <c r="E465" s="217"/>
      <c r="F465" s="217"/>
    </row>
    <row r="466" customFormat="false" ht="12.75" hidden="false" customHeight="true" outlineLevel="0" collapsed="false">
      <c r="B466" s="216"/>
      <c r="C466" s="217"/>
      <c r="D466" s="217"/>
      <c r="E466" s="217"/>
      <c r="F466" s="217"/>
    </row>
    <row r="467" customFormat="false" ht="12.75" hidden="false" customHeight="true" outlineLevel="0" collapsed="false">
      <c r="B467" s="216"/>
      <c r="C467" s="217"/>
      <c r="D467" s="217"/>
      <c r="E467" s="217"/>
      <c r="F467" s="217"/>
    </row>
    <row r="468" customFormat="false" ht="12.75" hidden="false" customHeight="true" outlineLevel="0" collapsed="false">
      <c r="B468" s="216"/>
      <c r="C468" s="217"/>
      <c r="D468" s="217"/>
      <c r="E468" s="217"/>
      <c r="F468" s="217"/>
    </row>
    <row r="469" customFormat="false" ht="12.75" hidden="false" customHeight="true" outlineLevel="0" collapsed="false">
      <c r="B469" s="216"/>
      <c r="C469" s="217"/>
      <c r="D469" s="217"/>
      <c r="E469" s="217"/>
      <c r="F469" s="217"/>
    </row>
    <row r="470" customFormat="false" ht="12.75" hidden="false" customHeight="true" outlineLevel="0" collapsed="false">
      <c r="B470" s="216"/>
      <c r="C470" s="217"/>
      <c r="D470" s="217"/>
      <c r="E470" s="217"/>
      <c r="F470" s="217"/>
    </row>
    <row r="471" customFormat="false" ht="12.75" hidden="false" customHeight="true" outlineLevel="0" collapsed="false">
      <c r="B471" s="216"/>
      <c r="C471" s="217"/>
      <c r="D471" s="217"/>
      <c r="E471" s="217"/>
      <c r="F471" s="217"/>
    </row>
    <row r="472" customFormat="false" ht="12.75" hidden="false" customHeight="true" outlineLevel="0" collapsed="false">
      <c r="B472" s="216"/>
      <c r="C472" s="217"/>
      <c r="D472" s="217"/>
      <c r="E472" s="217"/>
      <c r="F472" s="217"/>
    </row>
    <row r="473" customFormat="false" ht="12.75" hidden="false" customHeight="true" outlineLevel="0" collapsed="false">
      <c r="B473" s="216"/>
      <c r="C473" s="217"/>
      <c r="D473" s="217"/>
      <c r="E473" s="217"/>
      <c r="F473" s="217"/>
    </row>
    <row r="474" customFormat="false" ht="12.75" hidden="false" customHeight="true" outlineLevel="0" collapsed="false">
      <c r="B474" s="216"/>
      <c r="C474" s="217"/>
      <c r="D474" s="217"/>
      <c r="E474" s="217"/>
      <c r="F474" s="217"/>
    </row>
    <row r="475" customFormat="false" ht="12.75" hidden="false" customHeight="true" outlineLevel="0" collapsed="false">
      <c r="B475" s="216"/>
      <c r="C475" s="217"/>
      <c r="D475" s="217"/>
      <c r="E475" s="217"/>
      <c r="F475" s="217"/>
    </row>
    <row r="476" customFormat="false" ht="12.75" hidden="false" customHeight="true" outlineLevel="0" collapsed="false">
      <c r="B476" s="216"/>
      <c r="C476" s="217"/>
      <c r="D476" s="217"/>
      <c r="E476" s="217"/>
      <c r="F476" s="217"/>
    </row>
    <row r="477" customFormat="false" ht="12.75" hidden="false" customHeight="true" outlineLevel="0" collapsed="false">
      <c r="B477" s="216"/>
      <c r="C477" s="217"/>
      <c r="D477" s="217"/>
      <c r="E477" s="217"/>
      <c r="F477" s="217"/>
    </row>
    <row r="478" customFormat="false" ht="12.75" hidden="false" customHeight="true" outlineLevel="0" collapsed="false">
      <c r="B478" s="216"/>
      <c r="C478" s="217"/>
      <c r="D478" s="217"/>
      <c r="E478" s="217"/>
      <c r="F478" s="217"/>
    </row>
    <row r="479" customFormat="false" ht="12.75" hidden="false" customHeight="true" outlineLevel="0" collapsed="false">
      <c r="B479" s="216"/>
      <c r="C479" s="217"/>
      <c r="D479" s="217"/>
      <c r="E479" s="217"/>
      <c r="F479" s="217"/>
    </row>
    <row r="480" customFormat="false" ht="12.75" hidden="false" customHeight="true" outlineLevel="0" collapsed="false">
      <c r="B480" s="216"/>
      <c r="C480" s="217"/>
      <c r="D480" s="217"/>
      <c r="E480" s="217"/>
      <c r="F480" s="217"/>
    </row>
    <row r="481" customFormat="false" ht="12.75" hidden="false" customHeight="true" outlineLevel="0" collapsed="false">
      <c r="B481" s="216"/>
      <c r="C481" s="217"/>
      <c r="D481" s="217"/>
      <c r="E481" s="217"/>
      <c r="F481" s="217"/>
    </row>
    <row r="482" customFormat="false" ht="12.75" hidden="false" customHeight="true" outlineLevel="0" collapsed="false">
      <c r="B482" s="216"/>
      <c r="C482" s="217"/>
      <c r="D482" s="217"/>
      <c r="E482" s="217"/>
      <c r="F482" s="217"/>
    </row>
    <row r="483" customFormat="false" ht="12.75" hidden="false" customHeight="true" outlineLevel="0" collapsed="false">
      <c r="B483" s="216"/>
      <c r="C483" s="217"/>
      <c r="D483" s="217"/>
      <c r="E483" s="217"/>
      <c r="F483" s="217"/>
    </row>
    <row r="484" customFormat="false" ht="12.75" hidden="false" customHeight="true" outlineLevel="0" collapsed="false">
      <c r="B484" s="216"/>
      <c r="C484" s="217"/>
      <c r="D484" s="217"/>
      <c r="E484" s="217"/>
      <c r="F484" s="217"/>
    </row>
    <row r="485" customFormat="false" ht="12.75" hidden="false" customHeight="true" outlineLevel="0" collapsed="false">
      <c r="B485" s="216"/>
      <c r="C485" s="217"/>
      <c r="D485" s="217"/>
      <c r="E485" s="217"/>
      <c r="F485" s="217"/>
    </row>
    <row r="486" customFormat="false" ht="12.75" hidden="false" customHeight="true" outlineLevel="0" collapsed="false">
      <c r="B486" s="216"/>
      <c r="C486" s="217"/>
      <c r="D486" s="217"/>
      <c r="E486" s="217"/>
      <c r="F486" s="217"/>
    </row>
    <row r="487" customFormat="false" ht="12.75" hidden="false" customHeight="true" outlineLevel="0" collapsed="false">
      <c r="B487" s="216"/>
      <c r="C487" s="217"/>
      <c r="D487" s="217"/>
      <c r="E487" s="217"/>
      <c r="F487" s="217"/>
    </row>
    <row r="488" customFormat="false" ht="12.75" hidden="false" customHeight="true" outlineLevel="0" collapsed="false">
      <c r="B488" s="216"/>
      <c r="C488" s="217"/>
      <c r="D488" s="217"/>
      <c r="E488" s="217"/>
      <c r="F488" s="217"/>
    </row>
    <row r="489" customFormat="false" ht="12.75" hidden="false" customHeight="true" outlineLevel="0" collapsed="false">
      <c r="B489" s="216"/>
      <c r="C489" s="217"/>
      <c r="D489" s="217"/>
      <c r="E489" s="217"/>
      <c r="F489" s="217"/>
    </row>
    <row r="490" customFormat="false" ht="12.75" hidden="false" customHeight="true" outlineLevel="0" collapsed="false">
      <c r="B490" s="216"/>
      <c r="C490" s="217"/>
      <c r="D490" s="217"/>
      <c r="E490" s="217"/>
      <c r="F490" s="217"/>
    </row>
    <row r="491" customFormat="false" ht="12.75" hidden="false" customHeight="true" outlineLevel="0" collapsed="false">
      <c r="B491" s="216"/>
      <c r="C491" s="217"/>
      <c r="D491" s="217"/>
      <c r="E491" s="217"/>
      <c r="F491" s="217"/>
    </row>
    <row r="492" customFormat="false" ht="12.75" hidden="false" customHeight="true" outlineLevel="0" collapsed="false">
      <c r="B492" s="216"/>
      <c r="C492" s="217"/>
      <c r="D492" s="217"/>
      <c r="E492" s="217"/>
      <c r="F492" s="217"/>
    </row>
    <row r="493" customFormat="false" ht="12.75" hidden="false" customHeight="true" outlineLevel="0" collapsed="false">
      <c r="B493" s="216"/>
      <c r="C493" s="217"/>
      <c r="D493" s="217"/>
      <c r="E493" s="217"/>
      <c r="F493" s="217"/>
    </row>
    <row r="494" customFormat="false" ht="12.75" hidden="false" customHeight="true" outlineLevel="0" collapsed="false">
      <c r="B494" s="216"/>
      <c r="C494" s="217"/>
      <c r="D494" s="217"/>
      <c r="E494" s="217"/>
      <c r="F494" s="217"/>
    </row>
    <row r="495" customFormat="false" ht="12.75" hidden="false" customHeight="true" outlineLevel="0" collapsed="false">
      <c r="B495" s="216"/>
      <c r="C495" s="217"/>
      <c r="D495" s="217"/>
      <c r="E495" s="217"/>
      <c r="F495" s="217"/>
    </row>
    <row r="496" customFormat="false" ht="12.75" hidden="false" customHeight="true" outlineLevel="0" collapsed="false">
      <c r="B496" s="216"/>
      <c r="C496" s="217"/>
      <c r="D496" s="217"/>
      <c r="E496" s="217"/>
      <c r="F496" s="217"/>
    </row>
    <row r="497" customFormat="false" ht="12.75" hidden="false" customHeight="true" outlineLevel="0" collapsed="false">
      <c r="B497" s="216"/>
      <c r="C497" s="217"/>
      <c r="D497" s="217"/>
      <c r="E497" s="217"/>
      <c r="F497" s="217"/>
    </row>
    <row r="498" customFormat="false" ht="12.75" hidden="false" customHeight="true" outlineLevel="0" collapsed="false">
      <c r="B498" s="216"/>
      <c r="C498" s="217"/>
      <c r="D498" s="217"/>
      <c r="E498" s="217"/>
      <c r="F498" s="217"/>
    </row>
    <row r="499" customFormat="false" ht="12.75" hidden="false" customHeight="true" outlineLevel="0" collapsed="false">
      <c r="B499" s="216"/>
      <c r="C499" s="217"/>
      <c r="D499" s="217"/>
      <c r="E499" s="217"/>
      <c r="F499" s="217"/>
    </row>
    <row r="500" customFormat="false" ht="12.75" hidden="false" customHeight="true" outlineLevel="0" collapsed="false">
      <c r="B500" s="216"/>
      <c r="C500" s="217"/>
      <c r="D500" s="217"/>
      <c r="E500" s="217"/>
      <c r="F500" s="217"/>
    </row>
    <row r="501" customFormat="false" ht="12.75" hidden="false" customHeight="true" outlineLevel="0" collapsed="false">
      <c r="B501" s="216"/>
      <c r="C501" s="217"/>
      <c r="D501" s="217"/>
      <c r="E501" s="217"/>
      <c r="F501" s="217"/>
    </row>
    <row r="502" customFormat="false" ht="12.75" hidden="false" customHeight="true" outlineLevel="0" collapsed="false">
      <c r="B502" s="216"/>
      <c r="C502" s="217"/>
      <c r="D502" s="217"/>
      <c r="E502" s="217"/>
      <c r="F502" s="217"/>
    </row>
    <row r="503" customFormat="false" ht="12.75" hidden="false" customHeight="true" outlineLevel="0" collapsed="false">
      <c r="B503" s="216"/>
      <c r="C503" s="217"/>
      <c r="D503" s="217"/>
      <c r="E503" s="217"/>
      <c r="F503" s="217"/>
    </row>
    <row r="504" customFormat="false" ht="12.75" hidden="false" customHeight="true" outlineLevel="0" collapsed="false">
      <c r="B504" s="216"/>
      <c r="C504" s="217"/>
      <c r="D504" s="217"/>
      <c r="E504" s="217"/>
      <c r="F504" s="217"/>
    </row>
    <row r="505" customFormat="false" ht="12.75" hidden="false" customHeight="true" outlineLevel="0" collapsed="false">
      <c r="B505" s="216"/>
      <c r="C505" s="217"/>
      <c r="D505" s="217"/>
      <c r="E505" s="217"/>
      <c r="F505" s="217"/>
    </row>
    <row r="506" customFormat="false" ht="12.75" hidden="false" customHeight="true" outlineLevel="0" collapsed="false">
      <c r="B506" s="216"/>
      <c r="C506" s="217"/>
      <c r="D506" s="217"/>
      <c r="E506" s="217"/>
      <c r="F506" s="217"/>
    </row>
    <row r="507" customFormat="false" ht="12.75" hidden="false" customHeight="true" outlineLevel="0" collapsed="false">
      <c r="B507" s="216"/>
      <c r="C507" s="217"/>
      <c r="D507" s="217"/>
      <c r="E507" s="217"/>
      <c r="F507" s="217"/>
    </row>
    <row r="508" customFormat="false" ht="12.75" hidden="false" customHeight="true" outlineLevel="0" collapsed="false">
      <c r="B508" s="216"/>
      <c r="C508" s="217"/>
      <c r="D508" s="217"/>
      <c r="E508" s="217"/>
      <c r="F508" s="217"/>
    </row>
    <row r="509" customFormat="false" ht="12.75" hidden="false" customHeight="true" outlineLevel="0" collapsed="false">
      <c r="B509" s="216"/>
      <c r="C509" s="217"/>
      <c r="D509" s="217"/>
      <c r="E509" s="217"/>
      <c r="F509" s="217"/>
    </row>
    <row r="510" customFormat="false" ht="12.75" hidden="false" customHeight="true" outlineLevel="0" collapsed="false">
      <c r="B510" s="216"/>
      <c r="C510" s="217"/>
      <c r="D510" s="217"/>
      <c r="E510" s="217"/>
      <c r="F510" s="217"/>
    </row>
    <row r="511" customFormat="false" ht="12.75" hidden="false" customHeight="true" outlineLevel="0" collapsed="false">
      <c r="B511" s="216"/>
      <c r="C511" s="217"/>
      <c r="D511" s="217"/>
      <c r="E511" s="217"/>
      <c r="F511" s="217"/>
    </row>
    <row r="512" customFormat="false" ht="12.75" hidden="false" customHeight="true" outlineLevel="0" collapsed="false">
      <c r="B512" s="216"/>
      <c r="C512" s="217"/>
      <c r="D512" s="217"/>
      <c r="E512" s="217"/>
      <c r="F512" s="217"/>
    </row>
    <row r="513" customFormat="false" ht="12.75" hidden="false" customHeight="true" outlineLevel="0" collapsed="false">
      <c r="B513" s="216"/>
      <c r="C513" s="217"/>
      <c r="D513" s="217"/>
      <c r="E513" s="217"/>
      <c r="F513" s="217"/>
    </row>
    <row r="514" customFormat="false" ht="12.75" hidden="false" customHeight="true" outlineLevel="0" collapsed="false">
      <c r="B514" s="216"/>
      <c r="C514" s="217"/>
      <c r="D514" s="217"/>
      <c r="E514" s="217"/>
      <c r="F514" s="217"/>
    </row>
    <row r="515" customFormat="false" ht="12.75" hidden="false" customHeight="true" outlineLevel="0" collapsed="false">
      <c r="B515" s="216"/>
      <c r="C515" s="217"/>
      <c r="D515" s="217"/>
      <c r="E515" s="217"/>
      <c r="F515" s="217"/>
    </row>
    <row r="516" customFormat="false" ht="12.75" hidden="false" customHeight="true" outlineLevel="0" collapsed="false">
      <c r="B516" s="216"/>
      <c r="C516" s="217"/>
      <c r="D516" s="217"/>
      <c r="E516" s="217"/>
      <c r="F516" s="217"/>
    </row>
    <row r="517" customFormat="false" ht="12.75" hidden="false" customHeight="true" outlineLevel="0" collapsed="false">
      <c r="B517" s="216"/>
      <c r="C517" s="217"/>
      <c r="D517" s="217"/>
      <c r="E517" s="217"/>
      <c r="F517" s="217"/>
    </row>
    <row r="518" customFormat="false" ht="12.75" hidden="false" customHeight="true" outlineLevel="0" collapsed="false">
      <c r="B518" s="216"/>
      <c r="C518" s="217"/>
      <c r="D518" s="217"/>
      <c r="E518" s="217"/>
      <c r="F518" s="217"/>
    </row>
    <row r="519" customFormat="false" ht="12.75" hidden="false" customHeight="true" outlineLevel="0" collapsed="false">
      <c r="B519" s="216"/>
      <c r="C519" s="217"/>
      <c r="D519" s="217"/>
      <c r="E519" s="217"/>
      <c r="F519" s="217"/>
    </row>
    <row r="520" customFormat="false" ht="12.75" hidden="false" customHeight="true" outlineLevel="0" collapsed="false">
      <c r="B520" s="216"/>
      <c r="C520" s="217"/>
      <c r="D520" s="217"/>
      <c r="E520" s="217"/>
      <c r="F520" s="217"/>
    </row>
    <row r="521" customFormat="false" ht="12.75" hidden="false" customHeight="true" outlineLevel="0" collapsed="false">
      <c r="B521" s="216"/>
      <c r="C521" s="217"/>
      <c r="D521" s="217"/>
      <c r="E521" s="217"/>
      <c r="F521" s="217"/>
    </row>
    <row r="522" customFormat="false" ht="12.75" hidden="false" customHeight="true" outlineLevel="0" collapsed="false">
      <c r="B522" s="216"/>
      <c r="C522" s="217"/>
      <c r="D522" s="217"/>
      <c r="E522" s="217"/>
      <c r="F522" s="217"/>
    </row>
    <row r="523" customFormat="false" ht="12.75" hidden="false" customHeight="true" outlineLevel="0" collapsed="false">
      <c r="B523" s="216"/>
      <c r="C523" s="217"/>
      <c r="D523" s="217"/>
      <c r="E523" s="217"/>
      <c r="F523" s="217"/>
    </row>
    <row r="524" customFormat="false" ht="12.75" hidden="false" customHeight="true" outlineLevel="0" collapsed="false">
      <c r="B524" s="216"/>
      <c r="C524" s="217"/>
      <c r="D524" s="217"/>
      <c r="E524" s="217"/>
      <c r="F524" s="217"/>
    </row>
    <row r="525" customFormat="false" ht="12.75" hidden="false" customHeight="true" outlineLevel="0" collapsed="false">
      <c r="B525" s="216"/>
      <c r="C525" s="217"/>
      <c r="D525" s="217"/>
      <c r="E525" s="217"/>
      <c r="F525" s="217"/>
    </row>
    <row r="526" customFormat="false" ht="12.75" hidden="false" customHeight="true" outlineLevel="0" collapsed="false">
      <c r="B526" s="216"/>
      <c r="C526" s="217"/>
      <c r="D526" s="217"/>
      <c r="E526" s="217"/>
      <c r="F526" s="217"/>
    </row>
    <row r="527" customFormat="false" ht="12.75" hidden="false" customHeight="true" outlineLevel="0" collapsed="false">
      <c r="B527" s="216"/>
      <c r="C527" s="217"/>
      <c r="D527" s="217"/>
      <c r="E527" s="217"/>
      <c r="F527" s="217"/>
    </row>
    <row r="528" customFormat="false" ht="12.75" hidden="false" customHeight="true" outlineLevel="0" collapsed="false">
      <c r="B528" s="216"/>
      <c r="C528" s="217"/>
      <c r="D528" s="217"/>
      <c r="E528" s="217"/>
      <c r="F528" s="217"/>
    </row>
    <row r="529" customFormat="false" ht="12.75" hidden="false" customHeight="true" outlineLevel="0" collapsed="false">
      <c r="B529" s="216"/>
      <c r="C529" s="217"/>
      <c r="D529" s="217"/>
      <c r="E529" s="217"/>
      <c r="F529" s="217"/>
    </row>
    <row r="530" customFormat="false" ht="12.75" hidden="false" customHeight="true" outlineLevel="0" collapsed="false">
      <c r="B530" s="216"/>
      <c r="C530" s="217"/>
      <c r="D530" s="217"/>
      <c r="E530" s="217"/>
      <c r="F530" s="217"/>
    </row>
    <row r="531" customFormat="false" ht="12.75" hidden="false" customHeight="true" outlineLevel="0" collapsed="false">
      <c r="B531" s="216"/>
      <c r="C531" s="217"/>
      <c r="D531" s="217"/>
      <c r="E531" s="217"/>
      <c r="F531" s="217"/>
    </row>
    <row r="532" customFormat="false" ht="12.75" hidden="false" customHeight="true" outlineLevel="0" collapsed="false">
      <c r="B532" s="216"/>
      <c r="C532" s="217"/>
      <c r="D532" s="217"/>
      <c r="E532" s="217"/>
      <c r="F532" s="217"/>
    </row>
    <row r="533" customFormat="false" ht="12.75" hidden="false" customHeight="true" outlineLevel="0" collapsed="false">
      <c r="B533" s="216"/>
      <c r="C533" s="217"/>
      <c r="D533" s="217"/>
      <c r="E533" s="217"/>
      <c r="F533" s="217"/>
    </row>
    <row r="534" customFormat="false" ht="12.75" hidden="false" customHeight="true" outlineLevel="0" collapsed="false">
      <c r="B534" s="216"/>
      <c r="C534" s="217"/>
      <c r="D534" s="217"/>
      <c r="E534" s="217"/>
      <c r="F534" s="217"/>
    </row>
    <row r="535" customFormat="false" ht="12.75" hidden="false" customHeight="true" outlineLevel="0" collapsed="false">
      <c r="B535" s="216"/>
      <c r="C535" s="217"/>
      <c r="D535" s="217"/>
      <c r="E535" s="217"/>
      <c r="F535" s="217"/>
    </row>
    <row r="536" customFormat="false" ht="12.75" hidden="false" customHeight="true" outlineLevel="0" collapsed="false">
      <c r="B536" s="216"/>
      <c r="C536" s="217"/>
      <c r="D536" s="217"/>
      <c r="E536" s="217"/>
      <c r="F536" s="217"/>
    </row>
    <row r="537" customFormat="false" ht="12.75" hidden="false" customHeight="true" outlineLevel="0" collapsed="false">
      <c r="B537" s="216"/>
      <c r="C537" s="217"/>
      <c r="D537" s="217"/>
      <c r="E537" s="217"/>
      <c r="F537" s="217"/>
    </row>
    <row r="538" customFormat="false" ht="12.75" hidden="false" customHeight="true" outlineLevel="0" collapsed="false">
      <c r="B538" s="216"/>
      <c r="C538" s="217"/>
      <c r="D538" s="217"/>
      <c r="E538" s="217"/>
      <c r="F538" s="217"/>
    </row>
    <row r="539" customFormat="false" ht="12.75" hidden="false" customHeight="true" outlineLevel="0" collapsed="false">
      <c r="B539" s="216"/>
      <c r="C539" s="217"/>
      <c r="D539" s="217"/>
      <c r="E539" s="217"/>
      <c r="F539" s="217"/>
    </row>
    <row r="540" customFormat="false" ht="12.75" hidden="false" customHeight="true" outlineLevel="0" collapsed="false">
      <c r="B540" s="216"/>
      <c r="C540" s="217"/>
      <c r="D540" s="217"/>
      <c r="E540" s="217"/>
      <c r="F540" s="217"/>
    </row>
    <row r="541" customFormat="false" ht="12.75" hidden="false" customHeight="true" outlineLevel="0" collapsed="false">
      <c r="B541" s="216"/>
      <c r="C541" s="217"/>
      <c r="D541" s="217"/>
      <c r="E541" s="217"/>
      <c r="F541" s="217"/>
    </row>
    <row r="542" customFormat="false" ht="12.75" hidden="false" customHeight="true" outlineLevel="0" collapsed="false">
      <c r="B542" s="216"/>
      <c r="C542" s="217"/>
      <c r="D542" s="217"/>
      <c r="E542" s="217"/>
      <c r="F542" s="217"/>
    </row>
    <row r="543" customFormat="false" ht="12.75" hidden="false" customHeight="true" outlineLevel="0" collapsed="false">
      <c r="B543" s="216"/>
      <c r="C543" s="217"/>
      <c r="D543" s="217"/>
      <c r="E543" s="217"/>
      <c r="F543" s="217"/>
    </row>
    <row r="544" customFormat="false" ht="12.75" hidden="false" customHeight="true" outlineLevel="0" collapsed="false">
      <c r="B544" s="216"/>
      <c r="C544" s="217"/>
      <c r="D544" s="217"/>
      <c r="E544" s="217"/>
      <c r="F544" s="217"/>
    </row>
    <row r="545" customFormat="false" ht="12.75" hidden="false" customHeight="true" outlineLevel="0" collapsed="false">
      <c r="B545" s="216"/>
      <c r="C545" s="217"/>
      <c r="D545" s="217"/>
      <c r="E545" s="217"/>
      <c r="F545" s="217"/>
    </row>
    <row r="546" customFormat="false" ht="12.75" hidden="false" customHeight="true" outlineLevel="0" collapsed="false">
      <c r="B546" s="216"/>
      <c r="C546" s="217"/>
      <c r="D546" s="217"/>
      <c r="E546" s="217"/>
      <c r="F546" s="217"/>
    </row>
    <row r="547" customFormat="false" ht="12.75" hidden="false" customHeight="true" outlineLevel="0" collapsed="false">
      <c r="B547" s="216"/>
      <c r="C547" s="217"/>
      <c r="D547" s="217"/>
      <c r="E547" s="217"/>
      <c r="F547" s="217"/>
    </row>
    <row r="548" customFormat="false" ht="12.75" hidden="false" customHeight="true" outlineLevel="0" collapsed="false">
      <c r="B548" s="216"/>
      <c r="C548" s="217"/>
      <c r="D548" s="217"/>
      <c r="E548" s="217"/>
      <c r="F548" s="217"/>
    </row>
    <row r="549" customFormat="false" ht="12.75" hidden="false" customHeight="true" outlineLevel="0" collapsed="false">
      <c r="B549" s="216"/>
      <c r="C549" s="217"/>
      <c r="D549" s="217"/>
      <c r="E549" s="217"/>
      <c r="F549" s="217"/>
    </row>
    <row r="550" customFormat="false" ht="12.75" hidden="false" customHeight="true" outlineLevel="0" collapsed="false">
      <c r="B550" s="216"/>
      <c r="C550" s="217"/>
      <c r="D550" s="217"/>
      <c r="E550" s="217"/>
      <c r="F550" s="217"/>
    </row>
    <row r="551" customFormat="false" ht="12.75" hidden="false" customHeight="true" outlineLevel="0" collapsed="false">
      <c r="B551" s="216"/>
      <c r="C551" s="217"/>
      <c r="D551" s="217"/>
      <c r="E551" s="217"/>
      <c r="F551" s="217"/>
    </row>
    <row r="552" customFormat="false" ht="12.75" hidden="false" customHeight="true" outlineLevel="0" collapsed="false">
      <c r="B552" s="216"/>
      <c r="C552" s="217"/>
      <c r="D552" s="217"/>
      <c r="E552" s="217"/>
      <c r="F552" s="217"/>
    </row>
    <row r="553" customFormat="false" ht="12.75" hidden="false" customHeight="true" outlineLevel="0" collapsed="false">
      <c r="B553" s="216"/>
      <c r="C553" s="217"/>
      <c r="D553" s="217"/>
      <c r="E553" s="217"/>
      <c r="F553" s="217"/>
    </row>
    <row r="554" customFormat="false" ht="12.75" hidden="false" customHeight="true" outlineLevel="0" collapsed="false">
      <c r="B554" s="216"/>
      <c r="C554" s="217"/>
      <c r="D554" s="217"/>
      <c r="E554" s="217"/>
      <c r="F554" s="217"/>
    </row>
    <row r="555" customFormat="false" ht="12.75" hidden="false" customHeight="true" outlineLevel="0" collapsed="false">
      <c r="B555" s="216"/>
      <c r="C555" s="217"/>
      <c r="D555" s="217"/>
      <c r="E555" s="217"/>
      <c r="F555" s="217"/>
    </row>
    <row r="556" customFormat="false" ht="12.75" hidden="false" customHeight="true" outlineLevel="0" collapsed="false">
      <c r="B556" s="216"/>
      <c r="C556" s="217"/>
      <c r="D556" s="217"/>
      <c r="E556" s="217"/>
      <c r="F556" s="217"/>
    </row>
    <row r="557" customFormat="false" ht="12.75" hidden="false" customHeight="true" outlineLevel="0" collapsed="false">
      <c r="B557" s="216"/>
      <c r="C557" s="217"/>
      <c r="D557" s="217"/>
      <c r="E557" s="217"/>
      <c r="F557" s="217"/>
    </row>
    <row r="558" customFormat="false" ht="12.75" hidden="false" customHeight="true" outlineLevel="0" collapsed="false">
      <c r="B558" s="216"/>
      <c r="C558" s="217"/>
      <c r="D558" s="217"/>
      <c r="E558" s="217"/>
      <c r="F558" s="217"/>
    </row>
    <row r="559" customFormat="false" ht="12.75" hidden="false" customHeight="true" outlineLevel="0" collapsed="false">
      <c r="B559" s="216"/>
      <c r="C559" s="217"/>
      <c r="D559" s="217"/>
      <c r="E559" s="217"/>
      <c r="F559" s="217"/>
    </row>
    <row r="560" customFormat="false" ht="12.75" hidden="false" customHeight="true" outlineLevel="0" collapsed="false">
      <c r="B560" s="216"/>
      <c r="C560" s="217"/>
      <c r="D560" s="217"/>
      <c r="E560" s="217"/>
      <c r="F560" s="217"/>
    </row>
    <row r="561" customFormat="false" ht="12.75" hidden="false" customHeight="true" outlineLevel="0" collapsed="false">
      <c r="B561" s="216"/>
      <c r="C561" s="217"/>
      <c r="D561" s="217"/>
      <c r="E561" s="217"/>
      <c r="F561" s="217"/>
    </row>
    <row r="562" customFormat="false" ht="12.75" hidden="false" customHeight="true" outlineLevel="0" collapsed="false">
      <c r="B562" s="216"/>
      <c r="C562" s="217"/>
      <c r="D562" s="217"/>
      <c r="E562" s="217"/>
      <c r="F562" s="217"/>
    </row>
    <row r="563" customFormat="false" ht="12.75" hidden="false" customHeight="true" outlineLevel="0" collapsed="false">
      <c r="B563" s="216"/>
      <c r="C563" s="217"/>
      <c r="D563" s="217"/>
      <c r="E563" s="217"/>
      <c r="F563" s="217"/>
    </row>
    <row r="564" customFormat="false" ht="12.75" hidden="false" customHeight="true" outlineLevel="0" collapsed="false">
      <c r="B564" s="216"/>
      <c r="C564" s="217"/>
      <c r="D564" s="217"/>
      <c r="E564" s="217"/>
      <c r="F564" s="217"/>
    </row>
    <row r="565" customFormat="false" ht="12.75" hidden="false" customHeight="true" outlineLevel="0" collapsed="false">
      <c r="B565" s="216"/>
      <c r="C565" s="217"/>
      <c r="D565" s="217"/>
      <c r="E565" s="217"/>
      <c r="F565" s="217"/>
    </row>
    <row r="566" customFormat="false" ht="12.75" hidden="false" customHeight="true" outlineLevel="0" collapsed="false">
      <c r="B566" s="216"/>
      <c r="C566" s="217"/>
      <c r="D566" s="217"/>
      <c r="E566" s="217"/>
      <c r="F566" s="217"/>
    </row>
    <row r="567" customFormat="false" ht="12.75" hidden="false" customHeight="true" outlineLevel="0" collapsed="false">
      <c r="B567" s="216"/>
      <c r="C567" s="217"/>
      <c r="D567" s="217"/>
      <c r="E567" s="217"/>
      <c r="F567" s="217"/>
    </row>
    <row r="568" customFormat="false" ht="12.75" hidden="false" customHeight="true" outlineLevel="0" collapsed="false">
      <c r="B568" s="216"/>
      <c r="C568" s="217"/>
      <c r="D568" s="217"/>
      <c r="E568" s="217"/>
      <c r="F568" s="217"/>
    </row>
    <row r="569" customFormat="false" ht="12.75" hidden="false" customHeight="true" outlineLevel="0" collapsed="false">
      <c r="B569" s="216"/>
      <c r="C569" s="217"/>
      <c r="D569" s="217"/>
      <c r="E569" s="217"/>
      <c r="F569" s="217"/>
    </row>
    <row r="570" customFormat="false" ht="12.75" hidden="false" customHeight="true" outlineLevel="0" collapsed="false">
      <c r="B570" s="216"/>
      <c r="C570" s="217"/>
      <c r="D570" s="217"/>
      <c r="E570" s="217"/>
      <c r="F570" s="217"/>
    </row>
    <row r="571" customFormat="false" ht="12.75" hidden="false" customHeight="true" outlineLevel="0" collapsed="false">
      <c r="B571" s="216"/>
      <c r="C571" s="217"/>
      <c r="D571" s="217"/>
      <c r="E571" s="217"/>
      <c r="F571" s="217"/>
    </row>
    <row r="572" customFormat="false" ht="12.75" hidden="false" customHeight="true" outlineLevel="0" collapsed="false">
      <c r="B572" s="216"/>
      <c r="C572" s="217"/>
      <c r="D572" s="217"/>
      <c r="E572" s="217"/>
      <c r="F572" s="217"/>
    </row>
    <row r="573" customFormat="false" ht="12.75" hidden="false" customHeight="true" outlineLevel="0" collapsed="false">
      <c r="B573" s="216"/>
      <c r="C573" s="217"/>
      <c r="D573" s="217"/>
      <c r="E573" s="217"/>
      <c r="F573" s="217"/>
    </row>
    <row r="574" customFormat="false" ht="12.75" hidden="false" customHeight="true" outlineLevel="0" collapsed="false">
      <c r="B574" s="216"/>
      <c r="C574" s="217"/>
      <c r="D574" s="217"/>
      <c r="E574" s="217"/>
      <c r="F574" s="217"/>
    </row>
    <row r="575" customFormat="false" ht="12.75" hidden="false" customHeight="true" outlineLevel="0" collapsed="false">
      <c r="B575" s="216"/>
      <c r="C575" s="217"/>
      <c r="D575" s="217"/>
      <c r="E575" s="217"/>
      <c r="F575" s="217"/>
    </row>
    <row r="576" customFormat="false" ht="12.75" hidden="false" customHeight="true" outlineLevel="0" collapsed="false">
      <c r="B576" s="216"/>
      <c r="C576" s="217"/>
      <c r="D576" s="217"/>
      <c r="E576" s="217"/>
      <c r="F576" s="217"/>
    </row>
    <row r="577" customFormat="false" ht="12.75" hidden="false" customHeight="true" outlineLevel="0" collapsed="false">
      <c r="B577" s="216"/>
      <c r="C577" s="217"/>
      <c r="D577" s="217"/>
      <c r="E577" s="217"/>
      <c r="F577" s="217"/>
    </row>
    <row r="578" customFormat="false" ht="12.75" hidden="false" customHeight="true" outlineLevel="0" collapsed="false">
      <c r="B578" s="216"/>
      <c r="C578" s="217"/>
      <c r="D578" s="217"/>
      <c r="E578" s="217"/>
      <c r="F578" s="217"/>
    </row>
    <row r="579" customFormat="false" ht="12.75" hidden="false" customHeight="true" outlineLevel="0" collapsed="false">
      <c r="B579" s="216"/>
      <c r="C579" s="217"/>
      <c r="D579" s="217"/>
      <c r="E579" s="217"/>
      <c r="F579" s="217"/>
    </row>
    <row r="580" customFormat="false" ht="12.75" hidden="false" customHeight="true" outlineLevel="0" collapsed="false">
      <c r="B580" s="216"/>
      <c r="C580" s="217"/>
      <c r="D580" s="217"/>
      <c r="E580" s="217"/>
      <c r="F580" s="217"/>
    </row>
    <row r="581" customFormat="false" ht="12.75" hidden="false" customHeight="true" outlineLevel="0" collapsed="false">
      <c r="B581" s="216"/>
      <c r="C581" s="217"/>
      <c r="D581" s="217"/>
      <c r="E581" s="217"/>
      <c r="F581" s="217"/>
    </row>
    <row r="582" customFormat="false" ht="12.75" hidden="false" customHeight="true" outlineLevel="0" collapsed="false">
      <c r="B582" s="216"/>
      <c r="C582" s="217"/>
      <c r="D582" s="217"/>
      <c r="E582" s="217"/>
      <c r="F582" s="217"/>
    </row>
    <row r="583" customFormat="false" ht="12.75" hidden="false" customHeight="true" outlineLevel="0" collapsed="false">
      <c r="B583" s="216"/>
      <c r="C583" s="217"/>
      <c r="D583" s="217"/>
      <c r="E583" s="217"/>
      <c r="F583" s="217"/>
    </row>
    <row r="584" customFormat="false" ht="12.75" hidden="false" customHeight="true" outlineLevel="0" collapsed="false">
      <c r="B584" s="216"/>
      <c r="C584" s="217"/>
      <c r="D584" s="217"/>
      <c r="E584" s="217"/>
      <c r="F584" s="217"/>
    </row>
    <row r="585" customFormat="false" ht="12.75" hidden="false" customHeight="true" outlineLevel="0" collapsed="false">
      <c r="B585" s="216"/>
      <c r="C585" s="217"/>
      <c r="D585" s="217"/>
      <c r="E585" s="217"/>
      <c r="F585" s="217"/>
    </row>
    <row r="586" customFormat="false" ht="12.75" hidden="false" customHeight="true" outlineLevel="0" collapsed="false">
      <c r="B586" s="216"/>
      <c r="C586" s="217"/>
      <c r="D586" s="217"/>
      <c r="E586" s="217"/>
      <c r="F586" s="217"/>
    </row>
    <row r="587" customFormat="false" ht="12.75" hidden="false" customHeight="true" outlineLevel="0" collapsed="false">
      <c r="B587" s="216"/>
      <c r="C587" s="217"/>
      <c r="D587" s="217"/>
      <c r="E587" s="217"/>
      <c r="F587" s="217"/>
    </row>
    <row r="588" customFormat="false" ht="12.75" hidden="false" customHeight="true" outlineLevel="0" collapsed="false">
      <c r="B588" s="216"/>
      <c r="C588" s="217"/>
      <c r="D588" s="217"/>
      <c r="E588" s="217"/>
      <c r="F588" s="217"/>
    </row>
    <row r="589" customFormat="false" ht="12.75" hidden="false" customHeight="true" outlineLevel="0" collapsed="false">
      <c r="B589" s="216"/>
      <c r="C589" s="217"/>
      <c r="D589" s="217"/>
      <c r="E589" s="217"/>
      <c r="F589" s="217"/>
    </row>
    <row r="590" customFormat="false" ht="12.75" hidden="false" customHeight="true" outlineLevel="0" collapsed="false">
      <c r="B590" s="216"/>
      <c r="C590" s="217"/>
      <c r="D590" s="217"/>
      <c r="E590" s="217"/>
      <c r="F590" s="217"/>
    </row>
    <row r="591" customFormat="false" ht="12.75" hidden="false" customHeight="true" outlineLevel="0" collapsed="false">
      <c r="B591" s="216"/>
      <c r="C591" s="217"/>
      <c r="D591" s="217"/>
      <c r="E591" s="217"/>
      <c r="F591" s="217"/>
    </row>
    <row r="592" customFormat="false" ht="12.75" hidden="false" customHeight="true" outlineLevel="0" collapsed="false">
      <c r="B592" s="216"/>
      <c r="C592" s="217"/>
      <c r="D592" s="217"/>
      <c r="E592" s="217"/>
      <c r="F592" s="217"/>
    </row>
    <row r="593" customFormat="false" ht="12.75" hidden="false" customHeight="true" outlineLevel="0" collapsed="false">
      <c r="B593" s="216"/>
      <c r="C593" s="217"/>
      <c r="D593" s="217"/>
      <c r="E593" s="217"/>
      <c r="F593" s="217"/>
    </row>
    <row r="594" customFormat="false" ht="12.75" hidden="false" customHeight="true" outlineLevel="0" collapsed="false">
      <c r="B594" s="216"/>
      <c r="C594" s="217"/>
      <c r="D594" s="217"/>
      <c r="E594" s="217"/>
      <c r="F594" s="217"/>
    </row>
    <row r="595" customFormat="false" ht="12.75" hidden="false" customHeight="true" outlineLevel="0" collapsed="false">
      <c r="B595" s="216"/>
      <c r="C595" s="217"/>
      <c r="D595" s="217"/>
      <c r="E595" s="217"/>
      <c r="F595" s="217"/>
    </row>
    <row r="596" customFormat="false" ht="12.75" hidden="false" customHeight="true" outlineLevel="0" collapsed="false">
      <c r="B596" s="216"/>
      <c r="C596" s="217"/>
      <c r="D596" s="217"/>
      <c r="E596" s="217"/>
      <c r="F596" s="217"/>
    </row>
    <row r="597" customFormat="false" ht="12.75" hidden="false" customHeight="true" outlineLevel="0" collapsed="false">
      <c r="B597" s="216"/>
      <c r="C597" s="217"/>
      <c r="D597" s="217"/>
      <c r="E597" s="217"/>
      <c r="F597" s="217"/>
    </row>
    <row r="598" customFormat="false" ht="12.75" hidden="false" customHeight="true" outlineLevel="0" collapsed="false">
      <c r="B598" s="216"/>
      <c r="C598" s="217"/>
      <c r="D598" s="217"/>
      <c r="E598" s="217"/>
      <c r="F598" s="217"/>
    </row>
    <row r="599" customFormat="false" ht="12.75" hidden="false" customHeight="true" outlineLevel="0" collapsed="false">
      <c r="B599" s="216"/>
      <c r="C599" s="217"/>
      <c r="D599" s="217"/>
      <c r="E599" s="217"/>
      <c r="F599" s="217"/>
    </row>
    <row r="600" customFormat="false" ht="12.75" hidden="false" customHeight="true" outlineLevel="0" collapsed="false">
      <c r="B600" s="216"/>
      <c r="C600" s="217"/>
      <c r="D600" s="217"/>
      <c r="E600" s="217"/>
      <c r="F600" s="217"/>
    </row>
    <row r="601" customFormat="false" ht="12.75" hidden="false" customHeight="true" outlineLevel="0" collapsed="false">
      <c r="B601" s="216"/>
      <c r="C601" s="217"/>
      <c r="D601" s="217"/>
      <c r="E601" s="217"/>
      <c r="F601" s="217"/>
    </row>
    <row r="602" customFormat="false" ht="12.75" hidden="false" customHeight="true" outlineLevel="0" collapsed="false">
      <c r="B602" s="216"/>
      <c r="C602" s="217"/>
      <c r="D602" s="217"/>
      <c r="E602" s="217"/>
      <c r="F602" s="217"/>
    </row>
    <row r="603" customFormat="false" ht="12.75" hidden="false" customHeight="true" outlineLevel="0" collapsed="false">
      <c r="B603" s="216"/>
      <c r="C603" s="217"/>
      <c r="D603" s="217"/>
      <c r="E603" s="217"/>
      <c r="F603" s="217"/>
    </row>
    <row r="604" customFormat="false" ht="12.75" hidden="false" customHeight="true" outlineLevel="0" collapsed="false">
      <c r="B604" s="216"/>
      <c r="C604" s="217"/>
      <c r="D604" s="217"/>
      <c r="E604" s="217"/>
      <c r="F604" s="217"/>
    </row>
    <row r="605" customFormat="false" ht="12.75" hidden="false" customHeight="true" outlineLevel="0" collapsed="false">
      <c r="B605" s="216"/>
      <c r="C605" s="217"/>
      <c r="D605" s="217"/>
      <c r="E605" s="217"/>
      <c r="F605" s="217"/>
    </row>
    <row r="606" customFormat="false" ht="12.75" hidden="false" customHeight="true" outlineLevel="0" collapsed="false">
      <c r="B606" s="216"/>
      <c r="C606" s="217"/>
      <c r="D606" s="217"/>
      <c r="E606" s="217"/>
      <c r="F606" s="217"/>
    </row>
    <row r="607" customFormat="false" ht="12.75" hidden="false" customHeight="true" outlineLevel="0" collapsed="false">
      <c r="B607" s="216"/>
      <c r="C607" s="217"/>
      <c r="D607" s="217"/>
      <c r="E607" s="217"/>
      <c r="F607" s="217"/>
    </row>
    <row r="608" customFormat="false" ht="12.75" hidden="false" customHeight="true" outlineLevel="0" collapsed="false">
      <c r="B608" s="216"/>
      <c r="C608" s="217"/>
      <c r="D608" s="217"/>
      <c r="E608" s="217"/>
      <c r="F608" s="217"/>
    </row>
    <row r="609" customFormat="false" ht="12.75" hidden="false" customHeight="true" outlineLevel="0" collapsed="false">
      <c r="B609" s="216"/>
      <c r="C609" s="217"/>
      <c r="D609" s="217"/>
      <c r="E609" s="217"/>
      <c r="F609" s="217"/>
    </row>
    <row r="610" customFormat="false" ht="12.75" hidden="false" customHeight="true" outlineLevel="0" collapsed="false">
      <c r="B610" s="216"/>
      <c r="C610" s="217"/>
      <c r="D610" s="217"/>
      <c r="E610" s="217"/>
      <c r="F610" s="217"/>
    </row>
    <row r="611" customFormat="false" ht="12.75" hidden="false" customHeight="true" outlineLevel="0" collapsed="false">
      <c r="B611" s="216"/>
      <c r="C611" s="217"/>
      <c r="D611" s="217"/>
      <c r="E611" s="217"/>
      <c r="F611" s="217"/>
    </row>
    <row r="612" customFormat="false" ht="12.75" hidden="false" customHeight="true" outlineLevel="0" collapsed="false">
      <c r="B612" s="216"/>
      <c r="C612" s="217"/>
      <c r="D612" s="217"/>
      <c r="E612" s="217"/>
      <c r="F612" s="217"/>
    </row>
    <row r="613" customFormat="false" ht="12.75" hidden="false" customHeight="true" outlineLevel="0" collapsed="false">
      <c r="B613" s="216"/>
      <c r="C613" s="217"/>
      <c r="D613" s="217"/>
      <c r="E613" s="217"/>
      <c r="F613" s="217"/>
    </row>
    <row r="614" customFormat="false" ht="12.75" hidden="false" customHeight="true" outlineLevel="0" collapsed="false">
      <c r="B614" s="216"/>
      <c r="C614" s="217"/>
      <c r="D614" s="217"/>
      <c r="E614" s="217"/>
      <c r="F614" s="217"/>
    </row>
    <row r="615" customFormat="false" ht="12.75" hidden="false" customHeight="true" outlineLevel="0" collapsed="false">
      <c r="B615" s="216"/>
      <c r="C615" s="217"/>
      <c r="D615" s="217"/>
      <c r="E615" s="217"/>
      <c r="F615" s="217"/>
    </row>
    <row r="616" customFormat="false" ht="12.75" hidden="false" customHeight="true" outlineLevel="0" collapsed="false">
      <c r="B616" s="216"/>
      <c r="C616" s="217"/>
      <c r="D616" s="217"/>
      <c r="E616" s="217"/>
      <c r="F616" s="217"/>
    </row>
    <row r="617" customFormat="false" ht="12.75" hidden="false" customHeight="true" outlineLevel="0" collapsed="false">
      <c r="B617" s="216"/>
      <c r="C617" s="217"/>
      <c r="D617" s="217"/>
      <c r="E617" s="217"/>
      <c r="F617" s="217"/>
    </row>
    <row r="618" customFormat="false" ht="12.75" hidden="false" customHeight="true" outlineLevel="0" collapsed="false">
      <c r="B618" s="216"/>
      <c r="C618" s="217"/>
      <c r="D618" s="217"/>
      <c r="E618" s="217"/>
      <c r="F618" s="217"/>
    </row>
    <row r="619" customFormat="false" ht="12.75" hidden="false" customHeight="true" outlineLevel="0" collapsed="false">
      <c r="B619" s="216"/>
      <c r="C619" s="217"/>
      <c r="D619" s="217"/>
      <c r="E619" s="217"/>
      <c r="F619" s="217"/>
    </row>
    <row r="620" customFormat="false" ht="12.75" hidden="false" customHeight="true" outlineLevel="0" collapsed="false">
      <c r="B620" s="216"/>
      <c r="C620" s="217"/>
      <c r="D620" s="217"/>
      <c r="E620" s="217"/>
      <c r="F620" s="217"/>
    </row>
    <row r="621" customFormat="false" ht="12.75" hidden="false" customHeight="true" outlineLevel="0" collapsed="false">
      <c r="B621" s="216"/>
      <c r="C621" s="217"/>
      <c r="D621" s="217"/>
      <c r="E621" s="217"/>
      <c r="F621" s="217"/>
    </row>
    <row r="622" customFormat="false" ht="12.75" hidden="false" customHeight="true" outlineLevel="0" collapsed="false">
      <c r="B622" s="216"/>
      <c r="C622" s="217"/>
      <c r="D622" s="217"/>
      <c r="E622" s="217"/>
      <c r="F622" s="217"/>
    </row>
    <row r="623" customFormat="false" ht="12.75" hidden="false" customHeight="true" outlineLevel="0" collapsed="false">
      <c r="B623" s="216"/>
      <c r="C623" s="217"/>
      <c r="D623" s="217"/>
      <c r="E623" s="217"/>
      <c r="F623" s="217"/>
    </row>
    <row r="624" customFormat="false" ht="12.75" hidden="false" customHeight="true" outlineLevel="0" collapsed="false">
      <c r="B624" s="216"/>
      <c r="C624" s="217"/>
      <c r="D624" s="217"/>
      <c r="E624" s="217"/>
      <c r="F624" s="217"/>
    </row>
    <row r="625" customFormat="false" ht="12.75" hidden="false" customHeight="true" outlineLevel="0" collapsed="false">
      <c r="B625" s="216"/>
      <c r="C625" s="217"/>
      <c r="D625" s="217"/>
      <c r="E625" s="217"/>
      <c r="F625" s="217"/>
    </row>
    <row r="626" customFormat="false" ht="12.75" hidden="false" customHeight="true" outlineLevel="0" collapsed="false">
      <c r="B626" s="216"/>
      <c r="C626" s="217"/>
      <c r="D626" s="217"/>
      <c r="E626" s="217"/>
      <c r="F626" s="217"/>
    </row>
    <row r="627" customFormat="false" ht="12.75" hidden="false" customHeight="true" outlineLevel="0" collapsed="false">
      <c r="B627" s="216"/>
      <c r="C627" s="217"/>
      <c r="D627" s="217"/>
      <c r="E627" s="217"/>
      <c r="F627" s="217"/>
    </row>
    <row r="628" customFormat="false" ht="12.75" hidden="false" customHeight="true" outlineLevel="0" collapsed="false">
      <c r="B628" s="216"/>
      <c r="C628" s="217"/>
      <c r="D628" s="217"/>
      <c r="E628" s="217"/>
      <c r="F628" s="217"/>
    </row>
    <row r="629" customFormat="false" ht="12.75" hidden="false" customHeight="true" outlineLevel="0" collapsed="false">
      <c r="B629" s="216"/>
      <c r="C629" s="217"/>
      <c r="D629" s="217"/>
      <c r="E629" s="217"/>
      <c r="F629" s="217"/>
    </row>
    <row r="630" customFormat="false" ht="12.75" hidden="false" customHeight="true" outlineLevel="0" collapsed="false">
      <c r="B630" s="216"/>
      <c r="C630" s="217"/>
      <c r="D630" s="217"/>
      <c r="E630" s="217"/>
      <c r="F630" s="217"/>
    </row>
    <row r="631" customFormat="false" ht="12.75" hidden="false" customHeight="true" outlineLevel="0" collapsed="false">
      <c r="B631" s="216"/>
      <c r="C631" s="217"/>
      <c r="D631" s="217"/>
      <c r="E631" s="217"/>
      <c r="F631" s="217"/>
    </row>
    <row r="632" customFormat="false" ht="12.75" hidden="false" customHeight="true" outlineLevel="0" collapsed="false">
      <c r="B632" s="216"/>
      <c r="C632" s="217"/>
      <c r="D632" s="217"/>
      <c r="E632" s="217"/>
      <c r="F632" s="217"/>
    </row>
    <row r="633" customFormat="false" ht="12.75" hidden="false" customHeight="true" outlineLevel="0" collapsed="false">
      <c r="B633" s="216"/>
      <c r="C633" s="217"/>
      <c r="D633" s="217"/>
      <c r="E633" s="217"/>
      <c r="F633" s="217"/>
    </row>
    <row r="634" customFormat="false" ht="12.75" hidden="false" customHeight="true" outlineLevel="0" collapsed="false">
      <c r="B634" s="216"/>
      <c r="C634" s="217"/>
      <c r="D634" s="217"/>
      <c r="E634" s="217"/>
      <c r="F634" s="217"/>
    </row>
    <row r="635" customFormat="false" ht="12.75" hidden="false" customHeight="true" outlineLevel="0" collapsed="false">
      <c r="B635" s="216"/>
      <c r="C635" s="217"/>
      <c r="D635" s="217"/>
      <c r="E635" s="217"/>
      <c r="F635" s="217"/>
    </row>
    <row r="636" customFormat="false" ht="12.75" hidden="false" customHeight="true" outlineLevel="0" collapsed="false">
      <c r="B636" s="216"/>
      <c r="C636" s="217"/>
      <c r="D636" s="217"/>
      <c r="E636" s="217"/>
      <c r="F636" s="217"/>
    </row>
    <row r="637" customFormat="false" ht="12.75" hidden="false" customHeight="true" outlineLevel="0" collapsed="false">
      <c r="B637" s="216"/>
      <c r="C637" s="217"/>
      <c r="D637" s="217"/>
      <c r="E637" s="217"/>
      <c r="F637" s="217"/>
    </row>
    <row r="638" customFormat="false" ht="12.75" hidden="false" customHeight="true" outlineLevel="0" collapsed="false">
      <c r="B638" s="216"/>
      <c r="C638" s="217"/>
      <c r="D638" s="217"/>
      <c r="E638" s="217"/>
      <c r="F638" s="217"/>
    </row>
    <row r="639" customFormat="false" ht="12.75" hidden="false" customHeight="true" outlineLevel="0" collapsed="false">
      <c r="B639" s="216"/>
      <c r="C639" s="217"/>
      <c r="D639" s="217"/>
      <c r="E639" s="217"/>
      <c r="F639" s="217"/>
    </row>
    <row r="640" customFormat="false" ht="12.75" hidden="false" customHeight="true" outlineLevel="0" collapsed="false">
      <c r="B640" s="216"/>
      <c r="C640" s="217"/>
      <c r="D640" s="217"/>
      <c r="E640" s="217"/>
      <c r="F640" s="217"/>
    </row>
    <row r="641" customFormat="false" ht="12.75" hidden="false" customHeight="true" outlineLevel="0" collapsed="false">
      <c r="B641" s="216"/>
      <c r="C641" s="217"/>
      <c r="D641" s="217"/>
      <c r="E641" s="217"/>
      <c r="F641" s="217"/>
    </row>
    <row r="642" customFormat="false" ht="12.75" hidden="false" customHeight="true" outlineLevel="0" collapsed="false">
      <c r="B642" s="216"/>
      <c r="C642" s="217"/>
      <c r="D642" s="217"/>
      <c r="E642" s="217"/>
      <c r="F642" s="217"/>
    </row>
    <row r="643" customFormat="false" ht="12.75" hidden="false" customHeight="true" outlineLevel="0" collapsed="false">
      <c r="B643" s="216"/>
      <c r="C643" s="217"/>
      <c r="D643" s="217"/>
      <c r="E643" s="217"/>
      <c r="F643" s="217"/>
    </row>
    <row r="644" customFormat="false" ht="12.75" hidden="false" customHeight="true" outlineLevel="0" collapsed="false">
      <c r="B644" s="216"/>
      <c r="C644" s="217"/>
      <c r="D644" s="217"/>
      <c r="E644" s="217"/>
      <c r="F644" s="217"/>
    </row>
    <row r="645" customFormat="false" ht="12.75" hidden="false" customHeight="true" outlineLevel="0" collapsed="false">
      <c r="B645" s="216"/>
      <c r="C645" s="217"/>
      <c r="D645" s="217"/>
      <c r="E645" s="217"/>
      <c r="F645" s="217"/>
    </row>
    <row r="646" customFormat="false" ht="12.75" hidden="false" customHeight="true" outlineLevel="0" collapsed="false">
      <c r="B646" s="216"/>
      <c r="C646" s="217"/>
      <c r="D646" s="217"/>
      <c r="E646" s="217"/>
      <c r="F646" s="217"/>
    </row>
    <row r="647" customFormat="false" ht="12.75" hidden="false" customHeight="true" outlineLevel="0" collapsed="false">
      <c r="B647" s="216"/>
      <c r="C647" s="217"/>
      <c r="D647" s="217"/>
      <c r="E647" s="217"/>
      <c r="F647" s="217"/>
    </row>
    <row r="648" customFormat="false" ht="12.75" hidden="false" customHeight="true" outlineLevel="0" collapsed="false">
      <c r="B648" s="216"/>
      <c r="C648" s="217"/>
      <c r="D648" s="217"/>
      <c r="E648" s="217"/>
      <c r="F648" s="217"/>
    </row>
    <row r="649" customFormat="false" ht="12.75" hidden="false" customHeight="true" outlineLevel="0" collapsed="false">
      <c r="B649" s="216"/>
      <c r="C649" s="217"/>
      <c r="D649" s="217"/>
      <c r="E649" s="217"/>
      <c r="F649" s="217"/>
    </row>
    <row r="650" customFormat="false" ht="12.75" hidden="false" customHeight="true" outlineLevel="0" collapsed="false">
      <c r="B650" s="216"/>
      <c r="C650" s="217"/>
      <c r="D650" s="217"/>
      <c r="E650" s="217"/>
      <c r="F650" s="217"/>
    </row>
    <row r="651" customFormat="false" ht="12.75" hidden="false" customHeight="true" outlineLevel="0" collapsed="false">
      <c r="B651" s="216"/>
      <c r="C651" s="217"/>
      <c r="D651" s="217"/>
      <c r="E651" s="217"/>
      <c r="F651" s="217"/>
    </row>
    <row r="652" customFormat="false" ht="12.75" hidden="false" customHeight="true" outlineLevel="0" collapsed="false">
      <c r="B652" s="216"/>
      <c r="C652" s="217"/>
      <c r="D652" s="217"/>
      <c r="E652" s="217"/>
      <c r="F652" s="217"/>
    </row>
    <row r="653" customFormat="false" ht="12.75" hidden="false" customHeight="true" outlineLevel="0" collapsed="false">
      <c r="B653" s="216"/>
      <c r="C653" s="217"/>
      <c r="D653" s="217"/>
      <c r="E653" s="217"/>
      <c r="F653" s="217"/>
    </row>
    <row r="654" customFormat="false" ht="12.75" hidden="false" customHeight="true" outlineLevel="0" collapsed="false">
      <c r="B654" s="216"/>
      <c r="C654" s="217"/>
      <c r="D654" s="217"/>
      <c r="E654" s="217"/>
      <c r="F654" s="217"/>
    </row>
    <row r="655" customFormat="false" ht="12.75" hidden="false" customHeight="true" outlineLevel="0" collapsed="false">
      <c r="B655" s="216"/>
      <c r="C655" s="217"/>
      <c r="D655" s="217"/>
      <c r="E655" s="217"/>
      <c r="F655" s="217"/>
    </row>
    <row r="656" customFormat="false" ht="12.75" hidden="false" customHeight="true" outlineLevel="0" collapsed="false">
      <c r="B656" s="216"/>
      <c r="C656" s="217"/>
      <c r="D656" s="217"/>
      <c r="E656" s="217"/>
      <c r="F656" s="217"/>
    </row>
    <row r="657" customFormat="false" ht="12.75" hidden="false" customHeight="true" outlineLevel="0" collapsed="false">
      <c r="B657" s="216"/>
      <c r="C657" s="217"/>
      <c r="D657" s="217"/>
      <c r="E657" s="217"/>
      <c r="F657" s="217"/>
    </row>
    <row r="658" customFormat="false" ht="12.75" hidden="false" customHeight="true" outlineLevel="0" collapsed="false">
      <c r="B658" s="216"/>
      <c r="C658" s="217"/>
      <c r="D658" s="217"/>
      <c r="E658" s="217"/>
      <c r="F658" s="217"/>
    </row>
    <row r="659" customFormat="false" ht="12.75" hidden="false" customHeight="true" outlineLevel="0" collapsed="false">
      <c r="B659" s="216"/>
      <c r="C659" s="217"/>
      <c r="D659" s="217"/>
      <c r="E659" s="217"/>
      <c r="F659" s="217"/>
    </row>
    <row r="660" customFormat="false" ht="12.75" hidden="false" customHeight="true" outlineLevel="0" collapsed="false">
      <c r="B660" s="216"/>
      <c r="C660" s="217"/>
      <c r="D660" s="217"/>
      <c r="E660" s="217"/>
      <c r="F660" s="217"/>
    </row>
    <row r="661" customFormat="false" ht="12.75" hidden="false" customHeight="true" outlineLevel="0" collapsed="false">
      <c r="B661" s="216"/>
      <c r="C661" s="217"/>
      <c r="D661" s="217"/>
      <c r="E661" s="217"/>
      <c r="F661" s="217"/>
    </row>
    <row r="662" customFormat="false" ht="12.75" hidden="false" customHeight="true" outlineLevel="0" collapsed="false">
      <c r="B662" s="216"/>
      <c r="C662" s="217"/>
      <c r="D662" s="217"/>
      <c r="E662" s="217"/>
      <c r="F662" s="217"/>
    </row>
    <row r="663" customFormat="false" ht="12.75" hidden="false" customHeight="true" outlineLevel="0" collapsed="false">
      <c r="B663" s="216"/>
      <c r="C663" s="217"/>
      <c r="D663" s="217"/>
      <c r="E663" s="217"/>
      <c r="F663" s="217"/>
    </row>
    <row r="664" customFormat="false" ht="12.75" hidden="false" customHeight="true" outlineLevel="0" collapsed="false">
      <c r="B664" s="216"/>
      <c r="C664" s="217"/>
      <c r="D664" s="217"/>
      <c r="E664" s="217"/>
      <c r="F664" s="217"/>
    </row>
    <row r="665" customFormat="false" ht="12.75" hidden="false" customHeight="true" outlineLevel="0" collapsed="false">
      <c r="B665" s="216"/>
      <c r="C665" s="217"/>
      <c r="D665" s="217"/>
      <c r="E665" s="217"/>
      <c r="F665" s="217"/>
    </row>
    <row r="666" customFormat="false" ht="12.75" hidden="false" customHeight="true" outlineLevel="0" collapsed="false">
      <c r="B666" s="216"/>
      <c r="C666" s="217"/>
      <c r="D666" s="217"/>
      <c r="E666" s="217"/>
      <c r="F666" s="217"/>
    </row>
    <row r="667" customFormat="false" ht="12.75" hidden="false" customHeight="true" outlineLevel="0" collapsed="false">
      <c r="B667" s="216"/>
      <c r="C667" s="217"/>
      <c r="D667" s="217"/>
      <c r="E667" s="217"/>
      <c r="F667" s="217"/>
    </row>
    <row r="668" customFormat="false" ht="12.75" hidden="false" customHeight="true" outlineLevel="0" collapsed="false">
      <c r="B668" s="216"/>
      <c r="C668" s="217"/>
      <c r="D668" s="217"/>
      <c r="E668" s="217"/>
      <c r="F668" s="217"/>
    </row>
    <row r="669" customFormat="false" ht="12.75" hidden="false" customHeight="true" outlineLevel="0" collapsed="false">
      <c r="B669" s="216"/>
      <c r="C669" s="217"/>
      <c r="D669" s="217"/>
      <c r="E669" s="217"/>
      <c r="F669" s="217"/>
    </row>
    <row r="670" customFormat="false" ht="12.75" hidden="false" customHeight="true" outlineLevel="0" collapsed="false">
      <c r="B670" s="216"/>
      <c r="C670" s="217"/>
      <c r="D670" s="217"/>
      <c r="E670" s="217"/>
      <c r="F670" s="217"/>
    </row>
    <row r="671" customFormat="false" ht="12.75" hidden="false" customHeight="true" outlineLevel="0" collapsed="false">
      <c r="B671" s="216"/>
      <c r="C671" s="217"/>
      <c r="D671" s="217"/>
      <c r="E671" s="217"/>
      <c r="F671" s="217"/>
    </row>
    <row r="672" customFormat="false" ht="12.75" hidden="false" customHeight="true" outlineLevel="0" collapsed="false">
      <c r="B672" s="216"/>
      <c r="C672" s="217"/>
      <c r="D672" s="217"/>
      <c r="E672" s="217"/>
      <c r="F672" s="217"/>
    </row>
    <row r="673" customFormat="false" ht="12.75" hidden="false" customHeight="true" outlineLevel="0" collapsed="false">
      <c r="B673" s="216"/>
      <c r="C673" s="217"/>
      <c r="D673" s="217"/>
      <c r="E673" s="217"/>
      <c r="F673" s="217"/>
    </row>
    <row r="674" customFormat="false" ht="12.75" hidden="false" customHeight="true" outlineLevel="0" collapsed="false">
      <c r="B674" s="216"/>
      <c r="C674" s="217"/>
      <c r="D674" s="217"/>
      <c r="E674" s="217"/>
      <c r="F674" s="217"/>
    </row>
    <row r="675" customFormat="false" ht="12.75" hidden="false" customHeight="true" outlineLevel="0" collapsed="false">
      <c r="B675" s="216"/>
      <c r="C675" s="217"/>
      <c r="D675" s="217"/>
      <c r="E675" s="217"/>
      <c r="F675" s="217"/>
    </row>
    <row r="676" customFormat="false" ht="12.75" hidden="false" customHeight="true" outlineLevel="0" collapsed="false">
      <c r="B676" s="216"/>
      <c r="C676" s="217"/>
      <c r="D676" s="217"/>
      <c r="E676" s="217"/>
      <c r="F676" s="217"/>
    </row>
    <row r="677" customFormat="false" ht="12.75" hidden="false" customHeight="true" outlineLevel="0" collapsed="false">
      <c r="B677" s="216"/>
      <c r="C677" s="217"/>
      <c r="D677" s="217"/>
      <c r="E677" s="217"/>
      <c r="F677" s="217"/>
    </row>
    <row r="678" customFormat="false" ht="12.75" hidden="false" customHeight="true" outlineLevel="0" collapsed="false">
      <c r="B678" s="216"/>
      <c r="C678" s="217"/>
      <c r="D678" s="217"/>
      <c r="E678" s="217"/>
      <c r="F678" s="217"/>
    </row>
    <row r="679" customFormat="false" ht="12.75" hidden="false" customHeight="true" outlineLevel="0" collapsed="false">
      <c r="B679" s="216"/>
      <c r="C679" s="217"/>
      <c r="D679" s="217"/>
      <c r="E679" s="217"/>
      <c r="F679" s="217"/>
    </row>
    <row r="680" customFormat="false" ht="12.75" hidden="false" customHeight="true" outlineLevel="0" collapsed="false">
      <c r="B680" s="216"/>
      <c r="C680" s="217"/>
      <c r="D680" s="217"/>
      <c r="E680" s="217"/>
      <c r="F680" s="217"/>
    </row>
    <row r="681" customFormat="false" ht="12.75" hidden="false" customHeight="true" outlineLevel="0" collapsed="false">
      <c r="B681" s="216"/>
      <c r="C681" s="217"/>
      <c r="D681" s="217"/>
      <c r="E681" s="217"/>
      <c r="F681" s="217"/>
    </row>
    <row r="682" customFormat="false" ht="12.75" hidden="false" customHeight="true" outlineLevel="0" collapsed="false">
      <c r="B682" s="216"/>
      <c r="C682" s="217"/>
      <c r="D682" s="217"/>
      <c r="E682" s="217"/>
      <c r="F682" s="217"/>
    </row>
    <row r="683" customFormat="false" ht="12.75" hidden="false" customHeight="true" outlineLevel="0" collapsed="false">
      <c r="B683" s="216"/>
      <c r="C683" s="217"/>
      <c r="D683" s="217"/>
      <c r="E683" s="217"/>
      <c r="F683" s="217"/>
    </row>
    <row r="684" customFormat="false" ht="12.75" hidden="false" customHeight="true" outlineLevel="0" collapsed="false">
      <c r="B684" s="216"/>
      <c r="C684" s="217"/>
      <c r="D684" s="217"/>
      <c r="E684" s="217"/>
      <c r="F684" s="217"/>
    </row>
    <row r="685" customFormat="false" ht="12.75" hidden="false" customHeight="true" outlineLevel="0" collapsed="false">
      <c r="B685" s="216"/>
      <c r="C685" s="217"/>
      <c r="D685" s="217"/>
      <c r="E685" s="217"/>
      <c r="F685" s="217"/>
    </row>
    <row r="686" customFormat="false" ht="12.75" hidden="false" customHeight="true" outlineLevel="0" collapsed="false">
      <c r="B686" s="216"/>
      <c r="C686" s="217"/>
      <c r="D686" s="217"/>
      <c r="E686" s="217"/>
      <c r="F686" s="217"/>
    </row>
    <row r="687" customFormat="false" ht="12.75" hidden="false" customHeight="true" outlineLevel="0" collapsed="false">
      <c r="B687" s="216"/>
      <c r="C687" s="217"/>
      <c r="D687" s="217"/>
      <c r="E687" s="217"/>
      <c r="F687" s="217"/>
    </row>
    <row r="688" customFormat="false" ht="12.75" hidden="false" customHeight="true" outlineLevel="0" collapsed="false">
      <c r="B688" s="216"/>
      <c r="C688" s="217"/>
      <c r="D688" s="217"/>
      <c r="E688" s="217"/>
      <c r="F688" s="217"/>
    </row>
    <row r="689" customFormat="false" ht="12.75" hidden="false" customHeight="true" outlineLevel="0" collapsed="false">
      <c r="B689" s="216"/>
      <c r="C689" s="217"/>
      <c r="D689" s="217"/>
      <c r="E689" s="217"/>
      <c r="F689" s="217"/>
    </row>
    <row r="690" customFormat="false" ht="12.75" hidden="false" customHeight="true" outlineLevel="0" collapsed="false">
      <c r="B690" s="216"/>
      <c r="C690" s="217"/>
      <c r="D690" s="217"/>
      <c r="E690" s="217"/>
      <c r="F690" s="217"/>
    </row>
    <row r="691" customFormat="false" ht="12.75" hidden="false" customHeight="true" outlineLevel="0" collapsed="false">
      <c r="B691" s="216"/>
      <c r="C691" s="217"/>
      <c r="D691" s="217"/>
      <c r="E691" s="217"/>
      <c r="F691" s="217"/>
    </row>
    <row r="692" customFormat="false" ht="12.75" hidden="false" customHeight="true" outlineLevel="0" collapsed="false">
      <c r="B692" s="216"/>
      <c r="C692" s="217"/>
      <c r="D692" s="217"/>
      <c r="E692" s="217"/>
      <c r="F692" s="217"/>
    </row>
    <row r="693" customFormat="false" ht="12.75" hidden="false" customHeight="true" outlineLevel="0" collapsed="false">
      <c r="B693" s="216"/>
      <c r="C693" s="217"/>
      <c r="D693" s="217"/>
      <c r="E693" s="217"/>
      <c r="F693" s="217"/>
    </row>
    <row r="694" customFormat="false" ht="12.75" hidden="false" customHeight="true" outlineLevel="0" collapsed="false">
      <c r="B694" s="216"/>
      <c r="C694" s="217"/>
      <c r="D694" s="217"/>
      <c r="E694" s="217"/>
      <c r="F694" s="217"/>
    </row>
    <row r="695" customFormat="false" ht="12.75" hidden="false" customHeight="true" outlineLevel="0" collapsed="false">
      <c r="B695" s="216"/>
      <c r="C695" s="217"/>
      <c r="D695" s="217"/>
      <c r="E695" s="217"/>
      <c r="F695" s="217"/>
    </row>
    <row r="696" customFormat="false" ht="12.75" hidden="false" customHeight="true" outlineLevel="0" collapsed="false">
      <c r="B696" s="216"/>
      <c r="C696" s="217"/>
      <c r="D696" s="217"/>
      <c r="E696" s="217"/>
      <c r="F696" s="217"/>
    </row>
    <row r="697" customFormat="false" ht="12.75" hidden="false" customHeight="true" outlineLevel="0" collapsed="false">
      <c r="B697" s="216"/>
      <c r="C697" s="217"/>
      <c r="D697" s="217"/>
      <c r="E697" s="217"/>
      <c r="F697" s="217"/>
    </row>
    <row r="698" customFormat="false" ht="12.75" hidden="false" customHeight="true" outlineLevel="0" collapsed="false">
      <c r="B698" s="216"/>
      <c r="C698" s="217"/>
      <c r="D698" s="217"/>
      <c r="E698" s="217"/>
      <c r="F698" s="217"/>
    </row>
    <row r="699" customFormat="false" ht="12.75" hidden="false" customHeight="true" outlineLevel="0" collapsed="false">
      <c r="B699" s="216"/>
      <c r="C699" s="217"/>
      <c r="D699" s="217"/>
      <c r="E699" s="217"/>
      <c r="F699" s="217"/>
    </row>
    <row r="700" customFormat="false" ht="12.75" hidden="false" customHeight="true" outlineLevel="0" collapsed="false">
      <c r="B700" s="216"/>
      <c r="C700" s="217"/>
      <c r="D700" s="217"/>
      <c r="E700" s="217"/>
      <c r="F700" s="217"/>
    </row>
    <row r="701" customFormat="false" ht="12.75" hidden="false" customHeight="true" outlineLevel="0" collapsed="false">
      <c r="B701" s="216"/>
      <c r="C701" s="217"/>
      <c r="D701" s="217"/>
      <c r="E701" s="217"/>
      <c r="F701" s="217"/>
    </row>
    <row r="702" customFormat="false" ht="12.75" hidden="false" customHeight="true" outlineLevel="0" collapsed="false">
      <c r="B702" s="216"/>
      <c r="C702" s="217"/>
      <c r="D702" s="217"/>
      <c r="E702" s="217"/>
      <c r="F702" s="217"/>
    </row>
    <row r="703" customFormat="false" ht="12.75" hidden="false" customHeight="true" outlineLevel="0" collapsed="false">
      <c r="B703" s="216"/>
      <c r="C703" s="217"/>
      <c r="D703" s="217"/>
      <c r="E703" s="217"/>
      <c r="F703" s="217"/>
    </row>
    <row r="704" customFormat="false" ht="12.75" hidden="false" customHeight="true" outlineLevel="0" collapsed="false">
      <c r="B704" s="216"/>
      <c r="C704" s="217"/>
      <c r="D704" s="217"/>
      <c r="E704" s="217"/>
      <c r="F704" s="217"/>
    </row>
    <row r="705" customFormat="false" ht="12.75" hidden="false" customHeight="true" outlineLevel="0" collapsed="false">
      <c r="B705" s="216"/>
      <c r="C705" s="217"/>
      <c r="D705" s="217"/>
      <c r="E705" s="217"/>
      <c r="F705" s="217"/>
    </row>
    <row r="706" customFormat="false" ht="12.75" hidden="false" customHeight="true" outlineLevel="0" collapsed="false">
      <c r="B706" s="216"/>
      <c r="C706" s="217"/>
      <c r="D706" s="217"/>
      <c r="E706" s="217"/>
      <c r="F706" s="217"/>
    </row>
    <row r="707" customFormat="false" ht="12.75" hidden="false" customHeight="true" outlineLevel="0" collapsed="false">
      <c r="B707" s="216"/>
      <c r="C707" s="217"/>
      <c r="D707" s="217"/>
      <c r="E707" s="217"/>
      <c r="F707" s="217"/>
    </row>
    <row r="708" customFormat="false" ht="12.75" hidden="false" customHeight="true" outlineLevel="0" collapsed="false">
      <c r="B708" s="216"/>
      <c r="C708" s="217"/>
      <c r="D708" s="217"/>
      <c r="E708" s="217"/>
      <c r="F708" s="217"/>
    </row>
    <row r="709" customFormat="false" ht="12.75" hidden="false" customHeight="true" outlineLevel="0" collapsed="false">
      <c r="B709" s="216"/>
      <c r="C709" s="217"/>
      <c r="D709" s="217"/>
      <c r="E709" s="217"/>
      <c r="F709" s="217"/>
    </row>
    <row r="710" customFormat="false" ht="12.75" hidden="false" customHeight="true" outlineLevel="0" collapsed="false">
      <c r="B710" s="216"/>
      <c r="C710" s="217"/>
      <c r="D710" s="217"/>
      <c r="E710" s="217"/>
      <c r="F710" s="217"/>
    </row>
    <row r="711" customFormat="false" ht="12.75" hidden="false" customHeight="true" outlineLevel="0" collapsed="false">
      <c r="B711" s="216"/>
      <c r="C711" s="217"/>
      <c r="D711" s="217"/>
      <c r="E711" s="217"/>
      <c r="F711" s="217"/>
    </row>
    <row r="712" customFormat="false" ht="12.75" hidden="false" customHeight="true" outlineLevel="0" collapsed="false">
      <c r="B712" s="216"/>
      <c r="C712" s="217"/>
      <c r="D712" s="217"/>
      <c r="E712" s="217"/>
      <c r="F712" s="217"/>
    </row>
    <row r="713" customFormat="false" ht="12.75" hidden="false" customHeight="true" outlineLevel="0" collapsed="false">
      <c r="B713" s="216"/>
      <c r="C713" s="217"/>
      <c r="D713" s="217"/>
      <c r="E713" s="217"/>
      <c r="F713" s="217"/>
    </row>
    <row r="714" customFormat="false" ht="12.75" hidden="false" customHeight="true" outlineLevel="0" collapsed="false">
      <c r="B714" s="216"/>
      <c r="C714" s="217"/>
      <c r="D714" s="217"/>
      <c r="E714" s="217"/>
      <c r="F714" s="217"/>
    </row>
    <row r="715" customFormat="false" ht="12.75" hidden="false" customHeight="true" outlineLevel="0" collapsed="false">
      <c r="B715" s="216"/>
      <c r="C715" s="217"/>
      <c r="D715" s="217"/>
      <c r="E715" s="217"/>
      <c r="F715" s="217"/>
    </row>
    <row r="716" customFormat="false" ht="12.75" hidden="false" customHeight="true" outlineLevel="0" collapsed="false">
      <c r="B716" s="216"/>
      <c r="C716" s="217"/>
      <c r="D716" s="217"/>
      <c r="E716" s="217"/>
      <c r="F716" s="217"/>
    </row>
    <row r="717" customFormat="false" ht="12.75" hidden="false" customHeight="true" outlineLevel="0" collapsed="false">
      <c r="B717" s="216"/>
      <c r="C717" s="217"/>
      <c r="D717" s="217"/>
      <c r="E717" s="217"/>
      <c r="F717" s="217"/>
    </row>
    <row r="718" customFormat="false" ht="12.75" hidden="false" customHeight="true" outlineLevel="0" collapsed="false">
      <c r="B718" s="216"/>
      <c r="C718" s="217"/>
      <c r="D718" s="217"/>
      <c r="E718" s="217"/>
      <c r="F718" s="217"/>
    </row>
    <row r="719" customFormat="false" ht="12.75" hidden="false" customHeight="true" outlineLevel="0" collapsed="false">
      <c r="B719" s="216"/>
      <c r="C719" s="217"/>
      <c r="D719" s="217"/>
      <c r="E719" s="217"/>
      <c r="F719" s="217"/>
    </row>
    <row r="720" customFormat="false" ht="12.75" hidden="false" customHeight="true" outlineLevel="0" collapsed="false">
      <c r="B720" s="216"/>
      <c r="C720" s="217"/>
      <c r="D720" s="217"/>
      <c r="E720" s="217"/>
      <c r="F720" s="217"/>
    </row>
    <row r="721" customFormat="false" ht="12.75" hidden="false" customHeight="true" outlineLevel="0" collapsed="false">
      <c r="B721" s="216"/>
      <c r="C721" s="217"/>
      <c r="D721" s="217"/>
      <c r="E721" s="217"/>
      <c r="F721" s="217"/>
    </row>
    <row r="722" customFormat="false" ht="12.75" hidden="false" customHeight="true" outlineLevel="0" collapsed="false">
      <c r="B722" s="216"/>
      <c r="C722" s="217"/>
      <c r="D722" s="217"/>
      <c r="E722" s="217"/>
      <c r="F722" s="217"/>
    </row>
    <row r="723" customFormat="false" ht="12.75" hidden="false" customHeight="true" outlineLevel="0" collapsed="false">
      <c r="B723" s="216"/>
      <c r="C723" s="217"/>
      <c r="D723" s="217"/>
      <c r="E723" s="217"/>
      <c r="F723" s="217"/>
    </row>
    <row r="724" customFormat="false" ht="12.75" hidden="false" customHeight="true" outlineLevel="0" collapsed="false">
      <c r="B724" s="216"/>
      <c r="C724" s="217"/>
      <c r="D724" s="217"/>
      <c r="E724" s="217"/>
      <c r="F724" s="217"/>
    </row>
    <row r="725" customFormat="false" ht="12.75" hidden="false" customHeight="true" outlineLevel="0" collapsed="false">
      <c r="B725" s="216"/>
      <c r="C725" s="217"/>
      <c r="D725" s="217"/>
      <c r="E725" s="217"/>
      <c r="F725" s="217"/>
    </row>
    <row r="726" customFormat="false" ht="12.75" hidden="false" customHeight="true" outlineLevel="0" collapsed="false">
      <c r="B726" s="216"/>
      <c r="C726" s="217"/>
      <c r="D726" s="217"/>
      <c r="E726" s="217"/>
      <c r="F726" s="217"/>
    </row>
    <row r="727" customFormat="false" ht="12.75" hidden="false" customHeight="true" outlineLevel="0" collapsed="false">
      <c r="B727" s="216"/>
      <c r="C727" s="217"/>
      <c r="D727" s="217"/>
      <c r="E727" s="217"/>
      <c r="F727" s="217"/>
    </row>
    <row r="728" customFormat="false" ht="12.75" hidden="false" customHeight="true" outlineLevel="0" collapsed="false">
      <c r="B728" s="216"/>
      <c r="C728" s="217"/>
      <c r="D728" s="217"/>
      <c r="E728" s="217"/>
      <c r="F728" s="217"/>
    </row>
    <row r="729" customFormat="false" ht="12.75" hidden="false" customHeight="true" outlineLevel="0" collapsed="false">
      <c r="B729" s="216"/>
      <c r="C729" s="217"/>
      <c r="D729" s="217"/>
      <c r="E729" s="217"/>
      <c r="F729" s="217"/>
    </row>
    <row r="730" customFormat="false" ht="12.75" hidden="false" customHeight="true" outlineLevel="0" collapsed="false">
      <c r="B730" s="216"/>
      <c r="C730" s="217"/>
      <c r="D730" s="217"/>
      <c r="E730" s="217"/>
      <c r="F730" s="217"/>
    </row>
    <row r="731" customFormat="false" ht="12.75" hidden="false" customHeight="true" outlineLevel="0" collapsed="false">
      <c r="B731" s="216"/>
      <c r="C731" s="217"/>
      <c r="D731" s="217"/>
      <c r="E731" s="217"/>
      <c r="F731" s="217"/>
    </row>
    <row r="732" customFormat="false" ht="12.75" hidden="false" customHeight="true" outlineLevel="0" collapsed="false">
      <c r="B732" s="216"/>
      <c r="C732" s="217"/>
      <c r="D732" s="217"/>
      <c r="E732" s="217"/>
      <c r="F732" s="217"/>
    </row>
    <row r="733" customFormat="false" ht="12.75" hidden="false" customHeight="true" outlineLevel="0" collapsed="false">
      <c r="B733" s="216"/>
      <c r="C733" s="217"/>
      <c r="D733" s="217"/>
      <c r="E733" s="217"/>
      <c r="F733" s="217"/>
    </row>
    <row r="734" customFormat="false" ht="12.75" hidden="false" customHeight="true" outlineLevel="0" collapsed="false">
      <c r="B734" s="216"/>
      <c r="C734" s="217"/>
      <c r="D734" s="217"/>
      <c r="E734" s="217"/>
      <c r="F734" s="217"/>
    </row>
    <row r="735" customFormat="false" ht="12.75" hidden="false" customHeight="true" outlineLevel="0" collapsed="false">
      <c r="B735" s="216"/>
      <c r="C735" s="217"/>
      <c r="D735" s="217"/>
      <c r="E735" s="217"/>
      <c r="F735" s="217"/>
    </row>
    <row r="736" customFormat="false" ht="12.75" hidden="false" customHeight="true" outlineLevel="0" collapsed="false">
      <c r="B736" s="216"/>
      <c r="C736" s="217"/>
      <c r="D736" s="217"/>
      <c r="E736" s="217"/>
      <c r="F736" s="217"/>
    </row>
    <row r="737" customFormat="false" ht="12.75" hidden="false" customHeight="true" outlineLevel="0" collapsed="false">
      <c r="B737" s="216"/>
      <c r="C737" s="217"/>
      <c r="D737" s="217"/>
      <c r="E737" s="217"/>
      <c r="F737" s="217"/>
    </row>
    <row r="738" customFormat="false" ht="12.75" hidden="false" customHeight="true" outlineLevel="0" collapsed="false">
      <c r="B738" s="216"/>
      <c r="C738" s="217"/>
      <c r="D738" s="217"/>
      <c r="E738" s="217"/>
      <c r="F738" s="217"/>
    </row>
    <row r="739" customFormat="false" ht="12.75" hidden="false" customHeight="true" outlineLevel="0" collapsed="false">
      <c r="B739" s="216"/>
      <c r="C739" s="217"/>
      <c r="D739" s="217"/>
      <c r="E739" s="217"/>
      <c r="F739" s="217"/>
    </row>
    <row r="740" customFormat="false" ht="12.75" hidden="false" customHeight="true" outlineLevel="0" collapsed="false">
      <c r="B740" s="216"/>
      <c r="C740" s="217"/>
      <c r="D740" s="217"/>
      <c r="E740" s="217"/>
      <c r="F740" s="217"/>
    </row>
    <row r="741" customFormat="false" ht="12.75" hidden="false" customHeight="true" outlineLevel="0" collapsed="false">
      <c r="B741" s="216"/>
      <c r="C741" s="217"/>
      <c r="D741" s="217"/>
      <c r="E741" s="217"/>
      <c r="F741" s="217"/>
    </row>
    <row r="742" customFormat="false" ht="12.75" hidden="false" customHeight="true" outlineLevel="0" collapsed="false">
      <c r="B742" s="216"/>
      <c r="C742" s="217"/>
      <c r="D742" s="217"/>
      <c r="E742" s="217"/>
      <c r="F742" s="217"/>
    </row>
    <row r="743" customFormat="false" ht="12.75" hidden="false" customHeight="true" outlineLevel="0" collapsed="false">
      <c r="B743" s="216"/>
      <c r="C743" s="217"/>
      <c r="D743" s="217"/>
      <c r="E743" s="217"/>
      <c r="F743" s="217"/>
    </row>
    <row r="744" customFormat="false" ht="12.75" hidden="false" customHeight="true" outlineLevel="0" collapsed="false">
      <c r="B744" s="216"/>
      <c r="C744" s="217"/>
      <c r="D744" s="217"/>
      <c r="E744" s="217"/>
      <c r="F744" s="217"/>
    </row>
    <row r="745" customFormat="false" ht="12.75" hidden="false" customHeight="true" outlineLevel="0" collapsed="false">
      <c r="B745" s="216"/>
      <c r="C745" s="217"/>
      <c r="D745" s="217"/>
      <c r="E745" s="217"/>
      <c r="F745" s="217"/>
    </row>
    <row r="746" customFormat="false" ht="12.75" hidden="false" customHeight="true" outlineLevel="0" collapsed="false">
      <c r="B746" s="216"/>
      <c r="C746" s="217"/>
      <c r="D746" s="217"/>
      <c r="E746" s="217"/>
      <c r="F746" s="217"/>
    </row>
    <row r="747" customFormat="false" ht="12.75" hidden="false" customHeight="true" outlineLevel="0" collapsed="false">
      <c r="B747" s="216"/>
      <c r="C747" s="217"/>
      <c r="D747" s="217"/>
      <c r="E747" s="217"/>
      <c r="F747" s="217"/>
    </row>
    <row r="748" customFormat="false" ht="12.75" hidden="false" customHeight="true" outlineLevel="0" collapsed="false">
      <c r="B748" s="216"/>
      <c r="C748" s="217"/>
      <c r="D748" s="217"/>
      <c r="E748" s="217"/>
      <c r="F748" s="217"/>
    </row>
    <row r="749" customFormat="false" ht="12.75" hidden="false" customHeight="true" outlineLevel="0" collapsed="false">
      <c r="B749" s="216"/>
      <c r="C749" s="217"/>
      <c r="D749" s="217"/>
      <c r="E749" s="217"/>
      <c r="F749" s="217"/>
    </row>
    <row r="750" customFormat="false" ht="12.75" hidden="false" customHeight="true" outlineLevel="0" collapsed="false">
      <c r="B750" s="216"/>
      <c r="C750" s="217"/>
      <c r="D750" s="217"/>
      <c r="E750" s="217"/>
      <c r="F750" s="217"/>
    </row>
    <row r="751" customFormat="false" ht="12.75" hidden="false" customHeight="true" outlineLevel="0" collapsed="false">
      <c r="B751" s="216"/>
      <c r="C751" s="217"/>
      <c r="D751" s="217"/>
      <c r="E751" s="217"/>
      <c r="F751" s="217"/>
    </row>
    <row r="752" customFormat="false" ht="12.75" hidden="false" customHeight="true" outlineLevel="0" collapsed="false">
      <c r="B752" s="216"/>
      <c r="C752" s="217"/>
      <c r="D752" s="217"/>
      <c r="E752" s="217"/>
      <c r="F752" s="217"/>
    </row>
    <row r="753" customFormat="false" ht="12.75" hidden="false" customHeight="true" outlineLevel="0" collapsed="false">
      <c r="B753" s="216"/>
      <c r="C753" s="217"/>
      <c r="D753" s="217"/>
      <c r="E753" s="217"/>
      <c r="F753" s="217"/>
    </row>
    <row r="754" customFormat="false" ht="12.75" hidden="false" customHeight="true" outlineLevel="0" collapsed="false">
      <c r="B754" s="216"/>
      <c r="C754" s="217"/>
      <c r="D754" s="217"/>
      <c r="E754" s="217"/>
      <c r="F754" s="217"/>
    </row>
    <row r="755" customFormat="false" ht="12.75" hidden="false" customHeight="true" outlineLevel="0" collapsed="false">
      <c r="B755" s="216"/>
      <c r="C755" s="217"/>
      <c r="D755" s="217"/>
      <c r="E755" s="217"/>
      <c r="F755" s="217"/>
    </row>
    <row r="756" customFormat="false" ht="12.75" hidden="false" customHeight="true" outlineLevel="0" collapsed="false">
      <c r="B756" s="216"/>
      <c r="C756" s="217"/>
      <c r="D756" s="217"/>
      <c r="E756" s="217"/>
      <c r="F756" s="217"/>
    </row>
    <row r="757" customFormat="false" ht="12.75" hidden="false" customHeight="true" outlineLevel="0" collapsed="false">
      <c r="B757" s="216"/>
      <c r="C757" s="217"/>
      <c r="D757" s="217"/>
      <c r="E757" s="217"/>
      <c r="F757" s="217"/>
    </row>
    <row r="758" customFormat="false" ht="12.75" hidden="false" customHeight="true" outlineLevel="0" collapsed="false">
      <c r="B758" s="216"/>
      <c r="C758" s="217"/>
      <c r="D758" s="217"/>
      <c r="E758" s="217"/>
      <c r="F758" s="217"/>
    </row>
    <row r="759" customFormat="false" ht="12.75" hidden="false" customHeight="true" outlineLevel="0" collapsed="false">
      <c r="B759" s="216"/>
      <c r="C759" s="217"/>
      <c r="D759" s="217"/>
      <c r="E759" s="217"/>
      <c r="F759" s="217"/>
    </row>
    <row r="760" customFormat="false" ht="12.75" hidden="false" customHeight="true" outlineLevel="0" collapsed="false">
      <c r="B760" s="216"/>
      <c r="C760" s="217"/>
      <c r="D760" s="217"/>
      <c r="E760" s="217"/>
      <c r="F760" s="217"/>
    </row>
    <row r="761" customFormat="false" ht="12.75" hidden="false" customHeight="true" outlineLevel="0" collapsed="false">
      <c r="B761" s="216"/>
      <c r="C761" s="217"/>
      <c r="D761" s="217"/>
      <c r="E761" s="217"/>
      <c r="F761" s="217"/>
    </row>
    <row r="762" customFormat="false" ht="12.75" hidden="false" customHeight="true" outlineLevel="0" collapsed="false">
      <c r="B762" s="216"/>
      <c r="C762" s="217"/>
      <c r="D762" s="217"/>
      <c r="E762" s="217"/>
      <c r="F762" s="217"/>
    </row>
    <row r="763" customFormat="false" ht="12.75" hidden="false" customHeight="true" outlineLevel="0" collapsed="false">
      <c r="B763" s="216"/>
      <c r="C763" s="217"/>
      <c r="D763" s="217"/>
      <c r="E763" s="217"/>
      <c r="F763" s="217"/>
    </row>
    <row r="764" customFormat="false" ht="12.75" hidden="false" customHeight="true" outlineLevel="0" collapsed="false">
      <c r="B764" s="216"/>
      <c r="C764" s="217"/>
      <c r="D764" s="217"/>
      <c r="E764" s="217"/>
      <c r="F764" s="217"/>
    </row>
    <row r="765" customFormat="false" ht="12.75" hidden="false" customHeight="true" outlineLevel="0" collapsed="false">
      <c r="B765" s="216"/>
      <c r="C765" s="217"/>
      <c r="D765" s="217"/>
      <c r="E765" s="217"/>
      <c r="F765" s="217"/>
    </row>
    <row r="766" customFormat="false" ht="12.75" hidden="false" customHeight="true" outlineLevel="0" collapsed="false">
      <c r="B766" s="216"/>
      <c r="C766" s="217"/>
      <c r="D766" s="217"/>
      <c r="E766" s="217"/>
      <c r="F766" s="217"/>
    </row>
    <row r="767" customFormat="false" ht="12.75" hidden="false" customHeight="true" outlineLevel="0" collapsed="false">
      <c r="B767" s="216"/>
      <c r="C767" s="217"/>
      <c r="D767" s="217"/>
      <c r="E767" s="217"/>
      <c r="F767" s="217"/>
    </row>
    <row r="768" customFormat="false" ht="12.75" hidden="false" customHeight="true" outlineLevel="0" collapsed="false">
      <c r="B768" s="216"/>
      <c r="C768" s="217"/>
      <c r="D768" s="217"/>
      <c r="E768" s="217"/>
      <c r="F768" s="217"/>
    </row>
    <row r="769" customFormat="false" ht="12.75" hidden="false" customHeight="true" outlineLevel="0" collapsed="false">
      <c r="B769" s="216"/>
      <c r="C769" s="217"/>
      <c r="D769" s="217"/>
      <c r="E769" s="217"/>
      <c r="F769" s="217"/>
    </row>
    <row r="770" customFormat="false" ht="12.75" hidden="false" customHeight="true" outlineLevel="0" collapsed="false">
      <c r="B770" s="216"/>
      <c r="C770" s="217"/>
      <c r="D770" s="217"/>
      <c r="E770" s="217"/>
      <c r="F770" s="217"/>
    </row>
    <row r="771" customFormat="false" ht="12.75" hidden="false" customHeight="true" outlineLevel="0" collapsed="false">
      <c r="B771" s="216"/>
      <c r="C771" s="217"/>
      <c r="D771" s="217"/>
      <c r="E771" s="217"/>
      <c r="F771" s="217"/>
    </row>
    <row r="772" customFormat="false" ht="12.75" hidden="false" customHeight="true" outlineLevel="0" collapsed="false">
      <c r="B772" s="216"/>
      <c r="C772" s="217"/>
      <c r="D772" s="217"/>
      <c r="E772" s="217"/>
      <c r="F772" s="217"/>
    </row>
    <row r="773" customFormat="false" ht="12.75" hidden="false" customHeight="true" outlineLevel="0" collapsed="false">
      <c r="B773" s="216"/>
      <c r="C773" s="217"/>
      <c r="D773" s="217"/>
      <c r="E773" s="217"/>
      <c r="F773" s="217"/>
    </row>
    <row r="774" customFormat="false" ht="12.75" hidden="false" customHeight="true" outlineLevel="0" collapsed="false">
      <c r="B774" s="216"/>
      <c r="C774" s="217"/>
      <c r="D774" s="217"/>
      <c r="E774" s="217"/>
      <c r="F774" s="217"/>
    </row>
    <row r="775" customFormat="false" ht="12.75" hidden="false" customHeight="true" outlineLevel="0" collapsed="false">
      <c r="B775" s="216"/>
      <c r="C775" s="217"/>
      <c r="D775" s="217"/>
      <c r="E775" s="217"/>
      <c r="F775" s="217"/>
    </row>
    <row r="776" customFormat="false" ht="12.75" hidden="false" customHeight="true" outlineLevel="0" collapsed="false">
      <c r="B776" s="216"/>
      <c r="C776" s="217"/>
      <c r="D776" s="217"/>
      <c r="E776" s="217"/>
      <c r="F776" s="217"/>
    </row>
    <row r="777" customFormat="false" ht="12.75" hidden="false" customHeight="true" outlineLevel="0" collapsed="false">
      <c r="B777" s="216"/>
      <c r="C777" s="217"/>
      <c r="D777" s="217"/>
      <c r="E777" s="217"/>
      <c r="F777" s="217"/>
    </row>
    <row r="778" customFormat="false" ht="12.75" hidden="false" customHeight="true" outlineLevel="0" collapsed="false">
      <c r="B778" s="216"/>
      <c r="C778" s="217"/>
      <c r="D778" s="217"/>
      <c r="E778" s="217"/>
      <c r="F778" s="217"/>
    </row>
    <row r="779" customFormat="false" ht="12.75" hidden="false" customHeight="true" outlineLevel="0" collapsed="false">
      <c r="B779" s="216"/>
      <c r="C779" s="217"/>
      <c r="D779" s="217"/>
      <c r="E779" s="217"/>
      <c r="F779" s="217"/>
    </row>
    <row r="780" customFormat="false" ht="12.75" hidden="false" customHeight="true" outlineLevel="0" collapsed="false">
      <c r="B780" s="216"/>
      <c r="C780" s="217"/>
      <c r="D780" s="217"/>
      <c r="E780" s="217"/>
      <c r="F780" s="217"/>
    </row>
    <row r="781" customFormat="false" ht="12.75" hidden="false" customHeight="true" outlineLevel="0" collapsed="false">
      <c r="B781" s="216"/>
      <c r="C781" s="217"/>
      <c r="D781" s="217"/>
      <c r="E781" s="217"/>
      <c r="F781" s="217"/>
    </row>
    <row r="782" customFormat="false" ht="12.75" hidden="false" customHeight="true" outlineLevel="0" collapsed="false">
      <c r="B782" s="216"/>
      <c r="C782" s="217"/>
      <c r="D782" s="217"/>
      <c r="E782" s="217"/>
      <c r="F782" s="217"/>
    </row>
    <row r="783" customFormat="false" ht="12.75" hidden="false" customHeight="true" outlineLevel="0" collapsed="false">
      <c r="B783" s="216"/>
      <c r="C783" s="217"/>
      <c r="D783" s="217"/>
      <c r="E783" s="217"/>
      <c r="F783" s="217"/>
    </row>
    <row r="784" customFormat="false" ht="12.75" hidden="false" customHeight="true" outlineLevel="0" collapsed="false">
      <c r="B784" s="216"/>
      <c r="C784" s="217"/>
      <c r="D784" s="217"/>
      <c r="E784" s="217"/>
      <c r="F784" s="217"/>
    </row>
    <row r="785" customFormat="false" ht="12.75" hidden="false" customHeight="true" outlineLevel="0" collapsed="false">
      <c r="B785" s="216"/>
      <c r="C785" s="217"/>
      <c r="D785" s="217"/>
      <c r="E785" s="217"/>
      <c r="F785" s="217"/>
    </row>
    <row r="786" customFormat="false" ht="12.75" hidden="false" customHeight="true" outlineLevel="0" collapsed="false">
      <c r="B786" s="216"/>
      <c r="C786" s="217"/>
      <c r="D786" s="217"/>
      <c r="E786" s="217"/>
      <c r="F786" s="217"/>
    </row>
    <row r="787" customFormat="false" ht="12.75" hidden="false" customHeight="true" outlineLevel="0" collapsed="false">
      <c r="B787" s="216"/>
      <c r="C787" s="217"/>
      <c r="D787" s="217"/>
      <c r="E787" s="217"/>
      <c r="F787" s="217"/>
    </row>
    <row r="788" customFormat="false" ht="12.75" hidden="false" customHeight="true" outlineLevel="0" collapsed="false">
      <c r="B788" s="216"/>
      <c r="C788" s="217"/>
      <c r="D788" s="217"/>
      <c r="E788" s="217"/>
      <c r="F788" s="217"/>
    </row>
    <row r="789" customFormat="false" ht="12.75" hidden="false" customHeight="true" outlineLevel="0" collapsed="false">
      <c r="B789" s="216"/>
      <c r="C789" s="217"/>
      <c r="D789" s="217"/>
      <c r="E789" s="217"/>
      <c r="F789" s="217"/>
    </row>
    <row r="790" customFormat="false" ht="12.75" hidden="false" customHeight="true" outlineLevel="0" collapsed="false">
      <c r="B790" s="216"/>
      <c r="C790" s="217"/>
      <c r="D790" s="217"/>
      <c r="E790" s="217"/>
      <c r="F790" s="217"/>
    </row>
    <row r="791" customFormat="false" ht="12.75" hidden="false" customHeight="true" outlineLevel="0" collapsed="false">
      <c r="B791" s="216"/>
      <c r="C791" s="217"/>
      <c r="D791" s="217"/>
      <c r="E791" s="217"/>
      <c r="F791" s="217"/>
    </row>
    <row r="792" customFormat="false" ht="12.75" hidden="false" customHeight="true" outlineLevel="0" collapsed="false">
      <c r="B792" s="216"/>
      <c r="C792" s="217"/>
      <c r="D792" s="217"/>
      <c r="E792" s="217"/>
      <c r="F792" s="217"/>
    </row>
    <row r="793" customFormat="false" ht="12.75" hidden="false" customHeight="true" outlineLevel="0" collapsed="false">
      <c r="B793" s="216"/>
      <c r="C793" s="217"/>
      <c r="D793" s="217"/>
      <c r="E793" s="217"/>
      <c r="F793" s="217"/>
    </row>
    <row r="794" customFormat="false" ht="12.75" hidden="false" customHeight="true" outlineLevel="0" collapsed="false">
      <c r="B794" s="216"/>
      <c r="C794" s="217"/>
      <c r="D794" s="217"/>
      <c r="E794" s="217"/>
      <c r="F794" s="217"/>
    </row>
    <row r="795" customFormat="false" ht="12.75" hidden="false" customHeight="true" outlineLevel="0" collapsed="false">
      <c r="B795" s="216"/>
      <c r="C795" s="217"/>
      <c r="D795" s="217"/>
      <c r="E795" s="217"/>
      <c r="F795" s="217"/>
    </row>
    <row r="796" customFormat="false" ht="12.75" hidden="false" customHeight="true" outlineLevel="0" collapsed="false">
      <c r="B796" s="216"/>
      <c r="C796" s="217"/>
      <c r="D796" s="217"/>
      <c r="E796" s="217"/>
      <c r="F796" s="217"/>
    </row>
    <row r="797" customFormat="false" ht="12.75" hidden="false" customHeight="true" outlineLevel="0" collapsed="false">
      <c r="B797" s="216"/>
      <c r="C797" s="217"/>
      <c r="D797" s="217"/>
      <c r="E797" s="217"/>
      <c r="F797" s="217"/>
    </row>
    <row r="798" customFormat="false" ht="12.75" hidden="false" customHeight="true" outlineLevel="0" collapsed="false">
      <c r="B798" s="216"/>
      <c r="C798" s="217"/>
      <c r="D798" s="217"/>
      <c r="E798" s="217"/>
      <c r="F798" s="217"/>
    </row>
    <row r="799" customFormat="false" ht="12.75" hidden="false" customHeight="true" outlineLevel="0" collapsed="false">
      <c r="B799" s="216"/>
      <c r="C799" s="217"/>
      <c r="D799" s="217"/>
      <c r="E799" s="217"/>
      <c r="F799" s="217"/>
    </row>
    <row r="800" customFormat="false" ht="12.75" hidden="false" customHeight="true" outlineLevel="0" collapsed="false">
      <c r="B800" s="216"/>
      <c r="C800" s="217"/>
      <c r="D800" s="217"/>
      <c r="E800" s="217"/>
      <c r="F800" s="217"/>
    </row>
    <row r="801" customFormat="false" ht="12.75" hidden="false" customHeight="true" outlineLevel="0" collapsed="false">
      <c r="B801" s="216"/>
      <c r="C801" s="217"/>
      <c r="D801" s="217"/>
      <c r="E801" s="217"/>
      <c r="F801" s="217"/>
    </row>
    <row r="802" customFormat="false" ht="12.75" hidden="false" customHeight="true" outlineLevel="0" collapsed="false">
      <c r="B802" s="216"/>
      <c r="C802" s="217"/>
      <c r="D802" s="217"/>
      <c r="E802" s="217"/>
      <c r="F802" s="217"/>
    </row>
    <row r="803" customFormat="false" ht="12.75" hidden="false" customHeight="true" outlineLevel="0" collapsed="false">
      <c r="B803" s="216"/>
      <c r="C803" s="217"/>
      <c r="D803" s="217"/>
      <c r="E803" s="217"/>
      <c r="F803" s="217"/>
    </row>
    <row r="804" customFormat="false" ht="12.75" hidden="false" customHeight="true" outlineLevel="0" collapsed="false">
      <c r="B804" s="216"/>
      <c r="C804" s="217"/>
      <c r="D804" s="217"/>
      <c r="E804" s="217"/>
      <c r="F804" s="217"/>
    </row>
    <row r="805" customFormat="false" ht="12.75" hidden="false" customHeight="true" outlineLevel="0" collapsed="false">
      <c r="B805" s="216"/>
      <c r="C805" s="217"/>
      <c r="D805" s="217"/>
      <c r="E805" s="217"/>
      <c r="F805" s="217"/>
    </row>
    <row r="806" customFormat="false" ht="12.75" hidden="false" customHeight="true" outlineLevel="0" collapsed="false">
      <c r="B806" s="216"/>
      <c r="C806" s="217"/>
      <c r="D806" s="217"/>
      <c r="E806" s="217"/>
      <c r="F806" s="217"/>
    </row>
    <row r="807" customFormat="false" ht="12.75" hidden="false" customHeight="true" outlineLevel="0" collapsed="false">
      <c r="B807" s="216"/>
      <c r="C807" s="217"/>
      <c r="D807" s="217"/>
      <c r="E807" s="217"/>
      <c r="F807" s="217"/>
    </row>
    <row r="808" customFormat="false" ht="12.75" hidden="false" customHeight="true" outlineLevel="0" collapsed="false">
      <c r="B808" s="216"/>
      <c r="C808" s="217"/>
      <c r="D808" s="217"/>
      <c r="E808" s="217"/>
      <c r="F808" s="217"/>
    </row>
    <row r="809" customFormat="false" ht="12.75" hidden="false" customHeight="true" outlineLevel="0" collapsed="false">
      <c r="B809" s="216"/>
      <c r="C809" s="217"/>
      <c r="D809" s="217"/>
      <c r="E809" s="217"/>
      <c r="F809" s="217"/>
    </row>
    <row r="810" customFormat="false" ht="12.75" hidden="false" customHeight="true" outlineLevel="0" collapsed="false">
      <c r="B810" s="216"/>
      <c r="C810" s="217"/>
      <c r="D810" s="217"/>
      <c r="E810" s="217"/>
      <c r="F810" s="217"/>
    </row>
    <row r="811" customFormat="false" ht="12.75" hidden="false" customHeight="true" outlineLevel="0" collapsed="false">
      <c r="B811" s="216"/>
      <c r="C811" s="217"/>
      <c r="D811" s="217"/>
      <c r="E811" s="217"/>
      <c r="F811" s="217"/>
    </row>
    <row r="812" customFormat="false" ht="12.75" hidden="false" customHeight="true" outlineLevel="0" collapsed="false">
      <c r="B812" s="216"/>
      <c r="C812" s="217"/>
      <c r="D812" s="217"/>
      <c r="E812" s="217"/>
      <c r="F812" s="217"/>
    </row>
    <row r="813" customFormat="false" ht="12.75" hidden="false" customHeight="true" outlineLevel="0" collapsed="false">
      <c r="B813" s="216"/>
      <c r="C813" s="217"/>
      <c r="D813" s="217"/>
      <c r="E813" s="217"/>
      <c r="F813" s="217"/>
    </row>
    <row r="814" customFormat="false" ht="12.75" hidden="false" customHeight="true" outlineLevel="0" collapsed="false">
      <c r="B814" s="216"/>
      <c r="C814" s="217"/>
      <c r="D814" s="217"/>
      <c r="E814" s="217"/>
      <c r="F814" s="217"/>
    </row>
    <row r="815" customFormat="false" ht="12.75" hidden="false" customHeight="true" outlineLevel="0" collapsed="false">
      <c r="B815" s="216"/>
      <c r="C815" s="217"/>
      <c r="D815" s="217"/>
      <c r="E815" s="217"/>
      <c r="F815" s="217"/>
    </row>
    <row r="816" customFormat="false" ht="12.75" hidden="false" customHeight="true" outlineLevel="0" collapsed="false">
      <c r="B816" s="216"/>
      <c r="C816" s="217"/>
      <c r="D816" s="217"/>
      <c r="E816" s="217"/>
      <c r="F816" s="217"/>
    </row>
    <row r="817" customFormat="false" ht="12.75" hidden="false" customHeight="true" outlineLevel="0" collapsed="false">
      <c r="B817" s="216"/>
      <c r="C817" s="217"/>
      <c r="D817" s="217"/>
      <c r="E817" s="217"/>
      <c r="F817" s="217"/>
    </row>
    <row r="818" customFormat="false" ht="12.75" hidden="false" customHeight="true" outlineLevel="0" collapsed="false">
      <c r="B818" s="216"/>
      <c r="C818" s="217"/>
      <c r="D818" s="217"/>
      <c r="E818" s="217"/>
      <c r="F818" s="217"/>
    </row>
    <row r="819" customFormat="false" ht="12.75" hidden="false" customHeight="true" outlineLevel="0" collapsed="false">
      <c r="B819" s="216"/>
      <c r="C819" s="217"/>
      <c r="D819" s="217"/>
      <c r="E819" s="217"/>
      <c r="F819" s="217"/>
    </row>
    <row r="820" customFormat="false" ht="12.75" hidden="false" customHeight="true" outlineLevel="0" collapsed="false">
      <c r="B820" s="216"/>
      <c r="C820" s="217"/>
      <c r="D820" s="217"/>
      <c r="E820" s="217"/>
      <c r="F820" s="217"/>
    </row>
    <row r="821" customFormat="false" ht="12.75" hidden="false" customHeight="true" outlineLevel="0" collapsed="false">
      <c r="B821" s="216"/>
      <c r="C821" s="217"/>
      <c r="D821" s="217"/>
      <c r="E821" s="217"/>
      <c r="F821" s="217"/>
    </row>
    <row r="822" customFormat="false" ht="12.75" hidden="false" customHeight="true" outlineLevel="0" collapsed="false">
      <c r="B822" s="216"/>
      <c r="C822" s="217"/>
      <c r="D822" s="217"/>
      <c r="E822" s="217"/>
      <c r="F822" s="217"/>
    </row>
    <row r="823" customFormat="false" ht="12.75" hidden="false" customHeight="true" outlineLevel="0" collapsed="false">
      <c r="B823" s="216"/>
      <c r="C823" s="217"/>
      <c r="D823" s="217"/>
      <c r="E823" s="217"/>
      <c r="F823" s="217"/>
    </row>
    <row r="824" customFormat="false" ht="12.75" hidden="false" customHeight="true" outlineLevel="0" collapsed="false">
      <c r="B824" s="216"/>
      <c r="C824" s="217"/>
      <c r="D824" s="217"/>
      <c r="E824" s="217"/>
      <c r="F824" s="217"/>
    </row>
    <row r="825" customFormat="false" ht="12.75" hidden="false" customHeight="true" outlineLevel="0" collapsed="false">
      <c r="B825" s="216"/>
      <c r="C825" s="217"/>
      <c r="D825" s="217"/>
      <c r="E825" s="217"/>
      <c r="F825" s="217"/>
    </row>
    <row r="826" customFormat="false" ht="12.75" hidden="false" customHeight="true" outlineLevel="0" collapsed="false">
      <c r="B826" s="216"/>
      <c r="C826" s="217"/>
      <c r="D826" s="217"/>
      <c r="E826" s="217"/>
      <c r="F826" s="217"/>
    </row>
    <row r="827" customFormat="false" ht="12.75" hidden="false" customHeight="true" outlineLevel="0" collapsed="false">
      <c r="B827" s="216"/>
      <c r="C827" s="217"/>
      <c r="D827" s="217"/>
      <c r="E827" s="217"/>
      <c r="F827" s="217"/>
    </row>
    <row r="828" customFormat="false" ht="12.75" hidden="false" customHeight="true" outlineLevel="0" collapsed="false">
      <c r="B828" s="216"/>
      <c r="C828" s="217"/>
      <c r="D828" s="217"/>
      <c r="E828" s="217"/>
      <c r="F828" s="217"/>
    </row>
    <row r="829" customFormat="false" ht="12.75" hidden="false" customHeight="true" outlineLevel="0" collapsed="false">
      <c r="B829" s="216"/>
      <c r="C829" s="217"/>
      <c r="D829" s="217"/>
      <c r="E829" s="217"/>
      <c r="F829" s="217"/>
    </row>
    <row r="830" customFormat="false" ht="12.75" hidden="false" customHeight="true" outlineLevel="0" collapsed="false">
      <c r="B830" s="216"/>
      <c r="C830" s="217"/>
      <c r="D830" s="217"/>
      <c r="E830" s="217"/>
      <c r="F830" s="217"/>
    </row>
    <row r="831" customFormat="false" ht="12.75" hidden="false" customHeight="true" outlineLevel="0" collapsed="false">
      <c r="B831" s="216"/>
      <c r="C831" s="217"/>
      <c r="D831" s="217"/>
      <c r="E831" s="217"/>
      <c r="F831" s="217"/>
    </row>
    <row r="832" customFormat="false" ht="12.75" hidden="false" customHeight="true" outlineLevel="0" collapsed="false">
      <c r="B832" s="216"/>
      <c r="C832" s="217"/>
      <c r="D832" s="217"/>
      <c r="E832" s="217"/>
      <c r="F832" s="217"/>
    </row>
    <row r="833" customFormat="false" ht="12.75" hidden="false" customHeight="true" outlineLevel="0" collapsed="false">
      <c r="B833" s="216"/>
      <c r="C833" s="217"/>
      <c r="D833" s="217"/>
      <c r="E833" s="217"/>
      <c r="F833" s="217"/>
    </row>
    <row r="834" customFormat="false" ht="12.75" hidden="false" customHeight="true" outlineLevel="0" collapsed="false">
      <c r="B834" s="216"/>
      <c r="C834" s="217"/>
      <c r="D834" s="217"/>
      <c r="E834" s="217"/>
      <c r="F834" s="217"/>
    </row>
    <row r="835" customFormat="false" ht="12.75" hidden="false" customHeight="true" outlineLevel="0" collapsed="false">
      <c r="B835" s="216"/>
      <c r="C835" s="217"/>
      <c r="D835" s="217"/>
      <c r="E835" s="217"/>
      <c r="F835" s="217"/>
    </row>
    <row r="836" customFormat="false" ht="12.75" hidden="false" customHeight="true" outlineLevel="0" collapsed="false">
      <c r="B836" s="216"/>
      <c r="C836" s="217"/>
      <c r="D836" s="217"/>
      <c r="E836" s="217"/>
      <c r="F836" s="217"/>
    </row>
    <row r="837" customFormat="false" ht="12.75" hidden="false" customHeight="true" outlineLevel="0" collapsed="false">
      <c r="B837" s="216"/>
      <c r="C837" s="217"/>
      <c r="D837" s="217"/>
      <c r="E837" s="217"/>
      <c r="F837" s="217"/>
    </row>
    <row r="838" customFormat="false" ht="12.75" hidden="false" customHeight="true" outlineLevel="0" collapsed="false">
      <c r="B838" s="216"/>
      <c r="C838" s="217"/>
      <c r="D838" s="217"/>
      <c r="E838" s="217"/>
      <c r="F838" s="217"/>
    </row>
    <row r="839" customFormat="false" ht="12.75" hidden="false" customHeight="true" outlineLevel="0" collapsed="false">
      <c r="B839" s="216"/>
      <c r="C839" s="217"/>
      <c r="D839" s="217"/>
      <c r="E839" s="217"/>
      <c r="F839" s="217"/>
    </row>
    <row r="840" customFormat="false" ht="12.75" hidden="false" customHeight="true" outlineLevel="0" collapsed="false">
      <c r="B840" s="216"/>
      <c r="C840" s="217"/>
      <c r="D840" s="217"/>
      <c r="E840" s="217"/>
      <c r="F840" s="217"/>
    </row>
    <row r="841" customFormat="false" ht="12.75" hidden="false" customHeight="true" outlineLevel="0" collapsed="false">
      <c r="B841" s="216"/>
      <c r="C841" s="217"/>
      <c r="D841" s="217"/>
      <c r="E841" s="217"/>
      <c r="F841" s="217"/>
    </row>
    <row r="842" customFormat="false" ht="12.75" hidden="false" customHeight="true" outlineLevel="0" collapsed="false">
      <c r="B842" s="216"/>
      <c r="C842" s="217"/>
      <c r="D842" s="217"/>
      <c r="E842" s="217"/>
      <c r="F842" s="217"/>
    </row>
    <row r="843" customFormat="false" ht="12.75" hidden="false" customHeight="true" outlineLevel="0" collapsed="false">
      <c r="B843" s="216"/>
      <c r="C843" s="217"/>
      <c r="D843" s="217"/>
      <c r="E843" s="217"/>
      <c r="F843" s="217"/>
    </row>
    <row r="844" customFormat="false" ht="12.75" hidden="false" customHeight="true" outlineLevel="0" collapsed="false">
      <c r="B844" s="216"/>
      <c r="C844" s="217"/>
      <c r="D844" s="217"/>
      <c r="E844" s="217"/>
      <c r="F844" s="217"/>
    </row>
    <row r="845" customFormat="false" ht="12.75" hidden="false" customHeight="true" outlineLevel="0" collapsed="false">
      <c r="B845" s="216"/>
      <c r="C845" s="217"/>
      <c r="D845" s="217"/>
      <c r="E845" s="217"/>
      <c r="F845" s="217"/>
    </row>
    <row r="846" customFormat="false" ht="12.75" hidden="false" customHeight="true" outlineLevel="0" collapsed="false">
      <c r="B846" s="216"/>
      <c r="C846" s="217"/>
      <c r="D846" s="217"/>
      <c r="E846" s="217"/>
      <c r="F846" s="217"/>
    </row>
    <row r="847" customFormat="false" ht="12.75" hidden="false" customHeight="true" outlineLevel="0" collapsed="false">
      <c r="B847" s="216"/>
      <c r="C847" s="217"/>
      <c r="D847" s="217"/>
      <c r="E847" s="217"/>
      <c r="F847" s="217"/>
    </row>
    <row r="848" customFormat="false" ht="12.75" hidden="false" customHeight="true" outlineLevel="0" collapsed="false">
      <c r="B848" s="216"/>
      <c r="C848" s="217"/>
      <c r="D848" s="217"/>
      <c r="E848" s="217"/>
      <c r="F848" s="217"/>
    </row>
    <row r="849" customFormat="false" ht="12.75" hidden="false" customHeight="true" outlineLevel="0" collapsed="false">
      <c r="B849" s="216"/>
      <c r="C849" s="217"/>
      <c r="D849" s="217"/>
      <c r="E849" s="217"/>
      <c r="F849" s="217"/>
    </row>
    <row r="850" customFormat="false" ht="12.75" hidden="false" customHeight="true" outlineLevel="0" collapsed="false">
      <c r="B850" s="216"/>
      <c r="C850" s="217"/>
      <c r="D850" s="217"/>
      <c r="E850" s="217"/>
      <c r="F850" s="217"/>
    </row>
    <row r="851" customFormat="false" ht="12.75" hidden="false" customHeight="true" outlineLevel="0" collapsed="false">
      <c r="B851" s="216"/>
      <c r="C851" s="217"/>
      <c r="D851" s="217"/>
      <c r="E851" s="217"/>
      <c r="F851" s="217"/>
    </row>
    <row r="852" customFormat="false" ht="12.75" hidden="false" customHeight="true" outlineLevel="0" collapsed="false">
      <c r="B852" s="216"/>
      <c r="C852" s="217"/>
      <c r="D852" s="217"/>
      <c r="E852" s="217"/>
      <c r="F852" s="217"/>
    </row>
    <row r="853" customFormat="false" ht="12.75" hidden="false" customHeight="true" outlineLevel="0" collapsed="false">
      <c r="B853" s="216"/>
      <c r="C853" s="217"/>
      <c r="D853" s="217"/>
      <c r="E853" s="217"/>
      <c r="F853" s="217"/>
    </row>
    <row r="854" customFormat="false" ht="12.75" hidden="false" customHeight="true" outlineLevel="0" collapsed="false">
      <c r="B854" s="216"/>
      <c r="C854" s="217"/>
      <c r="D854" s="217"/>
      <c r="E854" s="217"/>
      <c r="F854" s="217"/>
    </row>
    <row r="855" customFormat="false" ht="12.75" hidden="false" customHeight="true" outlineLevel="0" collapsed="false">
      <c r="B855" s="216"/>
      <c r="C855" s="217"/>
      <c r="D855" s="217"/>
      <c r="E855" s="217"/>
      <c r="F855" s="217"/>
    </row>
    <row r="856" customFormat="false" ht="12.75" hidden="false" customHeight="true" outlineLevel="0" collapsed="false">
      <c r="B856" s="216"/>
      <c r="C856" s="217"/>
      <c r="D856" s="217"/>
      <c r="E856" s="217"/>
      <c r="F856" s="217"/>
    </row>
    <row r="857" customFormat="false" ht="12.75" hidden="false" customHeight="true" outlineLevel="0" collapsed="false">
      <c r="B857" s="216"/>
      <c r="C857" s="217"/>
      <c r="D857" s="217"/>
      <c r="E857" s="217"/>
      <c r="F857" s="217"/>
    </row>
    <row r="858" customFormat="false" ht="12.75" hidden="false" customHeight="true" outlineLevel="0" collapsed="false">
      <c r="B858" s="216"/>
      <c r="C858" s="217"/>
      <c r="D858" s="217"/>
      <c r="E858" s="217"/>
      <c r="F858" s="217"/>
    </row>
    <row r="859" customFormat="false" ht="12.75" hidden="false" customHeight="true" outlineLevel="0" collapsed="false">
      <c r="B859" s="216"/>
      <c r="C859" s="217"/>
      <c r="D859" s="217"/>
      <c r="E859" s="217"/>
      <c r="F859" s="217"/>
    </row>
    <row r="860" customFormat="false" ht="12.75" hidden="false" customHeight="true" outlineLevel="0" collapsed="false">
      <c r="B860" s="216"/>
      <c r="C860" s="217"/>
      <c r="D860" s="217"/>
      <c r="E860" s="217"/>
      <c r="F860" s="217"/>
    </row>
    <row r="861" customFormat="false" ht="12.75" hidden="false" customHeight="true" outlineLevel="0" collapsed="false">
      <c r="B861" s="216"/>
      <c r="C861" s="217"/>
      <c r="D861" s="217"/>
      <c r="E861" s="217"/>
      <c r="F861" s="217"/>
    </row>
    <row r="862" customFormat="false" ht="12.75" hidden="false" customHeight="true" outlineLevel="0" collapsed="false">
      <c r="B862" s="216"/>
      <c r="C862" s="217"/>
      <c r="D862" s="217"/>
      <c r="E862" s="217"/>
      <c r="F862" s="217"/>
    </row>
    <row r="863" customFormat="false" ht="12.75" hidden="false" customHeight="true" outlineLevel="0" collapsed="false">
      <c r="B863" s="216"/>
      <c r="C863" s="217"/>
      <c r="D863" s="217"/>
      <c r="E863" s="217"/>
      <c r="F863" s="217"/>
    </row>
    <row r="864" customFormat="false" ht="12.75" hidden="false" customHeight="true" outlineLevel="0" collapsed="false">
      <c r="B864" s="216"/>
      <c r="C864" s="217"/>
      <c r="D864" s="217"/>
      <c r="E864" s="217"/>
      <c r="F864" s="217"/>
    </row>
    <row r="865" customFormat="false" ht="12.75" hidden="false" customHeight="true" outlineLevel="0" collapsed="false">
      <c r="B865" s="216"/>
      <c r="C865" s="217"/>
      <c r="D865" s="217"/>
      <c r="E865" s="217"/>
      <c r="F865" s="217"/>
    </row>
    <row r="866" customFormat="false" ht="12.75" hidden="false" customHeight="true" outlineLevel="0" collapsed="false">
      <c r="B866" s="216"/>
      <c r="C866" s="217"/>
      <c r="D866" s="217"/>
      <c r="E866" s="217"/>
      <c r="F866" s="217"/>
    </row>
    <row r="867" customFormat="false" ht="12.75" hidden="false" customHeight="true" outlineLevel="0" collapsed="false">
      <c r="B867" s="216"/>
      <c r="C867" s="217"/>
      <c r="D867" s="217"/>
      <c r="E867" s="217"/>
      <c r="F867" s="217"/>
    </row>
    <row r="868" customFormat="false" ht="12.75" hidden="false" customHeight="true" outlineLevel="0" collapsed="false">
      <c r="B868" s="216"/>
      <c r="C868" s="217"/>
      <c r="D868" s="217"/>
      <c r="E868" s="217"/>
      <c r="F868" s="217"/>
    </row>
    <row r="869" customFormat="false" ht="12.75" hidden="false" customHeight="true" outlineLevel="0" collapsed="false">
      <c r="B869" s="216"/>
      <c r="C869" s="217"/>
      <c r="D869" s="217"/>
      <c r="E869" s="217"/>
      <c r="F869" s="217"/>
    </row>
    <row r="870" customFormat="false" ht="12.75" hidden="false" customHeight="true" outlineLevel="0" collapsed="false">
      <c r="B870" s="216"/>
      <c r="C870" s="217"/>
      <c r="D870" s="217"/>
      <c r="E870" s="217"/>
      <c r="F870" s="217"/>
    </row>
    <row r="871" customFormat="false" ht="12.75" hidden="false" customHeight="true" outlineLevel="0" collapsed="false">
      <c r="B871" s="216"/>
      <c r="C871" s="217"/>
      <c r="D871" s="217"/>
      <c r="E871" s="217"/>
      <c r="F871" s="217"/>
    </row>
    <row r="872" customFormat="false" ht="12.75" hidden="false" customHeight="true" outlineLevel="0" collapsed="false">
      <c r="B872" s="216"/>
      <c r="C872" s="217"/>
      <c r="D872" s="217"/>
      <c r="E872" s="217"/>
      <c r="F872" s="217"/>
    </row>
    <row r="873" customFormat="false" ht="12.75" hidden="false" customHeight="true" outlineLevel="0" collapsed="false">
      <c r="B873" s="216"/>
      <c r="C873" s="217"/>
      <c r="D873" s="217"/>
      <c r="E873" s="217"/>
      <c r="F873" s="217"/>
    </row>
    <row r="874" customFormat="false" ht="12.75" hidden="false" customHeight="true" outlineLevel="0" collapsed="false">
      <c r="B874" s="216"/>
      <c r="C874" s="217"/>
      <c r="D874" s="217"/>
      <c r="E874" s="217"/>
      <c r="F874" s="217"/>
    </row>
    <row r="875" customFormat="false" ht="12.75" hidden="false" customHeight="true" outlineLevel="0" collapsed="false">
      <c r="B875" s="216"/>
      <c r="C875" s="217"/>
      <c r="D875" s="217"/>
      <c r="E875" s="217"/>
      <c r="F875" s="217"/>
    </row>
    <row r="876" customFormat="false" ht="12.75" hidden="false" customHeight="true" outlineLevel="0" collapsed="false">
      <c r="B876" s="216"/>
      <c r="C876" s="217"/>
      <c r="D876" s="217"/>
      <c r="E876" s="217"/>
      <c r="F876" s="217"/>
    </row>
    <row r="877" customFormat="false" ht="12.75" hidden="false" customHeight="true" outlineLevel="0" collapsed="false">
      <c r="B877" s="216"/>
      <c r="C877" s="217"/>
      <c r="D877" s="217"/>
      <c r="E877" s="217"/>
      <c r="F877" s="217"/>
    </row>
    <row r="878" customFormat="false" ht="12.75" hidden="false" customHeight="true" outlineLevel="0" collapsed="false">
      <c r="B878" s="216"/>
      <c r="C878" s="217"/>
      <c r="D878" s="217"/>
      <c r="E878" s="217"/>
      <c r="F878" s="217"/>
    </row>
    <row r="879" customFormat="false" ht="12.75" hidden="false" customHeight="true" outlineLevel="0" collapsed="false">
      <c r="B879" s="216"/>
      <c r="C879" s="217"/>
      <c r="D879" s="217"/>
      <c r="E879" s="217"/>
      <c r="F879" s="217"/>
    </row>
    <row r="880" customFormat="false" ht="12.75" hidden="false" customHeight="true" outlineLevel="0" collapsed="false">
      <c r="B880" s="216"/>
      <c r="C880" s="217"/>
      <c r="D880" s="217"/>
      <c r="E880" s="217"/>
      <c r="F880" s="217"/>
    </row>
    <row r="881" customFormat="false" ht="12.75" hidden="false" customHeight="true" outlineLevel="0" collapsed="false">
      <c r="B881" s="216"/>
      <c r="C881" s="217"/>
      <c r="D881" s="217"/>
      <c r="E881" s="217"/>
      <c r="F881" s="217"/>
    </row>
    <row r="882" customFormat="false" ht="12.75" hidden="false" customHeight="true" outlineLevel="0" collapsed="false">
      <c r="B882" s="216"/>
      <c r="C882" s="217"/>
      <c r="D882" s="217"/>
      <c r="E882" s="217"/>
      <c r="F882" s="217"/>
    </row>
    <row r="883" customFormat="false" ht="12.75" hidden="false" customHeight="true" outlineLevel="0" collapsed="false">
      <c r="B883" s="216"/>
      <c r="C883" s="217"/>
      <c r="D883" s="217"/>
      <c r="E883" s="217"/>
      <c r="F883" s="217"/>
    </row>
    <row r="884" customFormat="false" ht="12.75" hidden="false" customHeight="true" outlineLevel="0" collapsed="false">
      <c r="B884" s="216"/>
      <c r="C884" s="217"/>
      <c r="D884" s="217"/>
      <c r="E884" s="217"/>
      <c r="F884" s="217"/>
    </row>
    <row r="885" customFormat="false" ht="12.75" hidden="false" customHeight="true" outlineLevel="0" collapsed="false">
      <c r="B885" s="216"/>
      <c r="C885" s="217"/>
      <c r="D885" s="217"/>
      <c r="E885" s="217"/>
      <c r="F885" s="217"/>
    </row>
    <row r="886" customFormat="false" ht="12.75" hidden="false" customHeight="true" outlineLevel="0" collapsed="false">
      <c r="B886" s="216"/>
      <c r="C886" s="217"/>
      <c r="D886" s="217"/>
      <c r="E886" s="217"/>
      <c r="F886" s="217"/>
    </row>
    <row r="887" customFormat="false" ht="12.75" hidden="false" customHeight="true" outlineLevel="0" collapsed="false">
      <c r="B887" s="216"/>
      <c r="C887" s="217"/>
      <c r="D887" s="217"/>
      <c r="E887" s="217"/>
      <c r="F887" s="217"/>
    </row>
    <row r="888" customFormat="false" ht="12.75" hidden="false" customHeight="true" outlineLevel="0" collapsed="false">
      <c r="B888" s="216"/>
      <c r="C888" s="217"/>
      <c r="D888" s="217"/>
      <c r="E888" s="217"/>
      <c r="F888" s="217"/>
    </row>
    <row r="889" customFormat="false" ht="12.75" hidden="false" customHeight="true" outlineLevel="0" collapsed="false">
      <c r="B889" s="216"/>
      <c r="C889" s="217"/>
      <c r="D889" s="217"/>
      <c r="E889" s="217"/>
      <c r="F889" s="217"/>
    </row>
    <row r="890" customFormat="false" ht="12.75" hidden="false" customHeight="true" outlineLevel="0" collapsed="false">
      <c r="B890" s="216"/>
      <c r="C890" s="217"/>
      <c r="D890" s="217"/>
      <c r="E890" s="217"/>
      <c r="F890" s="217"/>
    </row>
    <row r="891" customFormat="false" ht="12.75" hidden="false" customHeight="true" outlineLevel="0" collapsed="false">
      <c r="B891" s="216"/>
      <c r="C891" s="217"/>
      <c r="D891" s="217"/>
      <c r="E891" s="217"/>
      <c r="F891" s="217"/>
    </row>
    <row r="892" customFormat="false" ht="12.75" hidden="false" customHeight="true" outlineLevel="0" collapsed="false">
      <c r="B892" s="216"/>
      <c r="C892" s="217"/>
      <c r="D892" s="217"/>
      <c r="E892" s="217"/>
      <c r="F892" s="217"/>
    </row>
    <row r="893" customFormat="false" ht="12.75" hidden="false" customHeight="true" outlineLevel="0" collapsed="false">
      <c r="B893" s="216"/>
      <c r="C893" s="217"/>
      <c r="D893" s="217"/>
      <c r="E893" s="217"/>
      <c r="F893" s="217"/>
    </row>
    <row r="894" customFormat="false" ht="12.75" hidden="false" customHeight="true" outlineLevel="0" collapsed="false">
      <c r="B894" s="216"/>
      <c r="C894" s="217"/>
      <c r="D894" s="217"/>
      <c r="E894" s="217"/>
      <c r="F894" s="217"/>
    </row>
    <row r="895" customFormat="false" ht="12.75" hidden="false" customHeight="true" outlineLevel="0" collapsed="false">
      <c r="B895" s="216"/>
      <c r="C895" s="217"/>
      <c r="D895" s="217"/>
      <c r="E895" s="217"/>
      <c r="F895" s="217"/>
    </row>
    <row r="896" customFormat="false" ht="12.75" hidden="false" customHeight="true" outlineLevel="0" collapsed="false">
      <c r="B896" s="216"/>
      <c r="C896" s="217"/>
      <c r="D896" s="217"/>
      <c r="E896" s="217"/>
      <c r="F896" s="217"/>
    </row>
    <row r="897" customFormat="false" ht="12.75" hidden="false" customHeight="true" outlineLevel="0" collapsed="false">
      <c r="B897" s="216"/>
      <c r="C897" s="217"/>
      <c r="D897" s="217"/>
      <c r="E897" s="217"/>
      <c r="F897" s="217"/>
    </row>
    <row r="898" customFormat="false" ht="12.75" hidden="false" customHeight="true" outlineLevel="0" collapsed="false">
      <c r="B898" s="216"/>
      <c r="C898" s="217"/>
      <c r="D898" s="217"/>
      <c r="E898" s="217"/>
      <c r="F898" s="217"/>
    </row>
    <row r="899" customFormat="false" ht="12.75" hidden="false" customHeight="true" outlineLevel="0" collapsed="false">
      <c r="B899" s="216"/>
      <c r="C899" s="217"/>
      <c r="D899" s="217"/>
      <c r="E899" s="217"/>
      <c r="F899" s="217"/>
    </row>
    <row r="900" customFormat="false" ht="12.75" hidden="false" customHeight="true" outlineLevel="0" collapsed="false">
      <c r="B900" s="216"/>
      <c r="C900" s="217"/>
      <c r="D900" s="217"/>
      <c r="E900" s="217"/>
      <c r="F900" s="217"/>
    </row>
    <row r="901" customFormat="false" ht="12.75" hidden="false" customHeight="true" outlineLevel="0" collapsed="false">
      <c r="B901" s="216"/>
      <c r="C901" s="217"/>
      <c r="D901" s="217"/>
      <c r="E901" s="217"/>
      <c r="F901" s="217"/>
    </row>
    <row r="902" customFormat="false" ht="12.75" hidden="false" customHeight="true" outlineLevel="0" collapsed="false">
      <c r="B902" s="216"/>
      <c r="C902" s="217"/>
      <c r="D902" s="217"/>
      <c r="E902" s="217"/>
      <c r="F902" s="217"/>
    </row>
    <row r="903" customFormat="false" ht="12.75" hidden="false" customHeight="true" outlineLevel="0" collapsed="false">
      <c r="B903" s="216"/>
      <c r="C903" s="217"/>
      <c r="D903" s="217"/>
      <c r="E903" s="217"/>
      <c r="F903" s="217"/>
    </row>
    <row r="904" customFormat="false" ht="12.75" hidden="false" customHeight="true" outlineLevel="0" collapsed="false">
      <c r="B904" s="216"/>
      <c r="C904" s="217"/>
      <c r="D904" s="217"/>
      <c r="E904" s="217"/>
      <c r="F904" s="217"/>
    </row>
    <row r="905" customFormat="false" ht="12.75" hidden="false" customHeight="true" outlineLevel="0" collapsed="false">
      <c r="B905" s="216"/>
      <c r="C905" s="217"/>
      <c r="D905" s="217"/>
      <c r="E905" s="217"/>
      <c r="F905" s="217"/>
    </row>
    <row r="906" customFormat="false" ht="12.75" hidden="false" customHeight="true" outlineLevel="0" collapsed="false">
      <c r="B906" s="216"/>
      <c r="C906" s="217"/>
      <c r="D906" s="217"/>
      <c r="E906" s="217"/>
      <c r="F906" s="217"/>
    </row>
    <row r="907" customFormat="false" ht="12.75" hidden="false" customHeight="true" outlineLevel="0" collapsed="false">
      <c r="B907" s="216"/>
      <c r="C907" s="217"/>
      <c r="D907" s="217"/>
      <c r="E907" s="217"/>
      <c r="F907" s="217"/>
    </row>
    <row r="908" customFormat="false" ht="12.75" hidden="false" customHeight="true" outlineLevel="0" collapsed="false">
      <c r="B908" s="216"/>
      <c r="C908" s="217"/>
      <c r="D908" s="217"/>
      <c r="E908" s="217"/>
      <c r="F908" s="217"/>
    </row>
    <row r="909" customFormat="false" ht="12.75" hidden="false" customHeight="true" outlineLevel="0" collapsed="false">
      <c r="B909" s="216"/>
      <c r="C909" s="217"/>
      <c r="D909" s="217"/>
      <c r="E909" s="217"/>
      <c r="F909" s="217"/>
    </row>
    <row r="910" customFormat="false" ht="12.75" hidden="false" customHeight="true" outlineLevel="0" collapsed="false">
      <c r="B910" s="216"/>
      <c r="C910" s="217"/>
      <c r="D910" s="217"/>
      <c r="E910" s="217"/>
      <c r="F910" s="217"/>
    </row>
    <row r="911" customFormat="false" ht="12.75" hidden="false" customHeight="true" outlineLevel="0" collapsed="false">
      <c r="B911" s="216"/>
      <c r="C911" s="217"/>
      <c r="D911" s="217"/>
      <c r="E911" s="217"/>
      <c r="F911" s="217"/>
    </row>
    <row r="912" customFormat="false" ht="12.75" hidden="false" customHeight="true" outlineLevel="0" collapsed="false">
      <c r="B912" s="216"/>
      <c r="C912" s="217"/>
      <c r="D912" s="217"/>
      <c r="E912" s="217"/>
      <c r="F912" s="217"/>
    </row>
    <row r="913" customFormat="false" ht="12.75" hidden="false" customHeight="true" outlineLevel="0" collapsed="false">
      <c r="B913" s="216"/>
      <c r="C913" s="217"/>
      <c r="D913" s="217"/>
      <c r="E913" s="217"/>
      <c r="F913" s="217"/>
    </row>
    <row r="914" customFormat="false" ht="12.75" hidden="false" customHeight="true" outlineLevel="0" collapsed="false">
      <c r="B914" s="216"/>
      <c r="C914" s="217"/>
      <c r="D914" s="217"/>
      <c r="E914" s="217"/>
      <c r="F914" s="217"/>
    </row>
    <row r="915" customFormat="false" ht="12.75" hidden="false" customHeight="true" outlineLevel="0" collapsed="false">
      <c r="B915" s="216"/>
      <c r="C915" s="217"/>
      <c r="D915" s="217"/>
      <c r="E915" s="217"/>
      <c r="F915" s="217"/>
    </row>
    <row r="916" customFormat="false" ht="12.75" hidden="false" customHeight="true" outlineLevel="0" collapsed="false">
      <c r="B916" s="216"/>
      <c r="C916" s="217"/>
      <c r="D916" s="217"/>
      <c r="E916" s="217"/>
      <c r="F916" s="217"/>
    </row>
    <row r="917" customFormat="false" ht="12.75" hidden="false" customHeight="true" outlineLevel="0" collapsed="false">
      <c r="B917" s="216"/>
      <c r="C917" s="217"/>
      <c r="D917" s="217"/>
      <c r="E917" s="217"/>
      <c r="F917" s="217"/>
    </row>
    <row r="918" customFormat="false" ht="12.75" hidden="false" customHeight="true" outlineLevel="0" collapsed="false">
      <c r="B918" s="216"/>
      <c r="C918" s="217"/>
      <c r="D918" s="217"/>
      <c r="E918" s="217"/>
      <c r="F918" s="217"/>
    </row>
    <row r="919" customFormat="false" ht="12.75" hidden="false" customHeight="true" outlineLevel="0" collapsed="false">
      <c r="B919" s="216"/>
      <c r="C919" s="217"/>
      <c r="D919" s="217"/>
      <c r="E919" s="217"/>
      <c r="F919" s="217"/>
    </row>
    <row r="920" customFormat="false" ht="12.75" hidden="false" customHeight="true" outlineLevel="0" collapsed="false">
      <c r="B920" s="216"/>
      <c r="C920" s="217"/>
      <c r="D920" s="217"/>
      <c r="E920" s="217"/>
      <c r="F920" s="217"/>
    </row>
    <row r="921" customFormat="false" ht="12.75" hidden="false" customHeight="true" outlineLevel="0" collapsed="false">
      <c r="B921" s="216"/>
      <c r="C921" s="217"/>
      <c r="D921" s="217"/>
      <c r="E921" s="217"/>
      <c r="F921" s="217"/>
    </row>
    <row r="922" customFormat="false" ht="12.75" hidden="false" customHeight="true" outlineLevel="0" collapsed="false">
      <c r="B922" s="216"/>
      <c r="C922" s="217"/>
      <c r="D922" s="217"/>
      <c r="E922" s="217"/>
      <c r="F922" s="217"/>
    </row>
    <row r="923" customFormat="false" ht="12.75" hidden="false" customHeight="true" outlineLevel="0" collapsed="false">
      <c r="B923" s="216"/>
      <c r="C923" s="217"/>
      <c r="D923" s="217"/>
      <c r="E923" s="217"/>
      <c r="F923" s="217"/>
    </row>
    <row r="924" customFormat="false" ht="12.75" hidden="false" customHeight="true" outlineLevel="0" collapsed="false">
      <c r="B924" s="216"/>
      <c r="C924" s="217"/>
      <c r="D924" s="217"/>
      <c r="E924" s="217"/>
      <c r="F924" s="217"/>
    </row>
    <row r="925" customFormat="false" ht="12.75" hidden="false" customHeight="true" outlineLevel="0" collapsed="false">
      <c r="B925" s="216"/>
      <c r="C925" s="217"/>
      <c r="D925" s="217"/>
      <c r="E925" s="217"/>
      <c r="F925" s="217"/>
    </row>
    <row r="926" customFormat="false" ht="12.75" hidden="false" customHeight="true" outlineLevel="0" collapsed="false">
      <c r="B926" s="216"/>
      <c r="C926" s="217"/>
      <c r="D926" s="217"/>
      <c r="E926" s="217"/>
      <c r="F926" s="217"/>
    </row>
    <row r="927" customFormat="false" ht="12.75" hidden="false" customHeight="true" outlineLevel="0" collapsed="false">
      <c r="B927" s="216"/>
      <c r="C927" s="217"/>
      <c r="D927" s="217"/>
      <c r="E927" s="217"/>
      <c r="F927" s="217"/>
    </row>
    <row r="928" customFormat="false" ht="12.75" hidden="false" customHeight="true" outlineLevel="0" collapsed="false">
      <c r="B928" s="216"/>
      <c r="C928" s="217"/>
      <c r="D928" s="217"/>
      <c r="E928" s="217"/>
      <c r="F928" s="217"/>
    </row>
    <row r="929" customFormat="false" ht="12.75" hidden="false" customHeight="true" outlineLevel="0" collapsed="false">
      <c r="B929" s="216"/>
      <c r="C929" s="217"/>
      <c r="D929" s="217"/>
      <c r="E929" s="217"/>
      <c r="F929" s="217"/>
    </row>
    <row r="930" customFormat="false" ht="12.75" hidden="false" customHeight="true" outlineLevel="0" collapsed="false">
      <c r="B930" s="216"/>
      <c r="C930" s="217"/>
      <c r="D930" s="217"/>
      <c r="E930" s="217"/>
      <c r="F930" s="217"/>
    </row>
    <row r="931" customFormat="false" ht="12.75" hidden="false" customHeight="true" outlineLevel="0" collapsed="false">
      <c r="B931" s="216"/>
      <c r="C931" s="217"/>
      <c r="D931" s="217"/>
      <c r="E931" s="217"/>
      <c r="F931" s="217"/>
    </row>
    <row r="932" customFormat="false" ht="12.75" hidden="false" customHeight="true" outlineLevel="0" collapsed="false">
      <c r="B932" s="216"/>
      <c r="C932" s="217"/>
      <c r="D932" s="217"/>
      <c r="E932" s="217"/>
      <c r="F932" s="217"/>
    </row>
    <row r="933" customFormat="false" ht="12.75" hidden="false" customHeight="true" outlineLevel="0" collapsed="false">
      <c r="B933" s="216"/>
      <c r="C933" s="217"/>
      <c r="D933" s="217"/>
      <c r="E933" s="217"/>
      <c r="F933" s="217"/>
    </row>
    <row r="934" customFormat="false" ht="12.75" hidden="false" customHeight="true" outlineLevel="0" collapsed="false">
      <c r="B934" s="216"/>
      <c r="C934" s="217"/>
      <c r="D934" s="217"/>
      <c r="E934" s="217"/>
      <c r="F934" s="217"/>
    </row>
    <row r="935" customFormat="false" ht="12.75" hidden="false" customHeight="true" outlineLevel="0" collapsed="false">
      <c r="B935" s="216"/>
      <c r="C935" s="217"/>
      <c r="D935" s="217"/>
      <c r="E935" s="217"/>
      <c r="F935" s="217"/>
    </row>
    <row r="936" customFormat="false" ht="12.75" hidden="false" customHeight="true" outlineLevel="0" collapsed="false">
      <c r="B936" s="216"/>
      <c r="C936" s="217"/>
      <c r="D936" s="217"/>
      <c r="E936" s="217"/>
      <c r="F936" s="217"/>
    </row>
    <row r="937" customFormat="false" ht="12.75" hidden="false" customHeight="true" outlineLevel="0" collapsed="false">
      <c r="B937" s="216"/>
      <c r="C937" s="217"/>
      <c r="D937" s="217"/>
      <c r="E937" s="217"/>
      <c r="F937" s="217"/>
    </row>
    <row r="938" customFormat="false" ht="12.75" hidden="false" customHeight="true" outlineLevel="0" collapsed="false">
      <c r="B938" s="216"/>
      <c r="C938" s="217"/>
      <c r="D938" s="217"/>
      <c r="E938" s="217"/>
      <c r="F938" s="217"/>
    </row>
    <row r="939" customFormat="false" ht="12.75" hidden="false" customHeight="true" outlineLevel="0" collapsed="false">
      <c r="B939" s="216"/>
      <c r="C939" s="217"/>
      <c r="D939" s="217"/>
      <c r="E939" s="217"/>
      <c r="F939" s="217"/>
    </row>
    <row r="940" customFormat="false" ht="12.75" hidden="false" customHeight="true" outlineLevel="0" collapsed="false">
      <c r="B940" s="216"/>
      <c r="C940" s="217"/>
      <c r="D940" s="217"/>
      <c r="E940" s="217"/>
      <c r="F940" s="217"/>
    </row>
    <row r="941" customFormat="false" ht="12.75" hidden="false" customHeight="true" outlineLevel="0" collapsed="false">
      <c r="B941" s="216"/>
      <c r="C941" s="217"/>
      <c r="D941" s="217"/>
      <c r="E941" s="217"/>
      <c r="F941" s="217"/>
    </row>
    <row r="942" customFormat="false" ht="12.75" hidden="false" customHeight="true" outlineLevel="0" collapsed="false">
      <c r="B942" s="216"/>
      <c r="C942" s="217"/>
      <c r="D942" s="217"/>
      <c r="E942" s="217"/>
      <c r="F942" s="217"/>
    </row>
    <row r="943" customFormat="false" ht="12.75" hidden="false" customHeight="true" outlineLevel="0" collapsed="false">
      <c r="B943" s="216"/>
      <c r="C943" s="217"/>
      <c r="D943" s="217"/>
      <c r="E943" s="217"/>
      <c r="F943" s="217"/>
    </row>
    <row r="944" customFormat="false" ht="12.75" hidden="false" customHeight="true" outlineLevel="0" collapsed="false">
      <c r="B944" s="216"/>
      <c r="C944" s="217"/>
      <c r="D944" s="217"/>
      <c r="E944" s="217"/>
      <c r="F944" s="217"/>
    </row>
    <row r="945" customFormat="false" ht="12.75" hidden="false" customHeight="true" outlineLevel="0" collapsed="false">
      <c r="B945" s="216"/>
      <c r="C945" s="217"/>
      <c r="D945" s="217"/>
      <c r="E945" s="217"/>
      <c r="F945" s="217"/>
    </row>
    <row r="946" customFormat="false" ht="12.75" hidden="false" customHeight="true" outlineLevel="0" collapsed="false">
      <c r="B946" s="216"/>
      <c r="C946" s="217"/>
      <c r="D946" s="217"/>
      <c r="E946" s="217"/>
      <c r="F946" s="217"/>
    </row>
    <row r="947" customFormat="false" ht="12.75" hidden="false" customHeight="true" outlineLevel="0" collapsed="false">
      <c r="B947" s="216"/>
      <c r="C947" s="217"/>
      <c r="D947" s="217"/>
      <c r="E947" s="217"/>
      <c r="F947" s="217"/>
    </row>
    <row r="948" customFormat="false" ht="12.75" hidden="false" customHeight="true" outlineLevel="0" collapsed="false">
      <c r="B948" s="216"/>
      <c r="C948" s="217"/>
      <c r="D948" s="217"/>
      <c r="E948" s="217"/>
      <c r="F948" s="217"/>
    </row>
    <row r="949" customFormat="false" ht="12.75" hidden="false" customHeight="true" outlineLevel="0" collapsed="false">
      <c r="B949" s="216"/>
      <c r="C949" s="217"/>
      <c r="D949" s="217"/>
      <c r="E949" s="217"/>
      <c r="F949" s="217"/>
    </row>
    <row r="950" customFormat="false" ht="12.75" hidden="false" customHeight="true" outlineLevel="0" collapsed="false">
      <c r="B950" s="216"/>
      <c r="C950" s="217"/>
      <c r="D950" s="217"/>
      <c r="E950" s="217"/>
      <c r="F950" s="217"/>
    </row>
    <row r="951" customFormat="false" ht="12.75" hidden="false" customHeight="true" outlineLevel="0" collapsed="false">
      <c r="B951" s="216"/>
      <c r="C951" s="217"/>
      <c r="D951" s="217"/>
      <c r="E951" s="217"/>
      <c r="F951" s="217"/>
    </row>
    <row r="952" customFormat="false" ht="12.75" hidden="false" customHeight="true" outlineLevel="0" collapsed="false">
      <c r="B952" s="216"/>
      <c r="C952" s="217"/>
      <c r="D952" s="217"/>
      <c r="E952" s="217"/>
      <c r="F952" s="217"/>
    </row>
    <row r="953" customFormat="false" ht="12.75" hidden="false" customHeight="true" outlineLevel="0" collapsed="false">
      <c r="B953" s="216"/>
      <c r="C953" s="217"/>
      <c r="D953" s="217"/>
      <c r="E953" s="217"/>
      <c r="F953" s="217"/>
    </row>
    <row r="954" customFormat="false" ht="12.75" hidden="false" customHeight="true" outlineLevel="0" collapsed="false">
      <c r="B954" s="216"/>
      <c r="C954" s="217"/>
      <c r="D954" s="217"/>
      <c r="E954" s="217"/>
      <c r="F954" s="217"/>
    </row>
    <row r="955" customFormat="false" ht="12.75" hidden="false" customHeight="true" outlineLevel="0" collapsed="false">
      <c r="B955" s="216"/>
      <c r="C955" s="217"/>
      <c r="D955" s="217"/>
      <c r="E955" s="217"/>
      <c r="F955" s="217"/>
    </row>
    <row r="956" customFormat="false" ht="12.75" hidden="false" customHeight="true" outlineLevel="0" collapsed="false">
      <c r="B956" s="216"/>
      <c r="C956" s="217"/>
      <c r="D956" s="217"/>
      <c r="E956" s="217"/>
      <c r="F956" s="217"/>
    </row>
    <row r="957" customFormat="false" ht="12.75" hidden="false" customHeight="true" outlineLevel="0" collapsed="false">
      <c r="B957" s="216"/>
      <c r="C957" s="217"/>
      <c r="D957" s="217"/>
      <c r="E957" s="217"/>
      <c r="F957" s="217"/>
    </row>
    <row r="958" customFormat="false" ht="12.75" hidden="false" customHeight="true" outlineLevel="0" collapsed="false">
      <c r="B958" s="216"/>
      <c r="C958" s="217"/>
      <c r="D958" s="217"/>
      <c r="E958" s="217"/>
      <c r="F958" s="217"/>
    </row>
    <row r="959" customFormat="false" ht="12.75" hidden="false" customHeight="true" outlineLevel="0" collapsed="false">
      <c r="B959" s="216"/>
      <c r="C959" s="217"/>
      <c r="D959" s="217"/>
      <c r="E959" s="217"/>
      <c r="F959" s="217"/>
    </row>
    <row r="960" customFormat="false" ht="12.75" hidden="false" customHeight="true" outlineLevel="0" collapsed="false">
      <c r="B960" s="216"/>
      <c r="C960" s="217"/>
      <c r="D960" s="217"/>
      <c r="E960" s="217"/>
      <c r="F960" s="217"/>
    </row>
    <row r="961" customFormat="false" ht="12.75" hidden="false" customHeight="true" outlineLevel="0" collapsed="false">
      <c r="B961" s="216"/>
      <c r="C961" s="217"/>
      <c r="D961" s="217"/>
      <c r="E961" s="217"/>
      <c r="F961" s="217"/>
    </row>
    <row r="962" customFormat="false" ht="12.75" hidden="false" customHeight="true" outlineLevel="0" collapsed="false">
      <c r="B962" s="216"/>
      <c r="C962" s="217"/>
      <c r="D962" s="217"/>
      <c r="E962" s="217"/>
      <c r="F962" s="217"/>
    </row>
    <row r="963" customFormat="false" ht="12.75" hidden="false" customHeight="true" outlineLevel="0" collapsed="false">
      <c r="B963" s="216"/>
      <c r="C963" s="217"/>
      <c r="D963" s="217"/>
      <c r="E963" s="217"/>
      <c r="F963" s="217"/>
    </row>
    <row r="964" customFormat="false" ht="12.75" hidden="false" customHeight="true" outlineLevel="0" collapsed="false">
      <c r="B964" s="216"/>
      <c r="C964" s="217"/>
      <c r="D964" s="217"/>
      <c r="E964" s="217"/>
      <c r="F964" s="217"/>
    </row>
    <row r="965" customFormat="false" ht="12.75" hidden="false" customHeight="true" outlineLevel="0" collapsed="false">
      <c r="B965" s="216"/>
      <c r="C965" s="217"/>
      <c r="D965" s="217"/>
      <c r="E965" s="217"/>
      <c r="F965" s="217"/>
    </row>
    <row r="966" customFormat="false" ht="12.75" hidden="false" customHeight="true" outlineLevel="0" collapsed="false">
      <c r="B966" s="216"/>
      <c r="C966" s="217"/>
      <c r="D966" s="217"/>
      <c r="E966" s="217"/>
      <c r="F966" s="217"/>
    </row>
    <row r="967" customFormat="false" ht="12.75" hidden="false" customHeight="true" outlineLevel="0" collapsed="false">
      <c r="B967" s="216"/>
      <c r="C967" s="217"/>
      <c r="D967" s="217"/>
      <c r="E967" s="217"/>
      <c r="F967" s="217"/>
    </row>
    <row r="968" customFormat="false" ht="12.75" hidden="false" customHeight="true" outlineLevel="0" collapsed="false">
      <c r="B968" s="216"/>
      <c r="C968" s="217"/>
      <c r="D968" s="217"/>
      <c r="E968" s="217"/>
      <c r="F968" s="217"/>
    </row>
    <row r="969" customFormat="false" ht="12.75" hidden="false" customHeight="true" outlineLevel="0" collapsed="false">
      <c r="B969" s="216"/>
      <c r="C969" s="217"/>
      <c r="D969" s="217"/>
      <c r="E969" s="217"/>
      <c r="F969" s="217"/>
    </row>
    <row r="970" customFormat="false" ht="12.75" hidden="false" customHeight="true" outlineLevel="0" collapsed="false">
      <c r="B970" s="216"/>
      <c r="C970" s="217"/>
      <c r="D970" s="217"/>
      <c r="E970" s="217"/>
      <c r="F970" s="217"/>
    </row>
    <row r="971" customFormat="false" ht="12.75" hidden="false" customHeight="true" outlineLevel="0" collapsed="false">
      <c r="B971" s="216"/>
      <c r="C971" s="217"/>
      <c r="D971" s="217"/>
      <c r="E971" s="217"/>
      <c r="F971" s="217"/>
    </row>
    <row r="972" customFormat="false" ht="12.75" hidden="false" customHeight="true" outlineLevel="0" collapsed="false">
      <c r="B972" s="216"/>
      <c r="C972" s="217"/>
      <c r="D972" s="217"/>
      <c r="E972" s="217"/>
      <c r="F972" s="217"/>
    </row>
    <row r="973" customFormat="false" ht="12.75" hidden="false" customHeight="true" outlineLevel="0" collapsed="false">
      <c r="B973" s="216"/>
      <c r="C973" s="217"/>
      <c r="D973" s="217"/>
      <c r="E973" s="217"/>
      <c r="F973" s="217"/>
    </row>
    <row r="974" customFormat="false" ht="12.75" hidden="false" customHeight="true" outlineLevel="0" collapsed="false">
      <c r="B974" s="216"/>
      <c r="C974" s="217"/>
      <c r="D974" s="217"/>
      <c r="E974" s="217"/>
      <c r="F974" s="217"/>
    </row>
    <row r="975" customFormat="false" ht="12.75" hidden="false" customHeight="true" outlineLevel="0" collapsed="false">
      <c r="B975" s="216"/>
      <c r="C975" s="217"/>
      <c r="D975" s="217"/>
      <c r="E975" s="217"/>
      <c r="F975" s="217"/>
    </row>
    <row r="976" customFormat="false" ht="12.75" hidden="false" customHeight="true" outlineLevel="0" collapsed="false">
      <c r="B976" s="216"/>
      <c r="C976" s="217"/>
      <c r="D976" s="217"/>
      <c r="E976" s="217"/>
      <c r="F976" s="217"/>
    </row>
    <row r="977" customFormat="false" ht="12.75" hidden="false" customHeight="true" outlineLevel="0" collapsed="false">
      <c r="B977" s="216"/>
      <c r="C977" s="217"/>
      <c r="D977" s="217"/>
      <c r="E977" s="217"/>
      <c r="F977" s="217"/>
    </row>
    <row r="978" customFormat="false" ht="12.75" hidden="false" customHeight="true" outlineLevel="0" collapsed="false">
      <c r="B978" s="216"/>
      <c r="C978" s="217"/>
      <c r="D978" s="217"/>
      <c r="E978" s="217"/>
      <c r="F978" s="217"/>
    </row>
    <row r="979" customFormat="false" ht="12.75" hidden="false" customHeight="true" outlineLevel="0" collapsed="false">
      <c r="B979" s="216"/>
      <c r="C979" s="217"/>
      <c r="D979" s="217"/>
      <c r="E979" s="217"/>
      <c r="F979" s="217"/>
    </row>
    <row r="980" customFormat="false" ht="12.75" hidden="false" customHeight="true" outlineLevel="0" collapsed="false">
      <c r="B980" s="216"/>
      <c r="C980" s="217"/>
      <c r="D980" s="217"/>
      <c r="E980" s="217"/>
      <c r="F980" s="217"/>
    </row>
    <row r="981" customFormat="false" ht="12.75" hidden="false" customHeight="true" outlineLevel="0" collapsed="false">
      <c r="B981" s="216"/>
      <c r="C981" s="217"/>
      <c r="D981" s="217"/>
      <c r="E981" s="217"/>
      <c r="F981" s="217"/>
    </row>
    <row r="982" customFormat="false" ht="12.75" hidden="false" customHeight="true" outlineLevel="0" collapsed="false">
      <c r="B982" s="216"/>
      <c r="C982" s="217"/>
      <c r="D982" s="217"/>
      <c r="E982" s="217"/>
      <c r="F982" s="217"/>
    </row>
    <row r="983" customFormat="false" ht="12.75" hidden="false" customHeight="true" outlineLevel="0" collapsed="false">
      <c r="B983" s="216"/>
      <c r="C983" s="217"/>
      <c r="D983" s="217"/>
      <c r="E983" s="217"/>
      <c r="F983" s="217"/>
    </row>
    <row r="984" customFormat="false" ht="12.75" hidden="false" customHeight="true" outlineLevel="0" collapsed="false">
      <c r="B984" s="216"/>
      <c r="C984" s="217"/>
      <c r="D984" s="217"/>
      <c r="E984" s="217"/>
      <c r="F984" s="217"/>
    </row>
    <row r="985" customFormat="false" ht="12.75" hidden="false" customHeight="true" outlineLevel="0" collapsed="false">
      <c r="B985" s="216"/>
      <c r="C985" s="217"/>
      <c r="D985" s="217"/>
      <c r="E985" s="217"/>
      <c r="F985" s="217"/>
    </row>
    <row r="986" customFormat="false" ht="12.75" hidden="false" customHeight="true" outlineLevel="0" collapsed="false">
      <c r="B986" s="216"/>
      <c r="C986" s="217"/>
      <c r="D986" s="217"/>
      <c r="E986" s="217"/>
      <c r="F986" s="217"/>
    </row>
    <row r="987" customFormat="false" ht="12.75" hidden="false" customHeight="true" outlineLevel="0" collapsed="false">
      <c r="B987" s="216"/>
      <c r="C987" s="217"/>
      <c r="D987" s="217"/>
      <c r="E987" s="217"/>
      <c r="F987" s="217"/>
    </row>
    <row r="988" customFormat="false" ht="12.75" hidden="false" customHeight="true" outlineLevel="0" collapsed="false">
      <c r="B988" s="216"/>
      <c r="C988" s="217"/>
      <c r="D988" s="217"/>
      <c r="E988" s="217"/>
      <c r="F988" s="217"/>
    </row>
    <row r="989" customFormat="false" ht="12.75" hidden="false" customHeight="true" outlineLevel="0" collapsed="false">
      <c r="B989" s="216"/>
      <c r="C989" s="217"/>
      <c r="D989" s="217"/>
      <c r="E989" s="217"/>
      <c r="F989" s="217"/>
    </row>
    <row r="990" customFormat="false" ht="12.75" hidden="false" customHeight="true" outlineLevel="0" collapsed="false">
      <c r="B990" s="216"/>
      <c r="C990" s="217"/>
      <c r="D990" s="217"/>
      <c r="E990" s="217"/>
      <c r="F990" s="217"/>
    </row>
    <row r="991" customFormat="false" ht="12.75" hidden="false" customHeight="true" outlineLevel="0" collapsed="false">
      <c r="B991" s="216"/>
      <c r="C991" s="217"/>
      <c r="D991" s="217"/>
      <c r="E991" s="217"/>
      <c r="F991" s="217"/>
    </row>
    <row r="992" customFormat="false" ht="12.75" hidden="false" customHeight="true" outlineLevel="0" collapsed="false">
      <c r="B992" s="216"/>
      <c r="C992" s="217"/>
      <c r="D992" s="217"/>
      <c r="E992" s="217"/>
      <c r="F992" s="217"/>
    </row>
    <row r="993" customFormat="false" ht="12.75" hidden="false" customHeight="true" outlineLevel="0" collapsed="false">
      <c r="B993" s="216"/>
      <c r="C993" s="217"/>
      <c r="D993" s="217"/>
      <c r="E993" s="217"/>
      <c r="F993" s="217"/>
    </row>
    <row r="994" customFormat="false" ht="12.75" hidden="false" customHeight="true" outlineLevel="0" collapsed="false">
      <c r="B994" s="216"/>
      <c r="C994" s="217"/>
      <c r="D994" s="217"/>
      <c r="E994" s="217"/>
      <c r="F994" s="217"/>
    </row>
    <row r="995" customFormat="false" ht="12.75" hidden="false" customHeight="true" outlineLevel="0" collapsed="false">
      <c r="B995" s="216"/>
      <c r="C995" s="217"/>
      <c r="D995" s="217"/>
      <c r="E995" s="217"/>
      <c r="F995" s="217"/>
    </row>
    <row r="996" customFormat="false" ht="12.75" hidden="false" customHeight="true" outlineLevel="0" collapsed="false">
      <c r="B996" s="216"/>
      <c r="C996" s="217"/>
      <c r="D996" s="217"/>
      <c r="E996" s="217"/>
      <c r="F996" s="217"/>
    </row>
    <row r="997" customFormat="false" ht="12.75" hidden="false" customHeight="true" outlineLevel="0" collapsed="false">
      <c r="B997" s="216"/>
      <c r="C997" s="217"/>
      <c r="D997" s="217"/>
      <c r="E997" s="217"/>
      <c r="F997" s="217"/>
    </row>
    <row r="998" customFormat="false" ht="12.75" hidden="false" customHeight="true" outlineLevel="0" collapsed="false">
      <c r="B998" s="216"/>
      <c r="C998" s="217"/>
      <c r="D998" s="217"/>
      <c r="E998" s="217"/>
      <c r="F998" s="217"/>
    </row>
    <row r="999" customFormat="false" ht="12.75" hidden="false" customHeight="true" outlineLevel="0" collapsed="false">
      <c r="B999" s="216"/>
      <c r="C999" s="217"/>
      <c r="D999" s="217"/>
      <c r="E999" s="217"/>
      <c r="F999" s="217"/>
    </row>
    <row r="1000" customFormat="false" ht="12.75" hidden="false" customHeight="true" outlineLevel="0" collapsed="false">
      <c r="B1000" s="216"/>
      <c r="C1000" s="217"/>
      <c r="D1000" s="217"/>
      <c r="E1000" s="217"/>
      <c r="F1000" s="217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128"/>
    <pageSetUpPr fitToPage="false"/>
  </sheetPr>
  <dimension ref="A1:BB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2.66796875" defaultRowHeight="15" customHeight="true" zeroHeight="false" outlineLevelRow="0" outlineLevelCol="0"/>
  <cols>
    <col collapsed="false" customWidth="true" hidden="false" outlineLevel="0" max="32" min="1" style="1" width="8.76"/>
    <col collapsed="false" customWidth="true" hidden="false" outlineLevel="0" max="33" min="33" style="1" width="14.44"/>
    <col collapsed="false" customWidth="true" hidden="false" outlineLevel="0" max="34" min="34" style="1" width="10.44"/>
    <col collapsed="false" customWidth="true" hidden="false" outlineLevel="0" max="35" min="35" style="1" width="10.78"/>
    <col collapsed="false" customWidth="true" hidden="false" outlineLevel="0" max="40" min="36" style="1" width="10.44"/>
    <col collapsed="false" customWidth="true" hidden="false" outlineLevel="0" max="41" min="41" style="1" width="10.66"/>
    <col collapsed="false" customWidth="true" hidden="false" outlineLevel="0" max="42" min="42" style="1" width="10.44"/>
    <col collapsed="false" customWidth="true" hidden="false" outlineLevel="0" max="43" min="43" style="1" width="12.44"/>
    <col collapsed="false" customWidth="true" hidden="false" outlineLevel="0" max="44" min="44" style="1" width="12.76"/>
    <col collapsed="false" customWidth="true" hidden="false" outlineLevel="0" max="54" min="45" style="1" width="8.76"/>
  </cols>
  <sheetData>
    <row r="1" customFormat="false" ht="24.75" hidden="false" customHeight="true" outlineLevel="0" collapsed="false">
      <c r="A1" s="2"/>
      <c r="B1" s="225" t="s">
        <v>195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24.75" hidden="false" customHeight="true" outlineLevel="0" collapsed="false">
      <c r="A2" s="2"/>
      <c r="B2" s="225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24.75" hidden="false" customHeight="tru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24.75" hidden="false" customHeight="tru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customFormat="false" ht="12.75" hidden="false" customHeight="true" outlineLevel="0" collapsed="false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customFormat="false" ht="12.75" hidden="false" customHeight="true" outlineLevel="0" collapsed="false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customFormat="false" ht="12.75" hidden="false" customHeight="true" outlineLevel="0" collapsed="false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customFormat="false" ht="12.75" hidden="false" customHeight="true" outlineLevel="0" collapsed="false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customFormat="false" ht="12.75" hidden="false" customHeight="true" outlineLevel="0" collapsed="false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customFormat="false" ht="12.75" hidden="false" customHeight="true" outlineLevel="0" collapsed="false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customFormat="false" ht="12.75" hidden="false" customHeight="true" outlineLevel="0" collapsed="false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customFormat="false" ht="12.75" hidden="false" customHeight="true" outlineLevel="0" collapsed="false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customFormat="false" ht="12.75" hidden="false" customHeight="true" outlineLevel="0" collapsed="false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customFormat="false" ht="12.75" hidden="false" customHeight="true" outlineLevel="0" collapsed="false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customFormat="false" ht="12.75" hidden="false" customHeight="true" outlineLevel="0" collapsed="false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customFormat="false" ht="12.75" hidden="false" customHeight="true" outlineLevel="0" collapsed="false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customFormat="false" ht="12.75" hidden="false" customHeight="true" outlineLevel="0" collapsed="false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customFormat="false" ht="12.75" hidden="false" customHeight="true" outlineLevel="0" collapsed="false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customFormat="false" ht="12.75" hidden="false" customHeight="true" outlineLevel="0" collapsed="false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customFormat="false" ht="12.75" hidden="false" customHeight="true" outlineLevel="0" collapsed="false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customFormat="false" ht="12.75" hidden="false" customHeight="true" outlineLevel="0" collapsed="false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customFormat="false" ht="12.75" hidden="false" customHeight="true" outlineLevel="0" collapsed="false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customFormat="false" ht="12.75" hidden="false" customHeight="tru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customFormat="false" ht="12.75" hidden="false" customHeight="tru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customFormat="false" ht="12.75" hidden="false" customHeight="true" outlineLevel="0" collapsed="false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customFormat="false" ht="12.75" hidden="false" customHeight="true" outlineLevel="0" collapsed="false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customFormat="false" ht="12.75" hidden="false" customHeight="true" outlineLevel="0" collapsed="false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customFormat="false" ht="12.75" hidden="false" customHeight="true" outlineLevel="0" collapsed="false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customFormat="false" ht="12.75" hidden="false" customHeight="tru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customFormat="false" ht="12.75" hidden="false" customHeight="true" outlineLevel="0" collapsed="false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customFormat="false" ht="12.75" hidden="false" customHeight="true" outlineLevel="0" collapsed="false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customFormat="false" ht="12.75" hidden="false" customHeight="true" outlineLevel="0" collapsed="false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customFormat="false" ht="12.75" hidden="false" customHeight="true" outlineLevel="0" collapsed="false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customFormat="false" ht="12.75" hidden="false" customHeight="true" outlineLevel="0" collapsed="false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customFormat="false" ht="12.75" hidden="false" customHeight="true" outlineLevel="0" collapsed="false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customFormat="false" ht="12.75" hidden="false" customHeight="tru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customFormat="false" ht="12.75" hidden="false" customHeight="tru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</row>
    <row r="38" customFormat="false" ht="12.75" hidden="false" customHeight="true" outlineLevel="0" collapsed="false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customFormat="false" ht="12.75" hidden="false" customHeight="true" outlineLevel="0" collapsed="false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customFormat="false" ht="12.75" hidden="false" customHeight="tru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customFormat="false" ht="12.75" hidden="false" customHeight="tru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</row>
    <row r="42" customFormat="false" ht="12.75" hidden="false" customHeight="tru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customFormat="false" ht="12.75" hidden="false" customHeight="tru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customFormat="false" ht="12.75" hidden="false" customHeight="tru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customFormat="false" ht="12.75" hidden="false" customHeight="tru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customFormat="false" ht="12.75" hidden="false" customHeight="tru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</row>
    <row r="47" customFormat="false" ht="12.75" hidden="false" customHeight="tru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customFormat="false" ht="12.75" hidden="false" customHeight="tru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customFormat="false" ht="12.75" hidden="false" customHeight="tru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customFormat="false" ht="12.75" hidden="false" customHeight="tru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customFormat="false" ht="12.75" hidden="false" customHeight="tru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customFormat="false" ht="12.75" hidden="false" customHeight="tru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customFormat="false" ht="12.75" hidden="false" customHeight="tru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customFormat="false" ht="12.75" hidden="false" customHeight="tru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customFormat="false" ht="12.75" hidden="false" customHeight="tru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customFormat="false" ht="12.75" hidden="false" customHeight="tru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customFormat="false" ht="12.75" hidden="false" customHeight="tru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customFormat="false" ht="12.75" hidden="false" customHeight="tru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customFormat="false" ht="12.75" hidden="false" customHeight="tru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customFormat="false" ht="12.75" hidden="false" customHeight="tru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customFormat="false" ht="12.75" hidden="false" customHeight="tru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customFormat="false" ht="12.75" hidden="false" customHeight="tru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  <row r="63" customFormat="false" ht="12.75" hidden="false" customHeight="tru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</row>
    <row r="64" customFormat="false" ht="12.75" hidden="false" customHeight="tru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</row>
    <row r="65" customFormat="false" ht="12.75" hidden="false" customHeight="tru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</row>
    <row r="66" customFormat="false" ht="12.75" hidden="false" customHeight="tru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</row>
    <row r="67" customFormat="false" ht="12.75" hidden="false" customHeight="tru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</row>
    <row r="68" customFormat="false" ht="12.75" hidden="false" customHeight="tru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</row>
    <row r="69" customFormat="false" ht="12.75" hidden="false" customHeight="tru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</row>
    <row r="70" customFormat="false" ht="12.75" hidden="false" customHeight="tru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</row>
    <row r="71" customFormat="false" ht="12.75" hidden="false" customHeight="tru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</row>
    <row r="72" customFormat="false" ht="12.75" hidden="false" customHeight="tru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</row>
    <row r="73" customFormat="false" ht="12.75" hidden="false" customHeight="tru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</row>
    <row r="74" customFormat="false" ht="12.75" hidden="false" customHeight="tru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</row>
    <row r="75" customFormat="false" ht="12.75" hidden="false" customHeight="tru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customFormat="false" ht="12.75" hidden="false" customHeight="tru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customFormat="false" ht="12.75" hidden="false" customHeight="tru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customFormat="false" ht="12.75" hidden="false" customHeight="tru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customFormat="false" ht="12.75" hidden="false" customHeight="tru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customFormat="false" ht="12.75" hidden="false" customHeight="tru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customFormat="false" ht="12.75" hidden="false" customHeight="tru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customFormat="false" ht="12.75" hidden="false" customHeight="tru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customFormat="false" ht="12.75" hidden="false" customHeight="tru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customFormat="false" ht="12.75" hidden="false" customHeight="tru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customFormat="false" ht="12.75" hidden="false" customHeight="tru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customFormat="false" ht="12.75" hidden="false" customHeight="tru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customFormat="false" ht="12.75" hidden="false" customHeight="tru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customFormat="false" ht="12.75" hidden="false" customHeight="tru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customFormat="false" ht="12.75" hidden="false" customHeight="tru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customFormat="false" ht="12.75" hidden="false" customHeight="tru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customFormat="false" ht="12.75" hidden="false" customHeight="tru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customFormat="false" ht="12.75" hidden="false" customHeight="tru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customFormat="false" ht="12.75" hidden="false" customHeight="tru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customFormat="false" ht="12.75" hidden="false" customHeight="tru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customFormat="false" ht="12.75" hidden="false" customHeight="tru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customFormat="false" ht="12.75" hidden="false" customHeight="tru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customFormat="false" ht="12.75" hidden="false" customHeight="tru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customFormat="false" ht="12.75" hidden="false" customHeight="tru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customFormat="false" ht="12.75" hidden="false" customHeight="tru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customFormat="false" ht="12.75" hidden="false" customHeight="tru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customFormat="false" ht="12.75" hidden="false" customHeight="tru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customFormat="false" ht="12.75" hidden="false" customHeight="tru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customFormat="false" ht="12.75" hidden="false" customHeight="tru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customFormat="false" ht="12.75" hidden="false" customHeight="tru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customFormat="false" ht="12.75" hidden="false" customHeight="tru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customFormat="false" ht="12.75" hidden="false" customHeight="tru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26" t="s">
        <v>196</v>
      </c>
      <c r="AH106" s="226" t="s">
        <v>197</v>
      </c>
      <c r="AI106" s="226" t="s">
        <v>198</v>
      </c>
      <c r="AJ106" s="226" t="s">
        <v>199</v>
      </c>
      <c r="AK106" s="226" t="s">
        <v>200</v>
      </c>
      <c r="AL106" s="226" t="s">
        <v>201</v>
      </c>
      <c r="AM106" s="226" t="s">
        <v>202</v>
      </c>
      <c r="AN106" s="226" t="s">
        <v>203</v>
      </c>
      <c r="AO106" s="226" t="s">
        <v>204</v>
      </c>
      <c r="AP106" s="226" t="s">
        <v>205</v>
      </c>
      <c r="AQ106" s="226" t="s">
        <v>206</v>
      </c>
      <c r="AR106" s="226" t="s">
        <v>207</v>
      </c>
      <c r="AS106" s="2"/>
    </row>
    <row r="107" customFormat="false" ht="12.75" hidden="false" customHeight="tru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26" t="s">
        <v>208</v>
      </c>
      <c r="AH107" s="227" t="n">
        <v>0.268130198938807</v>
      </c>
      <c r="AI107" s="227" t="n">
        <v>0.000446338158911477</v>
      </c>
      <c r="AJ107" s="227" t="n">
        <f aca="false">2*AI107</f>
        <v>0.000892676317822954</v>
      </c>
      <c r="AK107" s="227" t="n">
        <v>0.0925028391546312</v>
      </c>
      <c r="AL107" s="227" t="n">
        <v>0.00131551841028304</v>
      </c>
      <c r="AM107" s="227" t="n">
        <f aca="false">2*AL107</f>
        <v>0.00263103682056608</v>
      </c>
      <c r="AN107" s="227" t="n">
        <v>0.0206056246438464</v>
      </c>
      <c r="AO107" s="227" t="n">
        <v>0.00291205170597272</v>
      </c>
      <c r="AP107" s="227" t="n">
        <f aca="false">2*AO107</f>
        <v>0.00582410341194544</v>
      </c>
      <c r="AQ107" s="226"/>
      <c r="AR107" s="228" t="n">
        <f aca="false">AJ107*1000</f>
        <v>0.892676317822954</v>
      </c>
      <c r="AS107" s="2"/>
    </row>
    <row r="108" customFormat="false" ht="12.75" hidden="false" customHeight="tru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26" t="s">
        <v>209</v>
      </c>
      <c r="AH108" s="227" t="n">
        <v>0.264429378575983</v>
      </c>
      <c r="AI108" s="227" t="n">
        <v>0.000615036655639119</v>
      </c>
      <c r="AJ108" s="227" t="n">
        <f aca="false">2*AI108</f>
        <v>0.00123007331127824</v>
      </c>
      <c r="AK108" s="227" t="n">
        <v>0.086531817451037</v>
      </c>
      <c r="AL108" s="227" t="n">
        <v>0.00123915137172045</v>
      </c>
      <c r="AM108" s="227" t="n">
        <f aca="false">2*AL108</f>
        <v>0.0024783027434409</v>
      </c>
      <c r="AN108" s="227" t="n">
        <v>0.0216988555775665</v>
      </c>
      <c r="AO108" s="227" t="n">
        <v>0.00229918178481939</v>
      </c>
      <c r="AP108" s="227" t="n">
        <f aca="false">2*AO108</f>
        <v>0.00459836356963878</v>
      </c>
      <c r="AQ108" s="226"/>
      <c r="AR108" s="228" t="n">
        <f aca="false">AJ108*1000</f>
        <v>1.23007331127824</v>
      </c>
      <c r="AS108" s="2"/>
    </row>
    <row r="109" customFormat="false" ht="12.75" hidden="false" customHeight="tru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26" t="s">
        <v>210</v>
      </c>
      <c r="AH109" s="227" t="n">
        <v>0.262379969201586</v>
      </c>
      <c r="AI109" s="227" t="n">
        <v>0.000632821503893591</v>
      </c>
      <c r="AJ109" s="227" t="n">
        <f aca="false">2*AI109</f>
        <v>0.00126564300778718</v>
      </c>
      <c r="AK109" s="227" t="n">
        <v>0.0786730441320368</v>
      </c>
      <c r="AL109" s="227" t="n">
        <v>0.00180690936253619</v>
      </c>
      <c r="AM109" s="227" t="n">
        <f aca="false">2*AL109</f>
        <v>0.00361381872507238</v>
      </c>
      <c r="AN109" s="227" t="n">
        <v>0.0115746644404535</v>
      </c>
      <c r="AO109" s="227" t="n">
        <v>0.000952001649018304</v>
      </c>
      <c r="AP109" s="227" t="n">
        <f aca="false">2*AO109</f>
        <v>0.00190400329803661</v>
      </c>
      <c r="AQ109" s="226"/>
      <c r="AR109" s="228" t="n">
        <f aca="false">AJ109*1000</f>
        <v>1.26564300778718</v>
      </c>
      <c r="AS109" s="2"/>
    </row>
    <row r="110" customFormat="false" ht="12.75" hidden="false" customHeight="tru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  <row r="111" customFormat="false" ht="12.75" hidden="false" customHeight="tru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S111" s="226"/>
      <c r="AT111" s="226"/>
      <c r="AU111" s="226"/>
      <c r="AV111" s="226"/>
      <c r="AW111" s="226"/>
      <c r="AX111" s="226"/>
      <c r="AY111" s="226"/>
      <c r="AZ111" s="226"/>
      <c r="BA111" s="226"/>
      <c r="BB111" s="226"/>
    </row>
    <row r="112" customFormat="false" ht="12.75" hidden="false" customHeight="tru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S112" s="226"/>
      <c r="AT112" s="226"/>
      <c r="AU112" s="226"/>
      <c r="AV112" s="226"/>
      <c r="AW112" s="226"/>
      <c r="AX112" s="226"/>
      <c r="AY112" s="226"/>
      <c r="AZ112" s="226"/>
      <c r="BA112" s="226"/>
      <c r="BB112" s="226"/>
    </row>
    <row r="113" customFormat="false" ht="12.75" hidden="false" customHeight="tru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S113" s="226"/>
      <c r="AT113" s="226"/>
      <c r="AU113" s="226"/>
      <c r="AV113" s="226"/>
      <c r="AW113" s="226"/>
      <c r="AX113" s="226"/>
      <c r="AY113" s="226"/>
      <c r="AZ113" s="226"/>
      <c r="BA113" s="226"/>
      <c r="BB113" s="226"/>
    </row>
    <row r="114" customFormat="false" ht="12.75" hidden="false" customHeight="tru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S114" s="226"/>
      <c r="AT114" s="226"/>
      <c r="AU114" s="226"/>
      <c r="AV114" s="226"/>
      <c r="AW114" s="226"/>
      <c r="AX114" s="226"/>
      <c r="AY114" s="226"/>
      <c r="AZ114" s="226"/>
      <c r="BA114" s="226"/>
      <c r="BB114" s="226"/>
    </row>
    <row r="115" customFormat="false" ht="12.75" hidden="false" customHeight="tru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26"/>
      <c r="AH115" s="226"/>
      <c r="AI115" s="226"/>
      <c r="AJ115" s="226"/>
      <c r="AK115" s="226"/>
      <c r="AL115" s="226"/>
      <c r="AM115" s="226"/>
      <c r="AN115" s="226"/>
      <c r="AO115" s="226"/>
      <c r="AP115" s="226"/>
      <c r="AQ115" s="226"/>
      <c r="AR115" s="226"/>
      <c r="AS115" s="226"/>
      <c r="AT115" s="226"/>
      <c r="AU115" s="226"/>
      <c r="AV115" s="226"/>
      <c r="AW115" s="226"/>
      <c r="AX115" s="226"/>
      <c r="AY115" s="226"/>
      <c r="AZ115" s="226"/>
      <c r="BA115" s="226"/>
      <c r="BB115" s="226"/>
    </row>
    <row r="116" customFormat="false" ht="12.75" hidden="false" customHeight="tru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26"/>
      <c r="AH116" s="226"/>
      <c r="AI116" s="226"/>
      <c r="AJ116" s="226"/>
      <c r="AK116" s="226"/>
      <c r="AL116" s="226"/>
      <c r="AM116" s="226"/>
      <c r="AN116" s="226"/>
      <c r="AO116" s="226"/>
      <c r="AP116" s="226"/>
      <c r="AQ116" s="226"/>
      <c r="AR116" s="226"/>
      <c r="AS116" s="226"/>
      <c r="AT116" s="226"/>
      <c r="AU116" s="226"/>
      <c r="AV116" s="226"/>
      <c r="AW116" s="226"/>
      <c r="AX116" s="226"/>
      <c r="AY116" s="226"/>
      <c r="AZ116" s="226"/>
      <c r="BA116" s="226"/>
      <c r="BB116" s="226"/>
    </row>
    <row r="117" customFormat="false" ht="12.75" hidden="false" customHeight="tru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26"/>
      <c r="AH117" s="226"/>
      <c r="AI117" s="226"/>
      <c r="AJ117" s="226"/>
      <c r="AK117" s="226"/>
      <c r="AL117" s="226"/>
      <c r="AM117" s="226"/>
      <c r="AN117" s="226"/>
      <c r="AO117" s="226"/>
      <c r="AP117" s="226"/>
      <c r="AQ117" s="226"/>
      <c r="AR117" s="226"/>
      <c r="AS117" s="226"/>
      <c r="AT117" s="226"/>
      <c r="AU117" s="226"/>
      <c r="AV117" s="226"/>
      <c r="AW117" s="226"/>
      <c r="AX117" s="226"/>
      <c r="AY117" s="226"/>
      <c r="AZ117" s="226"/>
      <c r="BA117" s="226"/>
      <c r="BB117" s="226"/>
    </row>
    <row r="118" customFormat="false" ht="12.75" hidden="false" customHeight="tru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26"/>
      <c r="AH118" s="226"/>
      <c r="AI118" s="226"/>
      <c r="AJ118" s="226"/>
      <c r="AK118" s="226"/>
      <c r="AL118" s="226"/>
      <c r="AM118" s="226"/>
      <c r="AN118" s="226"/>
      <c r="AO118" s="226"/>
      <c r="AP118" s="226"/>
      <c r="AQ118" s="226"/>
      <c r="AR118" s="226"/>
      <c r="AS118" s="226"/>
      <c r="AT118" s="226"/>
      <c r="AU118" s="226"/>
      <c r="AV118" s="226"/>
      <c r="AW118" s="226"/>
      <c r="AX118" s="226"/>
      <c r="AY118" s="226"/>
      <c r="AZ118" s="226"/>
      <c r="BA118" s="226"/>
      <c r="BB118" s="226"/>
    </row>
    <row r="119" customFormat="false" ht="12.75" hidden="false" customHeight="tru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26"/>
      <c r="AH119" s="226"/>
      <c r="AI119" s="226"/>
      <c r="AJ119" s="226"/>
      <c r="AK119" s="226"/>
      <c r="AL119" s="226"/>
      <c r="AM119" s="226"/>
      <c r="AN119" s="226"/>
      <c r="AO119" s="226"/>
      <c r="AP119" s="226"/>
      <c r="AQ119" s="226"/>
      <c r="AR119" s="226"/>
      <c r="AS119" s="226"/>
      <c r="AT119" s="226"/>
      <c r="AU119" s="226"/>
      <c r="AV119" s="226"/>
      <c r="AW119" s="226"/>
      <c r="AX119" s="226"/>
      <c r="AY119" s="226"/>
      <c r="AZ119" s="226"/>
      <c r="BA119" s="226"/>
      <c r="BB119" s="226"/>
    </row>
    <row r="120" customFormat="false" ht="12.75" hidden="false" customHeight="tru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26"/>
      <c r="AH120" s="226"/>
      <c r="AI120" s="226"/>
      <c r="AJ120" s="226"/>
      <c r="AK120" s="226"/>
      <c r="AL120" s="226"/>
      <c r="AM120" s="226"/>
      <c r="AN120" s="226"/>
      <c r="AO120" s="226"/>
      <c r="AP120" s="226"/>
      <c r="AQ120" s="226"/>
      <c r="AR120" s="226"/>
      <c r="AS120" s="226"/>
      <c r="AT120" s="226"/>
      <c r="AU120" s="226"/>
      <c r="AV120" s="226"/>
      <c r="AW120" s="226"/>
      <c r="AX120" s="226"/>
      <c r="AY120" s="226"/>
      <c r="AZ120" s="226"/>
      <c r="BA120" s="226"/>
      <c r="BB120" s="226"/>
    </row>
    <row r="121" customFormat="false" ht="12.75" hidden="false" customHeight="tru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26"/>
      <c r="AH121" s="226"/>
      <c r="AI121" s="226"/>
      <c r="AJ121" s="226"/>
      <c r="AK121" s="226"/>
      <c r="AL121" s="226"/>
      <c r="AM121" s="226"/>
      <c r="AN121" s="226"/>
      <c r="AO121" s="226"/>
      <c r="AP121" s="226"/>
      <c r="AQ121" s="226"/>
      <c r="AR121" s="226"/>
      <c r="AS121" s="226"/>
      <c r="AT121" s="226"/>
      <c r="AU121" s="226"/>
      <c r="AV121" s="226"/>
      <c r="AW121" s="226"/>
      <c r="AX121" s="226"/>
      <c r="AY121" s="226"/>
      <c r="AZ121" s="226"/>
      <c r="BA121" s="226"/>
      <c r="BB121" s="226"/>
    </row>
    <row r="122" customFormat="false" ht="12.75" hidden="false" customHeight="tru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26"/>
      <c r="AH122" s="226"/>
      <c r="AI122" s="226"/>
      <c r="AJ122" s="226"/>
      <c r="AK122" s="226"/>
      <c r="AL122" s="226"/>
      <c r="AM122" s="226"/>
      <c r="AN122" s="226"/>
      <c r="AO122" s="226"/>
      <c r="AP122" s="226"/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</row>
    <row r="123" customFormat="false" ht="12.75" hidden="false" customHeight="tru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26"/>
      <c r="AH123" s="226"/>
      <c r="AI123" s="226"/>
      <c r="AJ123" s="226"/>
      <c r="AK123" s="226"/>
      <c r="AL123" s="226"/>
      <c r="AM123" s="226"/>
      <c r="AN123" s="226"/>
      <c r="AO123" s="226"/>
      <c r="AP123" s="226"/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</row>
    <row r="124" customFormat="false" ht="12.75" hidden="false" customHeight="tru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26"/>
      <c r="AH124" s="226"/>
      <c r="AI124" s="226"/>
      <c r="AJ124" s="226"/>
      <c r="AK124" s="226"/>
      <c r="AL124" s="226"/>
      <c r="AM124" s="226"/>
      <c r="AN124" s="226"/>
      <c r="AO124" s="226"/>
      <c r="AP124" s="226"/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</row>
    <row r="125" customFormat="false" ht="12.75" hidden="false" customHeight="tru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26"/>
      <c r="AH125" s="226"/>
      <c r="AI125" s="226"/>
      <c r="AJ125" s="226"/>
      <c r="AK125" s="226"/>
      <c r="AL125" s="226"/>
      <c r="AM125" s="226"/>
      <c r="AN125" s="226"/>
      <c r="AO125" s="226"/>
      <c r="AP125" s="226"/>
      <c r="AQ125" s="226"/>
      <c r="AR125" s="226"/>
      <c r="AS125" s="226"/>
      <c r="AT125" s="226"/>
      <c r="AU125" s="226"/>
      <c r="AV125" s="226"/>
      <c r="AW125" s="226"/>
      <c r="AX125" s="226"/>
      <c r="AY125" s="226"/>
      <c r="AZ125" s="226"/>
      <c r="BA125" s="226"/>
      <c r="BB125" s="226"/>
    </row>
    <row r="126" customFormat="false" ht="12.75" hidden="false" customHeight="tru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26"/>
      <c r="AH126" s="226"/>
      <c r="AI126" s="226"/>
      <c r="AJ126" s="226"/>
      <c r="AK126" s="226"/>
      <c r="AL126" s="226"/>
      <c r="AM126" s="226"/>
      <c r="AN126" s="226"/>
      <c r="AO126" s="226"/>
      <c r="AP126" s="226"/>
      <c r="AQ126" s="226"/>
      <c r="AR126" s="226"/>
      <c r="AS126" s="226"/>
      <c r="AT126" s="226"/>
      <c r="AU126" s="226"/>
      <c r="AV126" s="226"/>
      <c r="AW126" s="226"/>
      <c r="AX126" s="226"/>
      <c r="AY126" s="226"/>
      <c r="AZ126" s="226"/>
      <c r="BA126" s="226"/>
      <c r="BB126" s="226"/>
    </row>
    <row r="127" customFormat="false" ht="12.75" hidden="false" customHeight="tru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26"/>
      <c r="AH127" s="226"/>
      <c r="AI127" s="226"/>
      <c r="AJ127" s="226"/>
      <c r="AK127" s="226"/>
      <c r="AL127" s="226"/>
      <c r="AM127" s="226"/>
      <c r="AN127" s="226"/>
      <c r="AO127" s="226"/>
      <c r="AP127" s="226"/>
      <c r="AQ127" s="226"/>
      <c r="AR127" s="226"/>
      <c r="AS127" s="226"/>
      <c r="AT127" s="226"/>
      <c r="AU127" s="226"/>
      <c r="AV127" s="226"/>
      <c r="AW127" s="226"/>
      <c r="AX127" s="226"/>
      <c r="AY127" s="226"/>
      <c r="AZ127" s="226"/>
      <c r="BA127" s="226"/>
      <c r="BB127" s="226"/>
    </row>
    <row r="128" customFormat="false" ht="12.75" hidden="false" customHeight="tru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26"/>
      <c r="AH128" s="226"/>
      <c r="AI128" s="226"/>
      <c r="AJ128" s="226"/>
      <c r="AK128" s="226"/>
      <c r="AL128" s="226"/>
      <c r="AM128" s="226"/>
      <c r="AN128" s="226"/>
      <c r="AO128" s="226"/>
      <c r="AP128" s="226"/>
      <c r="AQ128" s="226"/>
      <c r="AR128" s="226"/>
      <c r="AS128" s="226"/>
      <c r="AT128" s="226"/>
      <c r="AU128" s="226"/>
      <c r="AV128" s="226"/>
      <c r="AW128" s="226"/>
      <c r="AX128" s="226"/>
      <c r="AY128" s="226"/>
      <c r="AZ128" s="226"/>
      <c r="BA128" s="226"/>
      <c r="BB128" s="226"/>
    </row>
    <row r="129" customFormat="false" ht="12.75" hidden="false" customHeight="tru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26"/>
      <c r="AH129" s="226"/>
      <c r="AI129" s="226"/>
      <c r="AJ129" s="226"/>
      <c r="AK129" s="226"/>
      <c r="AL129" s="226"/>
      <c r="AM129" s="226"/>
      <c r="AN129" s="226"/>
      <c r="AO129" s="226"/>
      <c r="AP129" s="226"/>
      <c r="AQ129" s="226"/>
      <c r="AR129" s="226"/>
      <c r="AS129" s="226"/>
      <c r="AT129" s="226"/>
      <c r="AU129" s="226"/>
      <c r="AV129" s="226"/>
      <c r="AW129" s="226"/>
      <c r="AX129" s="226"/>
      <c r="AY129" s="226"/>
      <c r="AZ129" s="226"/>
      <c r="BA129" s="226"/>
      <c r="BB129" s="226"/>
    </row>
    <row r="130" customFormat="false" ht="12.75" hidden="false" customHeight="tru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26"/>
      <c r="AH130" s="226"/>
      <c r="AI130" s="226"/>
      <c r="AJ130" s="226"/>
      <c r="AK130" s="226"/>
      <c r="AL130" s="226"/>
      <c r="AM130" s="226"/>
      <c r="AN130" s="226"/>
      <c r="AO130" s="226"/>
      <c r="AP130" s="226"/>
      <c r="AQ130" s="226"/>
      <c r="AR130" s="226"/>
      <c r="AS130" s="226"/>
      <c r="AT130" s="226"/>
      <c r="AU130" s="226"/>
      <c r="AV130" s="226"/>
      <c r="AW130" s="226"/>
      <c r="AX130" s="226"/>
      <c r="AY130" s="226"/>
      <c r="AZ130" s="226"/>
      <c r="BA130" s="226"/>
      <c r="BB130" s="226"/>
    </row>
    <row r="131" customFormat="false" ht="12.75" hidden="false" customHeight="true" outlineLevel="0" collapsed="false">
      <c r="AD131" s="2"/>
      <c r="AE131" s="2"/>
      <c r="AF131" s="2"/>
      <c r="AG131" s="226"/>
      <c r="AH131" s="226"/>
      <c r="AI131" s="226"/>
      <c r="AJ131" s="226"/>
      <c r="AK131" s="226"/>
      <c r="AL131" s="226"/>
      <c r="AM131" s="226"/>
      <c r="AN131" s="226"/>
      <c r="AO131" s="226"/>
      <c r="AP131" s="226"/>
      <c r="AQ131" s="226"/>
      <c r="AR131" s="226"/>
      <c r="AS131" s="226"/>
      <c r="AT131" s="226"/>
      <c r="AU131" s="226"/>
      <c r="AV131" s="226"/>
      <c r="AW131" s="226"/>
      <c r="AX131" s="226"/>
      <c r="AY131" s="226"/>
      <c r="AZ131" s="226"/>
      <c r="BA131" s="226"/>
      <c r="BB131" s="226"/>
    </row>
    <row r="132" customFormat="false" ht="12.75" hidden="false" customHeight="true" outlineLevel="0" collapsed="false">
      <c r="AG132" s="226"/>
      <c r="AH132" s="226"/>
      <c r="AI132" s="226"/>
      <c r="AJ132" s="226"/>
      <c r="AK132" s="226"/>
      <c r="AL132" s="226"/>
      <c r="AM132" s="226"/>
      <c r="AN132" s="226"/>
      <c r="AO132" s="226"/>
      <c r="AP132" s="226"/>
      <c r="AQ132" s="226"/>
      <c r="AR132" s="226"/>
      <c r="AS132" s="226"/>
      <c r="AT132" s="226"/>
      <c r="AU132" s="226"/>
      <c r="AV132" s="226"/>
      <c r="AW132" s="226"/>
      <c r="AX132" s="226"/>
      <c r="AY132" s="226"/>
      <c r="AZ132" s="226"/>
      <c r="BA132" s="226"/>
      <c r="BB132" s="226"/>
    </row>
    <row r="133" customFormat="false" ht="12.75" hidden="false" customHeight="true" outlineLevel="0" collapsed="false">
      <c r="AG133" s="226"/>
      <c r="AH133" s="226"/>
      <c r="AI133" s="226"/>
      <c r="AJ133" s="226"/>
      <c r="AK133" s="226"/>
      <c r="AL133" s="226"/>
      <c r="AM133" s="226"/>
      <c r="AN133" s="226"/>
      <c r="AO133" s="226"/>
      <c r="AP133" s="226"/>
      <c r="AQ133" s="226"/>
      <c r="AR133" s="226"/>
      <c r="AS133" s="226"/>
      <c r="AT133" s="226"/>
      <c r="AU133" s="226"/>
      <c r="AV133" s="226"/>
      <c r="AW133" s="226"/>
      <c r="AX133" s="226"/>
      <c r="AY133" s="226"/>
      <c r="AZ133" s="226"/>
      <c r="BA133" s="226"/>
      <c r="BB133" s="226"/>
    </row>
    <row r="134" customFormat="false" ht="12.75" hidden="false" customHeight="true" outlineLevel="0" collapsed="false">
      <c r="AG134" s="226"/>
      <c r="AH134" s="226"/>
      <c r="AI134" s="226"/>
      <c r="AJ134" s="226"/>
      <c r="AK134" s="226"/>
      <c r="AL134" s="226"/>
      <c r="AM134" s="226"/>
      <c r="AN134" s="226"/>
      <c r="AO134" s="226"/>
      <c r="AP134" s="226"/>
      <c r="AQ134" s="226"/>
      <c r="AR134" s="226"/>
      <c r="AS134" s="226"/>
      <c r="AT134" s="226"/>
      <c r="AU134" s="226"/>
      <c r="AV134" s="226"/>
      <c r="AW134" s="226"/>
      <c r="AX134" s="226"/>
      <c r="AY134" s="226"/>
      <c r="AZ134" s="226"/>
      <c r="BA134" s="226"/>
      <c r="BB134" s="226"/>
    </row>
    <row r="135" customFormat="false" ht="12.75" hidden="false" customHeight="true" outlineLevel="0" collapsed="false">
      <c r="AG135" s="226"/>
      <c r="AH135" s="226"/>
      <c r="AI135" s="226"/>
      <c r="AJ135" s="226"/>
      <c r="AK135" s="226"/>
      <c r="AL135" s="226"/>
      <c r="AM135" s="226"/>
      <c r="AN135" s="226"/>
      <c r="AO135" s="226"/>
      <c r="AP135" s="226"/>
      <c r="AQ135" s="226"/>
      <c r="AR135" s="226"/>
      <c r="AS135" s="226"/>
      <c r="AT135" s="226"/>
      <c r="AU135" s="226"/>
      <c r="AV135" s="226"/>
      <c r="AW135" s="226"/>
      <c r="AX135" s="226"/>
      <c r="AY135" s="226"/>
      <c r="AZ135" s="226"/>
      <c r="BA135" s="226"/>
      <c r="BB135" s="226"/>
    </row>
    <row r="136" customFormat="false" ht="12.75" hidden="false" customHeight="true" outlineLevel="0" collapsed="false">
      <c r="AG136" s="226"/>
      <c r="AH136" s="226"/>
      <c r="AI136" s="226"/>
      <c r="AJ136" s="226"/>
      <c r="AK136" s="226"/>
      <c r="AL136" s="226"/>
      <c r="AM136" s="226"/>
      <c r="AN136" s="226"/>
      <c r="AO136" s="226"/>
      <c r="AP136" s="226"/>
      <c r="AQ136" s="226"/>
      <c r="AR136" s="226"/>
      <c r="AS136" s="226"/>
      <c r="AT136" s="226"/>
      <c r="AU136" s="226"/>
      <c r="AV136" s="226"/>
      <c r="AW136" s="226"/>
      <c r="AX136" s="226"/>
      <c r="AY136" s="226"/>
      <c r="AZ136" s="226"/>
      <c r="BA136" s="226"/>
      <c r="BB136" s="226"/>
    </row>
    <row r="137" customFormat="false" ht="12.75" hidden="false" customHeight="true" outlineLevel="0" collapsed="false">
      <c r="AG137" s="226"/>
      <c r="AH137" s="226"/>
      <c r="AI137" s="226"/>
      <c r="AJ137" s="226"/>
      <c r="AK137" s="226"/>
      <c r="AL137" s="226"/>
      <c r="AM137" s="226"/>
      <c r="AN137" s="226"/>
      <c r="AO137" s="226"/>
      <c r="AP137" s="226"/>
      <c r="AQ137" s="226"/>
      <c r="AR137" s="226"/>
      <c r="AS137" s="226"/>
      <c r="AT137" s="226"/>
      <c r="AU137" s="226"/>
      <c r="AV137" s="226"/>
      <c r="AW137" s="226"/>
      <c r="AX137" s="226"/>
      <c r="AY137" s="226"/>
      <c r="AZ137" s="226"/>
      <c r="BA137" s="226"/>
      <c r="BB137" s="226"/>
    </row>
    <row r="138" customFormat="false" ht="12.75" hidden="false" customHeight="true" outlineLevel="0" collapsed="false">
      <c r="AG138" s="226"/>
      <c r="AH138" s="226"/>
      <c r="AI138" s="226"/>
      <c r="AJ138" s="226"/>
      <c r="AK138" s="226"/>
      <c r="AL138" s="226"/>
      <c r="AM138" s="226"/>
      <c r="AN138" s="226"/>
      <c r="AO138" s="226"/>
      <c r="AP138" s="226"/>
      <c r="AQ138" s="226"/>
      <c r="AR138" s="226"/>
      <c r="AS138" s="226"/>
      <c r="AT138" s="226"/>
      <c r="AU138" s="226"/>
      <c r="AV138" s="226"/>
      <c r="AW138" s="226"/>
      <c r="AX138" s="226"/>
      <c r="AY138" s="226"/>
      <c r="AZ138" s="226"/>
      <c r="BA138" s="226"/>
      <c r="BB138" s="226"/>
    </row>
    <row r="139" customFormat="false" ht="12.75" hidden="false" customHeight="true" outlineLevel="0" collapsed="false">
      <c r="AG139" s="226"/>
      <c r="AH139" s="226"/>
      <c r="AI139" s="226"/>
      <c r="AJ139" s="226"/>
      <c r="AK139" s="226"/>
      <c r="AL139" s="226"/>
      <c r="AM139" s="226"/>
      <c r="AN139" s="226"/>
      <c r="AO139" s="226"/>
      <c r="AP139" s="226"/>
      <c r="AQ139" s="226"/>
      <c r="AR139" s="226"/>
      <c r="AS139" s="226"/>
      <c r="AT139" s="226"/>
      <c r="AU139" s="226"/>
      <c r="AV139" s="226"/>
      <c r="AW139" s="226"/>
      <c r="AX139" s="226"/>
      <c r="AY139" s="226"/>
      <c r="AZ139" s="226"/>
      <c r="BA139" s="226"/>
      <c r="BB139" s="226"/>
    </row>
    <row r="140" customFormat="false" ht="12.75" hidden="false" customHeight="true" outlineLevel="0" collapsed="false">
      <c r="AG140" s="226"/>
      <c r="AH140" s="226"/>
      <c r="AI140" s="226"/>
      <c r="AJ140" s="226"/>
      <c r="AK140" s="226"/>
      <c r="AL140" s="226"/>
      <c r="AM140" s="226"/>
      <c r="AN140" s="226"/>
      <c r="AO140" s="226"/>
      <c r="AP140" s="226"/>
      <c r="AQ140" s="226"/>
      <c r="AR140" s="226"/>
      <c r="AS140" s="226"/>
      <c r="AT140" s="226"/>
      <c r="AU140" s="226"/>
      <c r="AV140" s="226"/>
      <c r="AW140" s="226"/>
      <c r="AX140" s="226"/>
      <c r="AY140" s="226"/>
      <c r="AZ140" s="226"/>
      <c r="BA140" s="226"/>
      <c r="BB140" s="226"/>
    </row>
    <row r="141" customFormat="false" ht="12.75" hidden="false" customHeight="true" outlineLevel="0" collapsed="false">
      <c r="AG141" s="226"/>
      <c r="AH141" s="226"/>
      <c r="AI141" s="226"/>
      <c r="AJ141" s="226"/>
      <c r="AK141" s="226"/>
      <c r="AL141" s="226"/>
      <c r="AM141" s="226"/>
      <c r="AN141" s="226"/>
      <c r="AO141" s="226"/>
      <c r="AP141" s="226"/>
      <c r="AQ141" s="226"/>
      <c r="AR141" s="226"/>
      <c r="AS141" s="226"/>
      <c r="AT141" s="226"/>
      <c r="AU141" s="226"/>
      <c r="AV141" s="226"/>
      <c r="AW141" s="226"/>
      <c r="AX141" s="226"/>
      <c r="AY141" s="226"/>
      <c r="AZ141" s="226"/>
      <c r="BA141" s="226"/>
      <c r="BB141" s="226"/>
    </row>
    <row r="142" customFormat="false" ht="12.75" hidden="false" customHeight="true" outlineLevel="0" collapsed="false">
      <c r="AG142" s="226"/>
      <c r="AH142" s="226"/>
      <c r="AI142" s="226"/>
      <c r="AJ142" s="226"/>
      <c r="AK142" s="226"/>
      <c r="AL142" s="226"/>
      <c r="AM142" s="226"/>
      <c r="AN142" s="226"/>
      <c r="AO142" s="226"/>
      <c r="AP142" s="226"/>
      <c r="AQ142" s="226"/>
      <c r="AR142" s="226"/>
      <c r="AS142" s="226"/>
      <c r="AT142" s="226"/>
      <c r="AU142" s="226"/>
      <c r="AV142" s="226"/>
      <c r="AW142" s="226"/>
      <c r="AX142" s="226"/>
      <c r="AY142" s="226"/>
      <c r="AZ142" s="226"/>
      <c r="BA142" s="226"/>
      <c r="BB142" s="226"/>
    </row>
    <row r="143" customFormat="false" ht="12.75" hidden="false" customHeight="true" outlineLevel="0" collapsed="false">
      <c r="AG143" s="226"/>
      <c r="AH143" s="226"/>
      <c r="AI143" s="226"/>
      <c r="AJ143" s="226"/>
      <c r="AK143" s="226"/>
      <c r="AL143" s="226"/>
      <c r="AM143" s="226"/>
      <c r="AN143" s="226"/>
      <c r="AO143" s="226"/>
      <c r="AP143" s="226"/>
      <c r="AQ143" s="226"/>
      <c r="AR143" s="226"/>
      <c r="AS143" s="226"/>
      <c r="AT143" s="226"/>
      <c r="AU143" s="226"/>
      <c r="AV143" s="226"/>
      <c r="AW143" s="226"/>
      <c r="AX143" s="226"/>
      <c r="AY143" s="226"/>
      <c r="AZ143" s="226"/>
      <c r="BA143" s="226"/>
      <c r="BB143" s="226"/>
    </row>
    <row r="144" customFormat="false" ht="12.75" hidden="false" customHeight="true" outlineLevel="0" collapsed="false">
      <c r="AG144" s="226"/>
      <c r="AH144" s="226"/>
      <c r="AI144" s="226"/>
      <c r="AJ144" s="226"/>
      <c r="AK144" s="226"/>
      <c r="AL144" s="226"/>
      <c r="AM144" s="226"/>
      <c r="AN144" s="226"/>
      <c r="AO144" s="226"/>
      <c r="AP144" s="226"/>
      <c r="AQ144" s="226"/>
      <c r="AR144" s="226"/>
      <c r="AS144" s="226"/>
      <c r="AT144" s="226"/>
      <c r="AU144" s="226"/>
      <c r="AV144" s="226"/>
      <c r="AW144" s="226"/>
      <c r="AX144" s="226"/>
      <c r="AY144" s="226"/>
      <c r="AZ144" s="226"/>
      <c r="BA144" s="226"/>
      <c r="BB144" s="226"/>
    </row>
    <row r="145" customFormat="false" ht="12.75" hidden="false" customHeight="true" outlineLevel="0" collapsed="false">
      <c r="AG145" s="226"/>
      <c r="AH145" s="226"/>
      <c r="AI145" s="226"/>
      <c r="AJ145" s="226"/>
      <c r="AK145" s="226"/>
      <c r="AL145" s="226"/>
      <c r="AM145" s="226"/>
      <c r="AN145" s="226"/>
      <c r="AO145" s="226"/>
      <c r="AP145" s="226"/>
      <c r="AQ145" s="226"/>
      <c r="AR145" s="226"/>
      <c r="AS145" s="226"/>
      <c r="AT145" s="226"/>
      <c r="AU145" s="226"/>
      <c r="AV145" s="226"/>
      <c r="AW145" s="226"/>
      <c r="AX145" s="226"/>
      <c r="AY145" s="226"/>
      <c r="AZ145" s="226"/>
      <c r="BA145" s="226"/>
      <c r="BB145" s="226"/>
    </row>
    <row r="146" customFormat="false" ht="12.75" hidden="false" customHeight="true" outlineLevel="0" collapsed="false">
      <c r="AG146" s="226"/>
      <c r="AH146" s="226"/>
      <c r="AI146" s="226"/>
      <c r="AJ146" s="226"/>
      <c r="AK146" s="226"/>
      <c r="AL146" s="226"/>
      <c r="AM146" s="226"/>
      <c r="AN146" s="226"/>
      <c r="AO146" s="226"/>
      <c r="AP146" s="226"/>
      <c r="AQ146" s="226"/>
      <c r="AR146" s="226"/>
      <c r="AS146" s="226"/>
      <c r="AT146" s="226"/>
      <c r="AU146" s="226"/>
      <c r="AV146" s="226"/>
      <c r="AW146" s="226"/>
      <c r="AX146" s="226"/>
      <c r="AY146" s="226"/>
      <c r="AZ146" s="226"/>
      <c r="BA146" s="226"/>
      <c r="BB146" s="226"/>
    </row>
    <row r="147" customFormat="false" ht="12.75" hidden="false" customHeight="true" outlineLevel="0" collapsed="false">
      <c r="AG147" s="226"/>
      <c r="AH147" s="226"/>
      <c r="AI147" s="226"/>
      <c r="AJ147" s="226"/>
      <c r="AK147" s="226"/>
      <c r="AL147" s="226"/>
      <c r="AM147" s="226"/>
      <c r="AN147" s="226"/>
      <c r="AO147" s="226"/>
      <c r="AP147" s="226"/>
      <c r="AQ147" s="226"/>
      <c r="AR147" s="226"/>
      <c r="AS147" s="226"/>
      <c r="AT147" s="226"/>
      <c r="AU147" s="226"/>
      <c r="AV147" s="226"/>
      <c r="AW147" s="226"/>
      <c r="AX147" s="226"/>
      <c r="AY147" s="226"/>
      <c r="AZ147" s="226"/>
      <c r="BA147" s="226"/>
      <c r="BB147" s="226"/>
    </row>
    <row r="148" customFormat="false" ht="12.75" hidden="false" customHeight="true" outlineLevel="0" collapsed="false">
      <c r="AG148" s="226"/>
      <c r="AH148" s="226"/>
      <c r="AI148" s="226"/>
      <c r="AJ148" s="226"/>
      <c r="AK148" s="226"/>
      <c r="AL148" s="226"/>
      <c r="AM148" s="226"/>
      <c r="AN148" s="226"/>
      <c r="AO148" s="226"/>
      <c r="AP148" s="226"/>
      <c r="AQ148" s="226"/>
      <c r="AR148" s="226"/>
      <c r="AS148" s="226"/>
      <c r="AT148" s="226"/>
      <c r="AU148" s="226"/>
      <c r="AV148" s="226"/>
      <c r="AW148" s="226"/>
      <c r="AX148" s="226"/>
      <c r="AY148" s="226"/>
      <c r="AZ148" s="226"/>
      <c r="BA148" s="226"/>
      <c r="BB148" s="226"/>
    </row>
    <row r="149" customFormat="false" ht="12.75" hidden="false" customHeight="true" outlineLevel="0" collapsed="false"/>
    <row r="150" customFormat="false" ht="12.75" hidden="false" customHeight="true" outlineLevel="0" collapsed="false"/>
    <row r="151" customFormat="false" ht="12.75" hidden="false" customHeight="true" outlineLevel="0" collapsed="false"/>
    <row r="152" customFormat="false" ht="12.75" hidden="false" customHeight="true" outlineLevel="0" collapsed="false"/>
    <row r="153" customFormat="false" ht="12.75" hidden="false" customHeight="true" outlineLevel="0" collapsed="false"/>
    <row r="154" customFormat="false" ht="12.75" hidden="false" customHeight="true" outlineLevel="0" collapsed="false"/>
    <row r="155" customFormat="false" ht="12.75" hidden="false" customHeight="true" outlineLevel="0" collapsed="false"/>
    <row r="156" customFormat="false" ht="12.75" hidden="false" customHeight="true" outlineLevel="0" collapsed="false"/>
    <row r="157" customFormat="false" ht="12.75" hidden="false" customHeight="true" outlineLevel="0" collapsed="false"/>
    <row r="158" customFormat="false" ht="12.75" hidden="false" customHeight="true" outlineLevel="0" collapsed="false"/>
    <row r="159" customFormat="false" ht="12.75" hidden="false" customHeight="true" outlineLevel="0" collapsed="false"/>
    <row r="160" customFormat="false" ht="12.75" hidden="false" customHeight="true" outlineLevel="0" collapsed="false"/>
    <row r="161" customFormat="false" ht="12.75" hidden="false" customHeight="true" outlineLevel="0" collapsed="false"/>
    <row r="162" customFormat="false" ht="12.75" hidden="false" customHeight="true" outlineLevel="0" collapsed="false"/>
    <row r="163" customFormat="false" ht="12.75" hidden="false" customHeight="true" outlineLevel="0" collapsed="false"/>
    <row r="164" customFormat="false" ht="12.75" hidden="false" customHeight="true" outlineLevel="0" collapsed="false"/>
    <row r="165" customFormat="false" ht="12.75" hidden="false" customHeight="true" outlineLevel="0" collapsed="false"/>
    <row r="166" customFormat="false" ht="12.75" hidden="false" customHeight="true" outlineLevel="0" collapsed="false"/>
    <row r="167" customFormat="false" ht="12.75" hidden="false" customHeight="true" outlineLevel="0" collapsed="false"/>
    <row r="168" customFormat="false" ht="12.75" hidden="false" customHeight="true" outlineLevel="0" collapsed="false"/>
    <row r="169" customFormat="false" ht="12.75" hidden="false" customHeight="true" outlineLevel="0" collapsed="false"/>
    <row r="170" customFormat="false" ht="12.75" hidden="false" customHeight="true" outlineLevel="0" collapsed="false"/>
    <row r="171" customFormat="false" ht="12.75" hidden="false" customHeight="true" outlineLevel="0" collapsed="false"/>
    <row r="172" customFormat="false" ht="12.75" hidden="false" customHeight="true" outlineLevel="0" collapsed="false"/>
    <row r="173" customFormat="false" ht="12.75" hidden="false" customHeight="true" outlineLevel="0" collapsed="false"/>
    <row r="174" customFormat="false" ht="12.75" hidden="false" customHeight="true" outlineLevel="0" collapsed="false"/>
    <row r="175" customFormat="false" ht="12.75" hidden="false" customHeight="true" outlineLevel="0" collapsed="false"/>
    <row r="176" customFormat="false" ht="12.75" hidden="false" customHeight="true" outlineLevel="0" collapsed="false"/>
    <row r="177" customFormat="false" ht="12.75" hidden="false" customHeight="true" outlineLevel="0" collapsed="false"/>
    <row r="178" customFormat="false" ht="12.75" hidden="false" customHeight="true" outlineLevel="0" collapsed="false"/>
    <row r="179" customFormat="false" ht="12.75" hidden="false" customHeight="true" outlineLevel="0" collapsed="false"/>
    <row r="180" customFormat="false" ht="12.75" hidden="false" customHeight="true" outlineLevel="0" collapsed="false"/>
    <row r="181" customFormat="false" ht="12.75" hidden="false" customHeight="true" outlineLevel="0" collapsed="false"/>
    <row r="182" customFormat="false" ht="12.75" hidden="false" customHeight="true" outlineLevel="0" collapsed="false"/>
    <row r="183" customFormat="false" ht="12.75" hidden="false" customHeight="true" outlineLevel="0" collapsed="false"/>
    <row r="184" customFormat="false" ht="12.75" hidden="false" customHeight="true" outlineLevel="0" collapsed="false"/>
    <row r="185" customFormat="false" ht="12.75" hidden="false" customHeight="true" outlineLevel="0" collapsed="false"/>
    <row r="186" customFormat="false" ht="12.75" hidden="false" customHeight="true" outlineLevel="0" collapsed="false"/>
    <row r="187" customFormat="false" ht="12.75" hidden="false" customHeight="true" outlineLevel="0" collapsed="false"/>
    <row r="188" customFormat="false" ht="12.75" hidden="false" customHeight="true" outlineLevel="0" collapsed="false"/>
    <row r="189" customFormat="false" ht="12.75" hidden="false" customHeight="true" outlineLevel="0" collapsed="false"/>
    <row r="190" customFormat="false" ht="12.75" hidden="false" customHeight="true" outlineLevel="0" collapsed="false"/>
    <row r="191" customFormat="false" ht="12.75" hidden="false" customHeight="true" outlineLevel="0" collapsed="false"/>
    <row r="192" customFormat="false" ht="12.75" hidden="false" customHeight="true" outlineLevel="0" collapsed="false"/>
    <row r="193" customFormat="false" ht="12.75" hidden="false" customHeight="true" outlineLevel="0" collapsed="false"/>
    <row r="194" customFormat="false" ht="12.75" hidden="false" customHeight="true" outlineLevel="0" collapsed="false"/>
    <row r="195" customFormat="false" ht="12.75" hidden="false" customHeight="true" outlineLevel="0" collapsed="false"/>
    <row r="196" customFormat="false" ht="12.75" hidden="false" customHeight="true" outlineLevel="0" collapsed="false"/>
    <row r="197" customFormat="false" ht="12.75" hidden="false" customHeight="true" outlineLevel="0" collapsed="false"/>
    <row r="198" customFormat="false" ht="12.75" hidden="false" customHeight="true" outlineLevel="0" collapsed="false"/>
    <row r="199" customFormat="false" ht="12.75" hidden="false" customHeight="true" outlineLevel="0" collapsed="false"/>
    <row r="200" customFormat="false" ht="12.75" hidden="false" customHeight="true" outlineLevel="0" collapsed="false"/>
    <row r="201" customFormat="false" ht="12.75" hidden="false" customHeight="true" outlineLevel="0" collapsed="false"/>
    <row r="202" customFormat="false" ht="12.75" hidden="false" customHeight="true" outlineLevel="0" collapsed="false"/>
    <row r="203" customFormat="false" ht="12.75" hidden="false" customHeight="true" outlineLevel="0" collapsed="false"/>
    <row r="204" customFormat="false" ht="12.75" hidden="false" customHeight="true" outlineLevel="0" collapsed="false"/>
    <row r="205" customFormat="false" ht="12.75" hidden="false" customHeight="true" outlineLevel="0" collapsed="false"/>
    <row r="206" customFormat="false" ht="12.75" hidden="false" customHeight="true" outlineLevel="0" collapsed="false"/>
    <row r="207" customFormat="false" ht="12.75" hidden="false" customHeight="true" outlineLevel="0" collapsed="false"/>
    <row r="208" customFormat="false" ht="12.75" hidden="false" customHeight="true" outlineLevel="0" collapsed="false"/>
    <row r="209" customFormat="false" ht="12.75" hidden="false" customHeight="true" outlineLevel="0" collapsed="false"/>
    <row r="210" customFormat="false" ht="12.75" hidden="false" customHeight="true" outlineLevel="0" collapsed="false"/>
    <row r="211" customFormat="false" ht="12.75" hidden="false" customHeight="true" outlineLevel="0" collapsed="false"/>
    <row r="212" customFormat="false" ht="12.75" hidden="false" customHeight="true" outlineLevel="0" collapsed="false"/>
    <row r="213" customFormat="false" ht="12.75" hidden="false" customHeight="true" outlineLevel="0" collapsed="false"/>
    <row r="214" customFormat="false" ht="12.75" hidden="false" customHeight="true" outlineLevel="0" collapsed="false"/>
    <row r="215" customFormat="false" ht="12.75" hidden="false" customHeight="true" outlineLevel="0" collapsed="false"/>
    <row r="216" customFormat="false" ht="12.75" hidden="false" customHeight="true" outlineLevel="0" collapsed="false"/>
    <row r="217" customFormat="false" ht="12.75" hidden="false" customHeight="true" outlineLevel="0" collapsed="false"/>
    <row r="218" customFormat="false" ht="12.75" hidden="false" customHeight="true" outlineLevel="0" collapsed="false"/>
    <row r="219" customFormat="false" ht="12.75" hidden="false" customHeight="true" outlineLevel="0" collapsed="false"/>
    <row r="220" customFormat="false" ht="12.75" hidden="false" customHeight="true" outlineLevel="0" collapsed="false"/>
    <row r="221" customFormat="false" ht="12.75" hidden="false" customHeight="true" outlineLevel="0" collapsed="false"/>
    <row r="222" customFormat="false" ht="12.75" hidden="false" customHeight="true" outlineLevel="0" collapsed="false"/>
    <row r="223" customFormat="false" ht="12.75" hidden="false" customHeight="true" outlineLevel="0" collapsed="false"/>
    <row r="224" customFormat="false" ht="12.75" hidden="false" customHeight="true" outlineLevel="0" collapsed="false"/>
    <row r="225" customFormat="false" ht="12.75" hidden="false" customHeight="true" outlineLevel="0" collapsed="false"/>
    <row r="226" customFormat="false" ht="12.75" hidden="false" customHeight="true" outlineLevel="0" collapsed="false"/>
    <row r="227" customFormat="false" ht="12.75" hidden="false" customHeight="true" outlineLevel="0" collapsed="false"/>
    <row r="228" customFormat="false" ht="12.75" hidden="false" customHeight="true" outlineLevel="0" collapsed="false"/>
    <row r="229" customFormat="false" ht="12.75" hidden="false" customHeight="true" outlineLevel="0" collapsed="false"/>
    <row r="230" customFormat="false" ht="12.75" hidden="false" customHeight="true" outlineLevel="0" collapsed="false"/>
    <row r="231" customFormat="false" ht="12.75" hidden="false" customHeight="true" outlineLevel="0" collapsed="false"/>
    <row r="232" customFormat="false" ht="12.75" hidden="false" customHeight="true" outlineLevel="0" collapsed="false"/>
    <row r="233" customFormat="false" ht="12.75" hidden="false" customHeight="true" outlineLevel="0" collapsed="false"/>
    <row r="234" customFormat="false" ht="12.75" hidden="false" customHeight="true" outlineLevel="0" collapsed="false"/>
    <row r="235" customFormat="false" ht="12.75" hidden="false" customHeight="true" outlineLevel="0" collapsed="false"/>
    <row r="236" customFormat="false" ht="12.75" hidden="false" customHeight="true" outlineLevel="0" collapsed="false"/>
    <row r="237" customFormat="false" ht="12.75" hidden="false" customHeight="true" outlineLevel="0" collapsed="false"/>
    <row r="238" customFormat="false" ht="12.75" hidden="false" customHeight="true" outlineLevel="0" collapsed="false"/>
    <row r="239" customFormat="false" ht="12.75" hidden="false" customHeight="true" outlineLevel="0" collapsed="false"/>
    <row r="240" customFormat="false" ht="12.75" hidden="false" customHeight="true" outlineLevel="0" collapsed="false"/>
    <row r="241" customFormat="false" ht="12.75" hidden="false" customHeight="true" outlineLevel="0" collapsed="false"/>
    <row r="242" customFormat="false" ht="12.75" hidden="false" customHeight="true" outlineLevel="0" collapsed="false"/>
    <row r="243" customFormat="false" ht="12.75" hidden="false" customHeight="true" outlineLevel="0" collapsed="false"/>
    <row r="244" customFormat="false" ht="12.75" hidden="false" customHeight="true" outlineLevel="0" collapsed="false"/>
    <row r="245" customFormat="false" ht="12.75" hidden="false" customHeight="true" outlineLevel="0" collapsed="false"/>
    <row r="246" customFormat="false" ht="12.75" hidden="false" customHeight="true" outlineLevel="0" collapsed="false"/>
    <row r="247" customFormat="false" ht="12.75" hidden="false" customHeight="true" outlineLevel="0" collapsed="false"/>
    <row r="248" customFormat="false" ht="12.75" hidden="false" customHeight="true" outlineLevel="0" collapsed="false"/>
    <row r="249" customFormat="false" ht="12.75" hidden="false" customHeight="true" outlineLevel="0" collapsed="false"/>
    <row r="250" customFormat="false" ht="12.75" hidden="false" customHeight="true" outlineLevel="0" collapsed="false"/>
    <row r="251" customFormat="false" ht="12.75" hidden="false" customHeight="true" outlineLevel="0" collapsed="false"/>
    <row r="252" customFormat="false" ht="12.75" hidden="false" customHeight="true" outlineLevel="0" collapsed="false"/>
    <row r="253" customFormat="false" ht="12.75" hidden="false" customHeight="true" outlineLevel="0" collapsed="false"/>
    <row r="254" customFormat="false" ht="12.75" hidden="false" customHeight="true" outlineLevel="0" collapsed="false"/>
    <row r="255" customFormat="false" ht="12.75" hidden="false" customHeight="true" outlineLevel="0" collapsed="false"/>
    <row r="256" customFormat="false" ht="12.75" hidden="false" customHeight="true" outlineLevel="0" collapsed="false"/>
    <row r="257" customFormat="false" ht="12.75" hidden="false" customHeight="true" outlineLevel="0" collapsed="false"/>
    <row r="258" customFormat="false" ht="12.75" hidden="false" customHeight="true" outlineLevel="0" collapsed="false"/>
    <row r="259" customFormat="false" ht="12.75" hidden="false" customHeight="true" outlineLevel="0" collapsed="false"/>
    <row r="260" customFormat="false" ht="12.75" hidden="false" customHeight="true" outlineLevel="0" collapsed="false"/>
    <row r="261" customFormat="false" ht="12.75" hidden="false" customHeight="true" outlineLevel="0" collapsed="false"/>
    <row r="262" customFormat="false" ht="12.75" hidden="false" customHeight="true" outlineLevel="0" collapsed="false"/>
    <row r="263" customFormat="false" ht="12.75" hidden="false" customHeight="true" outlineLevel="0" collapsed="false"/>
    <row r="264" customFormat="false" ht="12.75" hidden="false" customHeight="true" outlineLevel="0" collapsed="false"/>
    <row r="265" customFormat="false" ht="12.75" hidden="false" customHeight="true" outlineLevel="0" collapsed="false"/>
    <row r="266" customFormat="false" ht="12.75" hidden="false" customHeight="true" outlineLevel="0" collapsed="false"/>
    <row r="267" customFormat="false" ht="12.75" hidden="false" customHeight="true" outlineLevel="0" collapsed="false"/>
    <row r="268" customFormat="false" ht="12.75" hidden="false" customHeight="true" outlineLevel="0" collapsed="false"/>
    <row r="269" customFormat="false" ht="12.75" hidden="false" customHeight="true" outlineLevel="0" collapsed="false"/>
    <row r="270" customFormat="false" ht="12.75" hidden="false" customHeight="true" outlineLevel="0" collapsed="false"/>
    <row r="271" customFormat="false" ht="12.75" hidden="false" customHeight="true" outlineLevel="0" collapsed="false"/>
    <row r="272" customFormat="false" ht="12.75" hidden="false" customHeight="true" outlineLevel="0" collapsed="false"/>
    <row r="273" customFormat="false" ht="12.75" hidden="false" customHeight="true" outlineLevel="0" collapsed="false"/>
    <row r="274" customFormat="false" ht="12.75" hidden="false" customHeight="true" outlineLevel="0" collapsed="false"/>
    <row r="275" customFormat="false" ht="12.75" hidden="false" customHeight="true" outlineLevel="0" collapsed="false"/>
    <row r="276" customFormat="false" ht="12.75" hidden="false" customHeight="true" outlineLevel="0" collapsed="false"/>
    <row r="277" customFormat="false" ht="12.75" hidden="false" customHeight="true" outlineLevel="0" collapsed="false"/>
    <row r="278" customFormat="false" ht="12.75" hidden="false" customHeight="true" outlineLevel="0" collapsed="false"/>
    <row r="279" customFormat="false" ht="12.75" hidden="false" customHeight="true" outlineLevel="0" collapsed="false"/>
    <row r="280" customFormat="false" ht="12.75" hidden="false" customHeight="true" outlineLevel="0" collapsed="false"/>
    <row r="281" customFormat="false" ht="12.75" hidden="false" customHeight="true" outlineLevel="0" collapsed="false"/>
    <row r="282" customFormat="false" ht="12.75" hidden="false" customHeight="true" outlineLevel="0" collapsed="false"/>
    <row r="283" customFormat="false" ht="12.75" hidden="false" customHeight="true" outlineLevel="0" collapsed="false"/>
    <row r="284" customFormat="false" ht="12.75" hidden="false" customHeight="true" outlineLevel="0" collapsed="false"/>
    <row r="285" customFormat="false" ht="12.75" hidden="false" customHeight="true" outlineLevel="0" collapsed="false"/>
    <row r="286" customFormat="false" ht="12.75" hidden="false" customHeight="true" outlineLevel="0" collapsed="false"/>
    <row r="287" customFormat="false" ht="12.75" hidden="false" customHeight="true" outlineLevel="0" collapsed="false"/>
    <row r="288" customFormat="false" ht="12.75" hidden="false" customHeight="true" outlineLevel="0" collapsed="false"/>
    <row r="289" customFormat="false" ht="12.75" hidden="false" customHeight="true" outlineLevel="0" collapsed="false"/>
    <row r="290" customFormat="false" ht="12.75" hidden="false" customHeight="true" outlineLevel="0" collapsed="false"/>
    <row r="291" customFormat="false" ht="12.75" hidden="false" customHeight="true" outlineLevel="0" collapsed="false"/>
    <row r="292" customFormat="false" ht="12.75" hidden="false" customHeight="true" outlineLevel="0" collapsed="false"/>
    <row r="293" customFormat="false" ht="12.75" hidden="false" customHeight="true" outlineLevel="0" collapsed="false"/>
    <row r="294" customFormat="false" ht="12.75" hidden="false" customHeight="true" outlineLevel="0" collapsed="false"/>
    <row r="295" customFormat="false" ht="12.75" hidden="false" customHeight="true" outlineLevel="0" collapsed="false"/>
    <row r="296" customFormat="false" ht="12.75" hidden="false" customHeight="true" outlineLevel="0" collapsed="false"/>
    <row r="297" customFormat="false" ht="12.75" hidden="false" customHeight="true" outlineLevel="0" collapsed="false"/>
    <row r="298" customFormat="false" ht="12.75" hidden="false" customHeight="true" outlineLevel="0" collapsed="false"/>
    <row r="299" customFormat="false" ht="12.75" hidden="false" customHeight="true" outlineLevel="0" collapsed="false"/>
    <row r="300" customFormat="false" ht="12.75" hidden="false" customHeight="true" outlineLevel="0" collapsed="false"/>
    <row r="301" customFormat="false" ht="12.75" hidden="false" customHeight="true" outlineLevel="0" collapsed="false"/>
    <row r="302" customFormat="false" ht="12.75" hidden="false" customHeight="true" outlineLevel="0" collapsed="false"/>
    <row r="303" customFormat="false" ht="12.75" hidden="false" customHeight="true" outlineLevel="0" collapsed="false"/>
    <row r="304" customFormat="false" ht="12.75" hidden="false" customHeight="true" outlineLevel="0" collapsed="false"/>
    <row r="305" customFormat="false" ht="12.75" hidden="false" customHeight="true" outlineLevel="0" collapsed="false"/>
    <row r="306" customFormat="false" ht="12.75" hidden="false" customHeight="true" outlineLevel="0" collapsed="false"/>
    <row r="307" customFormat="false" ht="12.75" hidden="false" customHeight="true" outlineLevel="0" collapsed="false"/>
    <row r="308" customFormat="false" ht="12.75" hidden="false" customHeight="true" outlineLevel="0" collapsed="false"/>
    <row r="309" customFormat="false" ht="12.75" hidden="false" customHeight="true" outlineLevel="0" collapsed="false"/>
    <row r="310" customFormat="false" ht="12.75" hidden="false" customHeight="true" outlineLevel="0" collapsed="false"/>
    <row r="311" customFormat="false" ht="12.75" hidden="false" customHeight="true" outlineLevel="0" collapsed="false"/>
    <row r="312" customFormat="false" ht="12.75" hidden="false" customHeight="true" outlineLevel="0" collapsed="false"/>
    <row r="313" customFormat="false" ht="12.75" hidden="false" customHeight="true" outlineLevel="0" collapsed="false"/>
    <row r="314" customFormat="false" ht="12.75" hidden="false" customHeight="true" outlineLevel="0" collapsed="false"/>
    <row r="315" customFormat="false" ht="12.75" hidden="false" customHeight="true" outlineLevel="0" collapsed="false"/>
    <row r="316" customFormat="false" ht="12.75" hidden="false" customHeight="true" outlineLevel="0" collapsed="false"/>
    <row r="317" customFormat="false" ht="12.75" hidden="false" customHeight="true" outlineLevel="0" collapsed="false"/>
    <row r="318" customFormat="false" ht="12.75" hidden="false" customHeight="true" outlineLevel="0" collapsed="false"/>
    <row r="319" customFormat="false" ht="12.75" hidden="false" customHeight="true" outlineLevel="0" collapsed="false"/>
    <row r="320" customFormat="false" ht="12.75" hidden="false" customHeight="true" outlineLevel="0" collapsed="false"/>
    <row r="321" customFormat="false" ht="12.75" hidden="false" customHeight="true" outlineLevel="0" collapsed="false"/>
    <row r="322" customFormat="false" ht="12.75" hidden="false" customHeight="true" outlineLevel="0" collapsed="false"/>
    <row r="323" customFormat="false" ht="12.75" hidden="false" customHeight="true" outlineLevel="0" collapsed="false"/>
    <row r="324" customFormat="false" ht="12.75" hidden="false" customHeight="true" outlineLevel="0" collapsed="false"/>
    <row r="325" customFormat="false" ht="12.75" hidden="false" customHeight="true" outlineLevel="0" collapsed="false"/>
    <row r="326" customFormat="false" ht="12.75" hidden="false" customHeight="true" outlineLevel="0" collapsed="false"/>
    <row r="327" customFormat="false" ht="12.75" hidden="false" customHeight="true" outlineLevel="0" collapsed="false"/>
    <row r="328" customFormat="false" ht="12.75" hidden="false" customHeight="true" outlineLevel="0" collapsed="false"/>
    <row r="329" customFormat="false" ht="12.75" hidden="false" customHeight="true" outlineLevel="0" collapsed="false"/>
    <row r="330" customFormat="false" ht="12.75" hidden="false" customHeight="true" outlineLevel="0" collapsed="false"/>
    <row r="331" customFormat="false" ht="12.75" hidden="false" customHeight="true" outlineLevel="0" collapsed="false"/>
    <row r="332" customFormat="false" ht="12.75" hidden="false" customHeight="true" outlineLevel="0" collapsed="false"/>
    <row r="333" customFormat="false" ht="12.75" hidden="false" customHeight="true" outlineLevel="0" collapsed="false"/>
    <row r="334" customFormat="false" ht="12.75" hidden="false" customHeight="true" outlineLevel="0" collapsed="false"/>
    <row r="335" customFormat="false" ht="12.75" hidden="false" customHeight="true" outlineLevel="0" collapsed="false"/>
    <row r="336" customFormat="false" ht="12.75" hidden="false" customHeight="true" outlineLevel="0" collapsed="false"/>
    <row r="337" customFormat="false" ht="12.75" hidden="false" customHeight="true" outlineLevel="0" collapsed="false"/>
    <row r="338" customFormat="false" ht="12.75" hidden="false" customHeight="true" outlineLevel="0" collapsed="false"/>
    <row r="339" customFormat="false" ht="12.75" hidden="false" customHeight="true" outlineLevel="0" collapsed="false"/>
    <row r="340" customFormat="false" ht="12.75" hidden="false" customHeight="true" outlineLevel="0" collapsed="false"/>
    <row r="341" customFormat="false" ht="12.75" hidden="false" customHeight="true" outlineLevel="0" collapsed="false"/>
    <row r="342" customFormat="false" ht="12.75" hidden="false" customHeight="true" outlineLevel="0" collapsed="false"/>
    <row r="343" customFormat="false" ht="12.75" hidden="false" customHeight="true" outlineLevel="0" collapsed="false"/>
    <row r="344" customFormat="false" ht="12.75" hidden="false" customHeight="true" outlineLevel="0" collapsed="false"/>
    <row r="345" customFormat="false" ht="12.75" hidden="false" customHeight="true" outlineLevel="0" collapsed="false"/>
    <row r="346" customFormat="false" ht="12.75" hidden="false" customHeight="true" outlineLevel="0" collapsed="false"/>
    <row r="347" customFormat="false" ht="12.75" hidden="false" customHeight="true" outlineLevel="0" collapsed="false"/>
    <row r="348" customFormat="false" ht="12.75" hidden="false" customHeight="true" outlineLevel="0" collapsed="false"/>
    <row r="349" customFormat="false" ht="12.75" hidden="false" customHeight="true" outlineLevel="0" collapsed="false"/>
    <row r="350" customFormat="false" ht="12.75" hidden="false" customHeight="true" outlineLevel="0" collapsed="false"/>
    <row r="351" customFormat="false" ht="12.75" hidden="false" customHeight="true" outlineLevel="0" collapsed="false"/>
    <row r="352" customFormat="false" ht="12.75" hidden="false" customHeight="true" outlineLevel="0" collapsed="false"/>
    <row r="353" customFormat="false" ht="12.75" hidden="false" customHeight="true" outlineLevel="0" collapsed="false"/>
    <row r="354" customFormat="false" ht="12.75" hidden="false" customHeight="true" outlineLevel="0" collapsed="false"/>
    <row r="355" customFormat="false" ht="12.75" hidden="false" customHeight="true" outlineLevel="0" collapsed="false"/>
    <row r="356" customFormat="false" ht="12.75" hidden="false" customHeight="true" outlineLevel="0" collapsed="false"/>
    <row r="357" customFormat="false" ht="12.75" hidden="false" customHeight="true" outlineLevel="0" collapsed="false"/>
    <row r="358" customFormat="false" ht="12.75" hidden="false" customHeight="true" outlineLevel="0" collapsed="false"/>
    <row r="359" customFormat="false" ht="12.75" hidden="false" customHeight="true" outlineLevel="0" collapsed="false"/>
    <row r="360" customFormat="false" ht="12.75" hidden="false" customHeight="true" outlineLevel="0" collapsed="false"/>
    <row r="361" customFormat="false" ht="12.75" hidden="false" customHeight="true" outlineLevel="0" collapsed="false"/>
    <row r="362" customFormat="false" ht="12.75" hidden="false" customHeight="true" outlineLevel="0" collapsed="false"/>
    <row r="363" customFormat="false" ht="12.75" hidden="false" customHeight="true" outlineLevel="0" collapsed="false"/>
    <row r="364" customFormat="false" ht="12.75" hidden="false" customHeight="true" outlineLevel="0" collapsed="false"/>
    <row r="365" customFormat="false" ht="12.75" hidden="false" customHeight="true" outlineLevel="0" collapsed="false"/>
    <row r="366" customFormat="false" ht="12.75" hidden="false" customHeight="true" outlineLevel="0" collapsed="false"/>
    <row r="367" customFormat="false" ht="12.75" hidden="false" customHeight="true" outlineLevel="0" collapsed="false"/>
    <row r="368" customFormat="false" ht="12.75" hidden="false" customHeight="true" outlineLevel="0" collapsed="false"/>
    <row r="369" customFormat="false" ht="12.75" hidden="false" customHeight="true" outlineLevel="0" collapsed="false"/>
    <row r="370" customFormat="false" ht="12.75" hidden="false" customHeight="true" outlineLevel="0" collapsed="false"/>
    <row r="371" customFormat="false" ht="12.75" hidden="false" customHeight="true" outlineLevel="0" collapsed="false"/>
    <row r="372" customFormat="false" ht="12.75" hidden="false" customHeight="true" outlineLevel="0" collapsed="false"/>
    <row r="373" customFormat="false" ht="12.75" hidden="false" customHeight="true" outlineLevel="0" collapsed="false"/>
    <row r="374" customFormat="false" ht="12.75" hidden="false" customHeight="true" outlineLevel="0" collapsed="false"/>
    <row r="375" customFormat="false" ht="12.75" hidden="false" customHeight="true" outlineLevel="0" collapsed="false"/>
    <row r="376" customFormat="false" ht="12.75" hidden="false" customHeight="true" outlineLevel="0" collapsed="false"/>
    <row r="377" customFormat="false" ht="12.75" hidden="false" customHeight="true" outlineLevel="0" collapsed="false"/>
    <row r="378" customFormat="false" ht="12.75" hidden="false" customHeight="true" outlineLevel="0" collapsed="false"/>
    <row r="379" customFormat="false" ht="12.75" hidden="false" customHeight="true" outlineLevel="0" collapsed="false"/>
    <row r="380" customFormat="false" ht="12.75" hidden="false" customHeight="true" outlineLevel="0" collapsed="false"/>
    <row r="381" customFormat="false" ht="12.75" hidden="false" customHeight="true" outlineLevel="0" collapsed="false"/>
    <row r="382" customFormat="false" ht="12.75" hidden="false" customHeight="true" outlineLevel="0" collapsed="false"/>
    <row r="383" customFormat="false" ht="12.75" hidden="false" customHeight="true" outlineLevel="0" collapsed="false"/>
    <row r="384" customFormat="false" ht="12.75" hidden="false" customHeight="true" outlineLevel="0" collapsed="false"/>
    <row r="385" customFormat="false" ht="12.75" hidden="false" customHeight="true" outlineLevel="0" collapsed="false"/>
    <row r="386" customFormat="false" ht="12.75" hidden="false" customHeight="true" outlineLevel="0" collapsed="false"/>
    <row r="387" customFormat="false" ht="12.75" hidden="false" customHeight="true" outlineLevel="0" collapsed="false"/>
    <row r="388" customFormat="false" ht="12.75" hidden="false" customHeight="true" outlineLevel="0" collapsed="false"/>
    <row r="389" customFormat="false" ht="12.75" hidden="false" customHeight="true" outlineLevel="0" collapsed="false"/>
    <row r="390" customFormat="false" ht="12.75" hidden="false" customHeight="true" outlineLevel="0" collapsed="false"/>
    <row r="391" customFormat="false" ht="12.75" hidden="false" customHeight="true" outlineLevel="0" collapsed="false"/>
    <row r="392" customFormat="false" ht="12.75" hidden="false" customHeight="true" outlineLevel="0" collapsed="false"/>
    <row r="393" customFormat="false" ht="12.75" hidden="false" customHeight="true" outlineLevel="0" collapsed="false"/>
    <row r="394" customFormat="false" ht="12.75" hidden="false" customHeight="true" outlineLevel="0" collapsed="false"/>
    <row r="395" customFormat="false" ht="12.75" hidden="false" customHeight="true" outlineLevel="0" collapsed="false"/>
    <row r="396" customFormat="false" ht="12.75" hidden="false" customHeight="true" outlineLevel="0" collapsed="false"/>
    <row r="397" customFormat="false" ht="12.75" hidden="false" customHeight="true" outlineLevel="0" collapsed="false"/>
    <row r="398" customFormat="false" ht="12.75" hidden="false" customHeight="true" outlineLevel="0" collapsed="false"/>
    <row r="399" customFormat="false" ht="12.75" hidden="false" customHeight="true" outlineLevel="0" collapsed="false"/>
    <row r="400" customFormat="false" ht="12.75" hidden="false" customHeight="true" outlineLevel="0" collapsed="false"/>
    <row r="401" customFormat="false" ht="12.75" hidden="false" customHeight="true" outlineLevel="0" collapsed="false"/>
    <row r="402" customFormat="false" ht="12.75" hidden="false" customHeight="true" outlineLevel="0" collapsed="false"/>
    <row r="403" customFormat="false" ht="12.75" hidden="false" customHeight="true" outlineLevel="0" collapsed="false"/>
    <row r="404" customFormat="false" ht="12.75" hidden="false" customHeight="true" outlineLevel="0" collapsed="false"/>
    <row r="405" customFormat="false" ht="12.75" hidden="false" customHeight="true" outlineLevel="0" collapsed="false"/>
    <row r="406" customFormat="false" ht="12.75" hidden="false" customHeight="true" outlineLevel="0" collapsed="false"/>
    <row r="407" customFormat="false" ht="12.75" hidden="false" customHeight="true" outlineLevel="0" collapsed="false"/>
    <row r="408" customFormat="false" ht="12.75" hidden="false" customHeight="true" outlineLevel="0" collapsed="false"/>
    <row r="409" customFormat="false" ht="12.75" hidden="false" customHeight="true" outlineLevel="0" collapsed="false"/>
    <row r="410" customFormat="false" ht="12.75" hidden="false" customHeight="true" outlineLevel="0" collapsed="false"/>
    <row r="411" customFormat="false" ht="12.75" hidden="false" customHeight="true" outlineLevel="0" collapsed="false"/>
    <row r="412" customFormat="false" ht="12.75" hidden="false" customHeight="true" outlineLevel="0" collapsed="false"/>
    <row r="413" customFormat="false" ht="12.75" hidden="false" customHeight="true" outlineLevel="0" collapsed="false"/>
    <row r="414" customFormat="false" ht="12.75" hidden="false" customHeight="true" outlineLevel="0" collapsed="false"/>
    <row r="415" customFormat="false" ht="12.75" hidden="false" customHeight="true" outlineLevel="0" collapsed="false"/>
    <row r="416" customFormat="false" ht="12.75" hidden="false" customHeight="true" outlineLevel="0" collapsed="false"/>
    <row r="417" customFormat="false" ht="12.75" hidden="false" customHeight="true" outlineLevel="0" collapsed="false"/>
    <row r="418" customFormat="false" ht="12.75" hidden="false" customHeight="true" outlineLevel="0" collapsed="false"/>
    <row r="419" customFormat="false" ht="12.75" hidden="false" customHeight="true" outlineLevel="0" collapsed="false"/>
    <row r="420" customFormat="false" ht="12.75" hidden="false" customHeight="true" outlineLevel="0" collapsed="false"/>
    <row r="421" customFormat="false" ht="12.75" hidden="false" customHeight="true" outlineLevel="0" collapsed="false"/>
    <row r="422" customFormat="false" ht="12.75" hidden="false" customHeight="true" outlineLevel="0" collapsed="false"/>
    <row r="423" customFormat="false" ht="12.75" hidden="false" customHeight="true" outlineLevel="0" collapsed="false"/>
    <row r="424" customFormat="false" ht="12.75" hidden="false" customHeight="true" outlineLevel="0" collapsed="false"/>
    <row r="425" customFormat="false" ht="12.75" hidden="false" customHeight="true" outlineLevel="0" collapsed="false"/>
    <row r="426" customFormat="false" ht="12.75" hidden="false" customHeight="true" outlineLevel="0" collapsed="false"/>
    <row r="427" customFormat="false" ht="12.75" hidden="false" customHeight="true" outlineLevel="0" collapsed="false"/>
    <row r="428" customFormat="false" ht="12.75" hidden="false" customHeight="true" outlineLevel="0" collapsed="false"/>
    <row r="429" customFormat="false" ht="12.75" hidden="false" customHeight="true" outlineLevel="0" collapsed="false"/>
    <row r="430" customFormat="false" ht="12.75" hidden="false" customHeight="true" outlineLevel="0" collapsed="false"/>
    <row r="431" customFormat="false" ht="12.75" hidden="false" customHeight="true" outlineLevel="0" collapsed="false"/>
    <row r="432" customFormat="false" ht="12.75" hidden="false" customHeight="true" outlineLevel="0" collapsed="false"/>
    <row r="433" customFormat="false" ht="12.75" hidden="false" customHeight="true" outlineLevel="0" collapsed="false"/>
    <row r="434" customFormat="false" ht="12.75" hidden="false" customHeight="true" outlineLevel="0" collapsed="false"/>
    <row r="435" customFormat="false" ht="12.75" hidden="false" customHeight="true" outlineLevel="0" collapsed="false"/>
    <row r="436" customFormat="false" ht="12.75" hidden="false" customHeight="true" outlineLevel="0" collapsed="false"/>
    <row r="437" customFormat="false" ht="12.75" hidden="false" customHeight="true" outlineLevel="0" collapsed="false"/>
    <row r="438" customFormat="false" ht="12.75" hidden="false" customHeight="true" outlineLevel="0" collapsed="false"/>
    <row r="439" customFormat="false" ht="12.75" hidden="false" customHeight="true" outlineLevel="0" collapsed="false"/>
    <row r="440" customFormat="false" ht="12.75" hidden="false" customHeight="true" outlineLevel="0" collapsed="false"/>
    <row r="441" customFormat="false" ht="12.75" hidden="false" customHeight="true" outlineLevel="0" collapsed="false"/>
    <row r="442" customFormat="false" ht="12.75" hidden="false" customHeight="true" outlineLevel="0" collapsed="false"/>
    <row r="443" customFormat="false" ht="12.75" hidden="false" customHeight="true" outlineLevel="0" collapsed="false"/>
    <row r="444" customFormat="false" ht="12.75" hidden="false" customHeight="true" outlineLevel="0" collapsed="false"/>
    <row r="445" customFormat="false" ht="12.75" hidden="false" customHeight="true" outlineLevel="0" collapsed="false"/>
    <row r="446" customFormat="false" ht="12.75" hidden="false" customHeight="true" outlineLevel="0" collapsed="false"/>
    <row r="447" customFormat="false" ht="12.75" hidden="false" customHeight="true" outlineLevel="0" collapsed="false"/>
    <row r="448" customFormat="false" ht="12.75" hidden="false" customHeight="true" outlineLevel="0" collapsed="false"/>
    <row r="449" customFormat="false" ht="12.75" hidden="false" customHeight="true" outlineLevel="0" collapsed="false"/>
    <row r="450" customFormat="false" ht="12.75" hidden="false" customHeight="true" outlineLevel="0" collapsed="false"/>
    <row r="451" customFormat="false" ht="12.75" hidden="false" customHeight="true" outlineLevel="0" collapsed="false"/>
    <row r="452" customFormat="false" ht="12.75" hidden="false" customHeight="true" outlineLevel="0" collapsed="false"/>
    <row r="453" customFormat="false" ht="12.75" hidden="false" customHeight="true" outlineLevel="0" collapsed="false"/>
    <row r="454" customFormat="false" ht="12.75" hidden="false" customHeight="true" outlineLevel="0" collapsed="false"/>
    <row r="455" customFormat="false" ht="12.75" hidden="false" customHeight="true" outlineLevel="0" collapsed="false"/>
    <row r="456" customFormat="false" ht="12.75" hidden="false" customHeight="true" outlineLevel="0" collapsed="false"/>
    <row r="457" customFormat="false" ht="12.75" hidden="false" customHeight="true" outlineLevel="0" collapsed="false"/>
    <row r="458" customFormat="false" ht="12.75" hidden="false" customHeight="true" outlineLevel="0" collapsed="false"/>
    <row r="459" customFormat="false" ht="12.75" hidden="false" customHeight="true" outlineLevel="0" collapsed="false"/>
    <row r="460" customFormat="false" ht="12.75" hidden="false" customHeight="true" outlineLevel="0" collapsed="false"/>
    <row r="461" customFormat="false" ht="12.75" hidden="false" customHeight="true" outlineLevel="0" collapsed="false"/>
    <row r="462" customFormat="false" ht="12.75" hidden="false" customHeight="true" outlineLevel="0" collapsed="false"/>
    <row r="463" customFormat="false" ht="12.75" hidden="false" customHeight="true" outlineLevel="0" collapsed="false"/>
    <row r="464" customFormat="false" ht="12.75" hidden="false" customHeight="true" outlineLevel="0" collapsed="false"/>
    <row r="465" customFormat="false" ht="12.75" hidden="false" customHeight="true" outlineLevel="0" collapsed="false"/>
    <row r="466" customFormat="false" ht="12.75" hidden="false" customHeight="true" outlineLevel="0" collapsed="false"/>
    <row r="467" customFormat="false" ht="12.75" hidden="false" customHeight="true" outlineLevel="0" collapsed="false"/>
    <row r="468" customFormat="false" ht="12.75" hidden="false" customHeight="true" outlineLevel="0" collapsed="false"/>
    <row r="469" customFormat="false" ht="12.75" hidden="false" customHeight="true" outlineLevel="0" collapsed="false"/>
    <row r="470" customFormat="false" ht="12.75" hidden="false" customHeight="true" outlineLevel="0" collapsed="false"/>
    <row r="471" customFormat="false" ht="12.75" hidden="false" customHeight="true" outlineLevel="0" collapsed="false"/>
    <row r="472" customFormat="false" ht="12.75" hidden="false" customHeight="true" outlineLevel="0" collapsed="false"/>
    <row r="473" customFormat="false" ht="12.75" hidden="false" customHeight="true" outlineLevel="0" collapsed="false"/>
    <row r="474" customFormat="false" ht="12.75" hidden="false" customHeight="true" outlineLevel="0" collapsed="false"/>
    <row r="475" customFormat="false" ht="12.75" hidden="false" customHeight="true" outlineLevel="0" collapsed="false"/>
    <row r="476" customFormat="false" ht="12.75" hidden="false" customHeight="true" outlineLevel="0" collapsed="false"/>
    <row r="477" customFormat="false" ht="12.75" hidden="false" customHeight="true" outlineLevel="0" collapsed="false"/>
    <row r="478" customFormat="false" ht="12.75" hidden="false" customHeight="true" outlineLevel="0" collapsed="false"/>
    <row r="479" customFormat="false" ht="12.75" hidden="false" customHeight="true" outlineLevel="0" collapsed="false"/>
    <row r="480" customFormat="false" ht="12.75" hidden="false" customHeight="true" outlineLevel="0" collapsed="false"/>
    <row r="481" customFormat="false" ht="12.75" hidden="false" customHeight="true" outlineLevel="0" collapsed="false"/>
    <row r="482" customFormat="false" ht="12.75" hidden="false" customHeight="true" outlineLevel="0" collapsed="false"/>
    <row r="483" customFormat="false" ht="12.75" hidden="false" customHeight="true" outlineLevel="0" collapsed="false"/>
    <row r="484" customFormat="false" ht="12.75" hidden="false" customHeight="true" outlineLevel="0" collapsed="false"/>
    <row r="485" customFormat="false" ht="12.75" hidden="false" customHeight="true" outlineLevel="0" collapsed="false"/>
    <row r="486" customFormat="false" ht="12.75" hidden="false" customHeight="true" outlineLevel="0" collapsed="false"/>
    <row r="487" customFormat="false" ht="12.75" hidden="false" customHeight="true" outlineLevel="0" collapsed="false"/>
    <row r="488" customFormat="false" ht="12.75" hidden="false" customHeight="true" outlineLevel="0" collapsed="false"/>
    <row r="489" customFormat="false" ht="12.75" hidden="false" customHeight="true" outlineLevel="0" collapsed="false"/>
    <row r="490" customFormat="false" ht="12.75" hidden="false" customHeight="true" outlineLevel="0" collapsed="false"/>
    <row r="491" customFormat="false" ht="12.75" hidden="false" customHeight="true" outlineLevel="0" collapsed="false"/>
    <row r="492" customFormat="false" ht="12.75" hidden="false" customHeight="true" outlineLevel="0" collapsed="false"/>
    <row r="493" customFormat="false" ht="12.75" hidden="false" customHeight="true" outlineLevel="0" collapsed="false"/>
    <row r="494" customFormat="false" ht="12.75" hidden="false" customHeight="true" outlineLevel="0" collapsed="false"/>
    <row r="495" customFormat="false" ht="12.75" hidden="false" customHeight="true" outlineLevel="0" collapsed="false"/>
    <row r="496" customFormat="false" ht="12.75" hidden="false" customHeight="true" outlineLevel="0" collapsed="false"/>
    <row r="497" customFormat="false" ht="12.75" hidden="false" customHeight="true" outlineLevel="0" collapsed="false"/>
    <row r="498" customFormat="false" ht="12.75" hidden="false" customHeight="true" outlineLevel="0" collapsed="false"/>
    <row r="499" customFormat="false" ht="12.75" hidden="false" customHeight="true" outlineLevel="0" collapsed="false"/>
    <row r="500" customFormat="false" ht="12.75" hidden="false" customHeight="true" outlineLevel="0" collapsed="false"/>
    <row r="501" customFormat="false" ht="12.75" hidden="false" customHeight="true" outlineLevel="0" collapsed="false"/>
    <row r="502" customFormat="false" ht="12.75" hidden="false" customHeight="true" outlineLevel="0" collapsed="false"/>
    <row r="503" customFormat="false" ht="12.75" hidden="false" customHeight="true" outlineLevel="0" collapsed="false"/>
    <row r="504" customFormat="false" ht="12.75" hidden="false" customHeight="true" outlineLevel="0" collapsed="false"/>
    <row r="505" customFormat="false" ht="12.75" hidden="false" customHeight="true" outlineLevel="0" collapsed="false"/>
    <row r="506" customFormat="false" ht="12.75" hidden="false" customHeight="true" outlineLevel="0" collapsed="false"/>
    <row r="507" customFormat="false" ht="12.75" hidden="false" customHeight="true" outlineLevel="0" collapsed="false"/>
    <row r="508" customFormat="false" ht="12.75" hidden="false" customHeight="true" outlineLevel="0" collapsed="false"/>
    <row r="509" customFormat="false" ht="12.75" hidden="false" customHeight="true" outlineLevel="0" collapsed="false"/>
    <row r="510" customFormat="false" ht="12.75" hidden="false" customHeight="true" outlineLevel="0" collapsed="false"/>
    <row r="511" customFormat="false" ht="12.75" hidden="false" customHeight="true" outlineLevel="0" collapsed="false"/>
    <row r="512" customFormat="false" ht="12.75" hidden="false" customHeight="true" outlineLevel="0" collapsed="false"/>
    <row r="513" customFormat="false" ht="12.75" hidden="false" customHeight="true" outlineLevel="0" collapsed="false"/>
    <row r="514" customFormat="false" ht="12.75" hidden="false" customHeight="true" outlineLevel="0" collapsed="false"/>
    <row r="515" customFormat="false" ht="12.75" hidden="false" customHeight="true" outlineLevel="0" collapsed="false"/>
    <row r="516" customFormat="false" ht="12.75" hidden="false" customHeight="true" outlineLevel="0" collapsed="false"/>
    <row r="517" customFormat="false" ht="12.75" hidden="false" customHeight="true" outlineLevel="0" collapsed="false"/>
    <row r="518" customFormat="false" ht="12.75" hidden="false" customHeight="true" outlineLevel="0" collapsed="false"/>
    <row r="519" customFormat="false" ht="12.75" hidden="false" customHeight="true" outlineLevel="0" collapsed="false"/>
    <row r="520" customFormat="false" ht="12.75" hidden="false" customHeight="true" outlineLevel="0" collapsed="false"/>
    <row r="521" customFormat="false" ht="12.75" hidden="false" customHeight="true" outlineLevel="0" collapsed="false"/>
    <row r="522" customFormat="false" ht="12.75" hidden="false" customHeight="true" outlineLevel="0" collapsed="false"/>
    <row r="523" customFormat="false" ht="12.75" hidden="false" customHeight="true" outlineLevel="0" collapsed="false"/>
    <row r="524" customFormat="false" ht="12.75" hidden="false" customHeight="true" outlineLevel="0" collapsed="false"/>
    <row r="525" customFormat="false" ht="12.75" hidden="false" customHeight="true" outlineLevel="0" collapsed="false"/>
    <row r="526" customFormat="false" ht="12.75" hidden="false" customHeight="true" outlineLevel="0" collapsed="false"/>
    <row r="527" customFormat="false" ht="12.75" hidden="false" customHeight="true" outlineLevel="0" collapsed="false"/>
    <row r="528" customFormat="false" ht="12.75" hidden="false" customHeight="true" outlineLevel="0" collapsed="false"/>
    <row r="529" customFormat="false" ht="12.75" hidden="false" customHeight="true" outlineLevel="0" collapsed="false"/>
    <row r="530" customFormat="false" ht="12.75" hidden="false" customHeight="true" outlineLevel="0" collapsed="false"/>
    <row r="531" customFormat="false" ht="12.75" hidden="false" customHeight="true" outlineLevel="0" collapsed="false"/>
    <row r="532" customFormat="false" ht="12.75" hidden="false" customHeight="true" outlineLevel="0" collapsed="false"/>
    <row r="533" customFormat="false" ht="12.75" hidden="false" customHeight="true" outlineLevel="0" collapsed="false"/>
    <row r="534" customFormat="false" ht="12.75" hidden="false" customHeight="true" outlineLevel="0" collapsed="false"/>
    <row r="535" customFormat="false" ht="12.75" hidden="false" customHeight="true" outlineLevel="0" collapsed="false"/>
    <row r="536" customFormat="false" ht="12.75" hidden="false" customHeight="true" outlineLevel="0" collapsed="false"/>
    <row r="537" customFormat="false" ht="12.75" hidden="false" customHeight="true" outlineLevel="0" collapsed="false"/>
    <row r="538" customFormat="false" ht="12.75" hidden="false" customHeight="true" outlineLevel="0" collapsed="false"/>
    <row r="539" customFormat="false" ht="12.75" hidden="false" customHeight="true" outlineLevel="0" collapsed="false"/>
    <row r="540" customFormat="false" ht="12.75" hidden="false" customHeight="true" outlineLevel="0" collapsed="false"/>
    <row r="541" customFormat="false" ht="12.75" hidden="false" customHeight="true" outlineLevel="0" collapsed="false"/>
    <row r="542" customFormat="false" ht="12.75" hidden="false" customHeight="true" outlineLevel="0" collapsed="false"/>
    <row r="543" customFormat="false" ht="12.75" hidden="false" customHeight="true" outlineLevel="0" collapsed="false"/>
    <row r="544" customFormat="false" ht="12.75" hidden="false" customHeight="true" outlineLevel="0" collapsed="false"/>
    <row r="545" customFormat="false" ht="12.75" hidden="false" customHeight="true" outlineLevel="0" collapsed="false"/>
    <row r="546" customFormat="false" ht="12.75" hidden="false" customHeight="true" outlineLevel="0" collapsed="false"/>
    <row r="547" customFormat="false" ht="12.75" hidden="false" customHeight="true" outlineLevel="0" collapsed="false"/>
    <row r="548" customFormat="false" ht="12.75" hidden="false" customHeight="true" outlineLevel="0" collapsed="false"/>
    <row r="549" customFormat="false" ht="12.75" hidden="false" customHeight="true" outlineLevel="0" collapsed="false"/>
    <row r="550" customFormat="false" ht="12.75" hidden="false" customHeight="true" outlineLevel="0" collapsed="false"/>
    <row r="551" customFormat="false" ht="12.75" hidden="false" customHeight="true" outlineLevel="0" collapsed="false"/>
    <row r="552" customFormat="false" ht="12.75" hidden="false" customHeight="true" outlineLevel="0" collapsed="false"/>
    <row r="553" customFormat="false" ht="12.75" hidden="false" customHeight="true" outlineLevel="0" collapsed="false"/>
    <row r="554" customFormat="false" ht="12.75" hidden="false" customHeight="true" outlineLevel="0" collapsed="false"/>
    <row r="555" customFormat="false" ht="12.75" hidden="false" customHeight="true" outlineLevel="0" collapsed="false"/>
    <row r="556" customFormat="false" ht="12.75" hidden="false" customHeight="true" outlineLevel="0" collapsed="false"/>
    <row r="557" customFormat="false" ht="12.75" hidden="false" customHeight="true" outlineLevel="0" collapsed="false"/>
    <row r="558" customFormat="false" ht="12.75" hidden="false" customHeight="true" outlineLevel="0" collapsed="false"/>
    <row r="559" customFormat="false" ht="12.75" hidden="false" customHeight="true" outlineLevel="0" collapsed="false"/>
    <row r="560" customFormat="false" ht="12.75" hidden="false" customHeight="true" outlineLevel="0" collapsed="false"/>
    <row r="561" customFormat="false" ht="12.75" hidden="false" customHeight="true" outlineLevel="0" collapsed="false"/>
    <row r="562" customFormat="false" ht="12.75" hidden="false" customHeight="true" outlineLevel="0" collapsed="false"/>
    <row r="563" customFormat="false" ht="12.75" hidden="false" customHeight="true" outlineLevel="0" collapsed="false"/>
    <row r="564" customFormat="false" ht="12.75" hidden="false" customHeight="true" outlineLevel="0" collapsed="false"/>
    <row r="565" customFormat="false" ht="12.75" hidden="false" customHeight="true" outlineLevel="0" collapsed="false"/>
    <row r="566" customFormat="false" ht="12.75" hidden="false" customHeight="true" outlineLevel="0" collapsed="false"/>
    <row r="567" customFormat="false" ht="12.75" hidden="false" customHeight="true" outlineLevel="0" collapsed="false"/>
    <row r="568" customFormat="false" ht="12.75" hidden="false" customHeight="true" outlineLevel="0" collapsed="false"/>
    <row r="569" customFormat="false" ht="12.75" hidden="false" customHeight="true" outlineLevel="0" collapsed="false"/>
    <row r="570" customFormat="false" ht="12.75" hidden="false" customHeight="true" outlineLevel="0" collapsed="false"/>
    <row r="571" customFormat="false" ht="12.75" hidden="false" customHeight="true" outlineLevel="0" collapsed="false"/>
    <row r="572" customFormat="false" ht="12.75" hidden="false" customHeight="true" outlineLevel="0" collapsed="false"/>
    <row r="573" customFormat="false" ht="12.75" hidden="false" customHeight="true" outlineLevel="0" collapsed="false"/>
    <row r="574" customFormat="false" ht="12.75" hidden="false" customHeight="true" outlineLevel="0" collapsed="false"/>
    <row r="575" customFormat="false" ht="12.75" hidden="false" customHeight="true" outlineLevel="0" collapsed="false"/>
    <row r="576" customFormat="false" ht="12.75" hidden="false" customHeight="true" outlineLevel="0" collapsed="false"/>
    <row r="577" customFormat="false" ht="12.75" hidden="false" customHeight="true" outlineLevel="0" collapsed="false"/>
    <row r="578" customFormat="false" ht="12.75" hidden="false" customHeight="true" outlineLevel="0" collapsed="false"/>
    <row r="579" customFormat="false" ht="12.75" hidden="false" customHeight="true" outlineLevel="0" collapsed="false"/>
    <row r="580" customFormat="false" ht="12.75" hidden="false" customHeight="true" outlineLevel="0" collapsed="false"/>
    <row r="581" customFormat="false" ht="12.75" hidden="false" customHeight="true" outlineLevel="0" collapsed="false"/>
    <row r="582" customFormat="false" ht="12.75" hidden="false" customHeight="true" outlineLevel="0" collapsed="false"/>
    <row r="583" customFormat="false" ht="12.75" hidden="false" customHeight="true" outlineLevel="0" collapsed="false"/>
    <row r="584" customFormat="false" ht="12.75" hidden="false" customHeight="true" outlineLevel="0" collapsed="false"/>
    <row r="585" customFormat="false" ht="12.75" hidden="false" customHeight="true" outlineLevel="0" collapsed="false"/>
    <row r="586" customFormat="false" ht="12.75" hidden="false" customHeight="true" outlineLevel="0" collapsed="false"/>
    <row r="587" customFormat="false" ht="12.75" hidden="false" customHeight="true" outlineLevel="0" collapsed="false"/>
    <row r="588" customFormat="false" ht="12.75" hidden="false" customHeight="true" outlineLevel="0" collapsed="false"/>
    <row r="589" customFormat="false" ht="12.75" hidden="false" customHeight="true" outlineLevel="0" collapsed="false"/>
    <row r="590" customFormat="false" ht="12.75" hidden="false" customHeight="true" outlineLevel="0" collapsed="false"/>
    <row r="591" customFormat="false" ht="12.75" hidden="false" customHeight="true" outlineLevel="0" collapsed="false"/>
    <row r="592" customFormat="false" ht="12.75" hidden="false" customHeight="true" outlineLevel="0" collapsed="false"/>
    <row r="593" customFormat="false" ht="12.75" hidden="false" customHeight="true" outlineLevel="0" collapsed="false"/>
    <row r="594" customFormat="false" ht="12.75" hidden="false" customHeight="true" outlineLevel="0" collapsed="false"/>
    <row r="595" customFormat="false" ht="12.75" hidden="false" customHeight="true" outlineLevel="0" collapsed="false"/>
    <row r="596" customFormat="false" ht="12.75" hidden="false" customHeight="true" outlineLevel="0" collapsed="false"/>
    <row r="597" customFormat="false" ht="12.75" hidden="false" customHeight="true" outlineLevel="0" collapsed="false"/>
    <row r="598" customFormat="false" ht="12.75" hidden="false" customHeight="true" outlineLevel="0" collapsed="false"/>
    <row r="599" customFormat="false" ht="12.75" hidden="false" customHeight="true" outlineLevel="0" collapsed="false"/>
    <row r="600" customFormat="false" ht="12.75" hidden="false" customHeight="true" outlineLevel="0" collapsed="false"/>
    <row r="601" customFormat="false" ht="12.75" hidden="false" customHeight="true" outlineLevel="0" collapsed="false"/>
    <row r="602" customFormat="false" ht="12.75" hidden="false" customHeight="true" outlineLevel="0" collapsed="false"/>
    <row r="603" customFormat="false" ht="12.75" hidden="false" customHeight="true" outlineLevel="0" collapsed="false"/>
    <row r="604" customFormat="false" ht="12.75" hidden="false" customHeight="true" outlineLevel="0" collapsed="false"/>
    <row r="605" customFormat="false" ht="12.75" hidden="false" customHeight="true" outlineLevel="0" collapsed="false"/>
    <row r="606" customFormat="false" ht="12.75" hidden="false" customHeight="true" outlineLevel="0" collapsed="false"/>
    <row r="607" customFormat="false" ht="12.75" hidden="false" customHeight="true" outlineLevel="0" collapsed="false"/>
    <row r="608" customFormat="false" ht="12.75" hidden="false" customHeight="true" outlineLevel="0" collapsed="false"/>
    <row r="609" customFormat="false" ht="12.75" hidden="false" customHeight="true" outlineLevel="0" collapsed="false"/>
    <row r="610" customFormat="false" ht="12.75" hidden="false" customHeight="true" outlineLevel="0" collapsed="false"/>
    <row r="611" customFormat="false" ht="12.75" hidden="false" customHeight="true" outlineLevel="0" collapsed="false"/>
    <row r="612" customFormat="false" ht="12.75" hidden="false" customHeight="true" outlineLevel="0" collapsed="false"/>
    <row r="613" customFormat="false" ht="12.75" hidden="false" customHeight="true" outlineLevel="0" collapsed="false"/>
    <row r="614" customFormat="false" ht="12.75" hidden="false" customHeight="true" outlineLevel="0" collapsed="false"/>
    <row r="615" customFormat="false" ht="12.75" hidden="false" customHeight="true" outlineLevel="0" collapsed="false"/>
    <row r="616" customFormat="false" ht="12.75" hidden="false" customHeight="true" outlineLevel="0" collapsed="false"/>
    <row r="617" customFormat="false" ht="12.75" hidden="false" customHeight="true" outlineLevel="0" collapsed="false"/>
    <row r="618" customFormat="false" ht="12.75" hidden="false" customHeight="true" outlineLevel="0" collapsed="false"/>
    <row r="619" customFormat="false" ht="12.75" hidden="false" customHeight="true" outlineLevel="0" collapsed="false"/>
    <row r="620" customFormat="false" ht="12.75" hidden="false" customHeight="true" outlineLevel="0" collapsed="false"/>
    <row r="621" customFormat="false" ht="12.75" hidden="false" customHeight="true" outlineLevel="0" collapsed="false"/>
    <row r="622" customFormat="false" ht="12.75" hidden="false" customHeight="true" outlineLevel="0" collapsed="false"/>
    <row r="623" customFormat="false" ht="12.75" hidden="false" customHeight="true" outlineLevel="0" collapsed="false"/>
    <row r="624" customFormat="false" ht="12.75" hidden="false" customHeight="true" outlineLevel="0" collapsed="false"/>
    <row r="625" customFormat="false" ht="12.75" hidden="false" customHeight="true" outlineLevel="0" collapsed="false"/>
    <row r="626" customFormat="false" ht="12.75" hidden="false" customHeight="true" outlineLevel="0" collapsed="false"/>
    <row r="627" customFormat="false" ht="12.75" hidden="false" customHeight="true" outlineLevel="0" collapsed="false"/>
    <row r="628" customFormat="false" ht="12.75" hidden="false" customHeight="true" outlineLevel="0" collapsed="false"/>
    <row r="629" customFormat="false" ht="12.75" hidden="false" customHeight="true" outlineLevel="0" collapsed="false"/>
    <row r="630" customFormat="false" ht="12.75" hidden="false" customHeight="true" outlineLevel="0" collapsed="false"/>
    <row r="631" customFormat="false" ht="12.75" hidden="false" customHeight="true" outlineLevel="0" collapsed="false"/>
    <row r="632" customFormat="false" ht="12.75" hidden="false" customHeight="true" outlineLevel="0" collapsed="false"/>
    <row r="633" customFormat="false" ht="12.75" hidden="false" customHeight="true" outlineLevel="0" collapsed="false"/>
    <row r="634" customFormat="false" ht="12.75" hidden="false" customHeight="true" outlineLevel="0" collapsed="false"/>
    <row r="635" customFormat="false" ht="12.75" hidden="false" customHeight="true" outlineLevel="0" collapsed="false"/>
    <row r="636" customFormat="false" ht="12.75" hidden="false" customHeight="true" outlineLevel="0" collapsed="false"/>
    <row r="637" customFormat="false" ht="12.75" hidden="false" customHeight="true" outlineLevel="0" collapsed="false"/>
    <row r="638" customFormat="false" ht="12.75" hidden="false" customHeight="true" outlineLevel="0" collapsed="false"/>
    <row r="639" customFormat="false" ht="12.75" hidden="false" customHeight="true" outlineLevel="0" collapsed="false"/>
    <row r="640" customFormat="false" ht="12.75" hidden="false" customHeight="true" outlineLevel="0" collapsed="false"/>
    <row r="641" customFormat="false" ht="12.75" hidden="false" customHeight="true" outlineLevel="0" collapsed="false"/>
    <row r="642" customFormat="false" ht="12.75" hidden="false" customHeight="true" outlineLevel="0" collapsed="false"/>
    <row r="643" customFormat="false" ht="12.75" hidden="false" customHeight="true" outlineLevel="0" collapsed="false"/>
    <row r="644" customFormat="false" ht="12.75" hidden="false" customHeight="true" outlineLevel="0" collapsed="false"/>
    <row r="645" customFormat="false" ht="12.75" hidden="false" customHeight="true" outlineLevel="0" collapsed="false"/>
    <row r="646" customFormat="false" ht="12.75" hidden="false" customHeight="true" outlineLevel="0" collapsed="false"/>
    <row r="647" customFormat="false" ht="12.75" hidden="false" customHeight="true" outlineLevel="0" collapsed="false"/>
    <row r="648" customFormat="false" ht="12.75" hidden="false" customHeight="true" outlineLevel="0" collapsed="false"/>
    <row r="649" customFormat="false" ht="12.75" hidden="false" customHeight="true" outlineLevel="0" collapsed="false"/>
    <row r="650" customFormat="false" ht="12.75" hidden="false" customHeight="true" outlineLevel="0" collapsed="false"/>
    <row r="651" customFormat="false" ht="12.75" hidden="false" customHeight="true" outlineLevel="0" collapsed="false"/>
    <row r="652" customFormat="false" ht="12.75" hidden="false" customHeight="true" outlineLevel="0" collapsed="false"/>
    <row r="653" customFormat="false" ht="12.75" hidden="false" customHeight="true" outlineLevel="0" collapsed="false"/>
    <row r="654" customFormat="false" ht="12.75" hidden="false" customHeight="true" outlineLevel="0" collapsed="false"/>
    <row r="655" customFormat="false" ht="12.75" hidden="false" customHeight="true" outlineLevel="0" collapsed="false"/>
    <row r="656" customFormat="false" ht="12.75" hidden="false" customHeight="true" outlineLevel="0" collapsed="false"/>
    <row r="657" customFormat="false" ht="12.75" hidden="false" customHeight="true" outlineLevel="0" collapsed="false"/>
    <row r="658" customFormat="false" ht="12.75" hidden="false" customHeight="true" outlineLevel="0" collapsed="false"/>
    <row r="659" customFormat="false" ht="12.75" hidden="false" customHeight="true" outlineLevel="0" collapsed="false"/>
    <row r="660" customFormat="false" ht="12.75" hidden="false" customHeight="true" outlineLevel="0" collapsed="false"/>
    <row r="661" customFormat="false" ht="12.75" hidden="false" customHeight="true" outlineLevel="0" collapsed="false"/>
    <row r="662" customFormat="false" ht="12.75" hidden="false" customHeight="true" outlineLevel="0" collapsed="false"/>
    <row r="663" customFormat="false" ht="12.75" hidden="false" customHeight="true" outlineLevel="0" collapsed="false"/>
    <row r="664" customFormat="false" ht="12.75" hidden="false" customHeight="true" outlineLevel="0" collapsed="false"/>
    <row r="665" customFormat="false" ht="12.75" hidden="false" customHeight="true" outlineLevel="0" collapsed="false"/>
    <row r="666" customFormat="false" ht="12.75" hidden="false" customHeight="true" outlineLevel="0" collapsed="false"/>
    <row r="667" customFormat="false" ht="12.75" hidden="false" customHeight="true" outlineLevel="0" collapsed="false"/>
    <row r="668" customFormat="false" ht="12.75" hidden="false" customHeight="true" outlineLevel="0" collapsed="false"/>
    <row r="669" customFormat="false" ht="12.75" hidden="false" customHeight="true" outlineLevel="0" collapsed="false"/>
    <row r="670" customFormat="false" ht="12.75" hidden="false" customHeight="true" outlineLevel="0" collapsed="false"/>
    <row r="671" customFormat="false" ht="12.75" hidden="false" customHeight="true" outlineLevel="0" collapsed="false"/>
    <row r="672" customFormat="false" ht="12.75" hidden="false" customHeight="true" outlineLevel="0" collapsed="false"/>
    <row r="673" customFormat="false" ht="12.75" hidden="false" customHeight="true" outlineLevel="0" collapsed="false"/>
    <row r="674" customFormat="false" ht="12.75" hidden="false" customHeight="true" outlineLevel="0" collapsed="false"/>
    <row r="675" customFormat="false" ht="12.75" hidden="false" customHeight="true" outlineLevel="0" collapsed="false"/>
    <row r="676" customFormat="false" ht="12.75" hidden="false" customHeight="true" outlineLevel="0" collapsed="false"/>
    <row r="677" customFormat="false" ht="12.75" hidden="false" customHeight="true" outlineLevel="0" collapsed="false"/>
    <row r="678" customFormat="false" ht="12.75" hidden="false" customHeight="true" outlineLevel="0" collapsed="false"/>
    <row r="679" customFormat="false" ht="12.75" hidden="false" customHeight="true" outlineLevel="0" collapsed="false"/>
    <row r="680" customFormat="false" ht="12.75" hidden="false" customHeight="true" outlineLevel="0" collapsed="false"/>
    <row r="681" customFormat="false" ht="12.75" hidden="false" customHeight="true" outlineLevel="0" collapsed="false"/>
    <row r="682" customFormat="false" ht="12.75" hidden="false" customHeight="true" outlineLevel="0" collapsed="false"/>
    <row r="683" customFormat="false" ht="12.75" hidden="false" customHeight="true" outlineLevel="0" collapsed="false"/>
    <row r="684" customFormat="false" ht="12.75" hidden="false" customHeight="true" outlineLevel="0" collapsed="false"/>
    <row r="685" customFormat="false" ht="12.75" hidden="false" customHeight="true" outlineLevel="0" collapsed="false"/>
    <row r="686" customFormat="false" ht="12.75" hidden="false" customHeight="true" outlineLevel="0" collapsed="false"/>
    <row r="687" customFormat="false" ht="12.75" hidden="false" customHeight="true" outlineLevel="0" collapsed="false"/>
    <row r="688" customFormat="false" ht="12.75" hidden="false" customHeight="true" outlineLevel="0" collapsed="false"/>
    <row r="689" customFormat="false" ht="12.75" hidden="false" customHeight="true" outlineLevel="0" collapsed="false"/>
    <row r="690" customFormat="false" ht="12.75" hidden="false" customHeight="true" outlineLevel="0" collapsed="false"/>
    <row r="691" customFormat="false" ht="12.75" hidden="false" customHeight="true" outlineLevel="0" collapsed="false"/>
    <row r="692" customFormat="false" ht="12.75" hidden="false" customHeight="true" outlineLevel="0" collapsed="false"/>
    <row r="693" customFormat="false" ht="12.75" hidden="false" customHeight="true" outlineLevel="0" collapsed="false"/>
    <row r="694" customFormat="false" ht="12.75" hidden="false" customHeight="true" outlineLevel="0" collapsed="false"/>
    <row r="695" customFormat="false" ht="12.75" hidden="false" customHeight="true" outlineLevel="0" collapsed="false"/>
    <row r="696" customFormat="false" ht="12.75" hidden="false" customHeight="true" outlineLevel="0" collapsed="false"/>
    <row r="697" customFormat="false" ht="12.75" hidden="false" customHeight="true" outlineLevel="0" collapsed="false"/>
    <row r="698" customFormat="false" ht="12.75" hidden="false" customHeight="true" outlineLevel="0" collapsed="false"/>
    <row r="699" customFormat="false" ht="12.75" hidden="false" customHeight="true" outlineLevel="0" collapsed="false"/>
    <row r="700" customFormat="false" ht="12.75" hidden="false" customHeight="true" outlineLevel="0" collapsed="false"/>
    <row r="701" customFormat="false" ht="12.75" hidden="false" customHeight="true" outlineLevel="0" collapsed="false"/>
    <row r="702" customFormat="false" ht="12.75" hidden="false" customHeight="true" outlineLevel="0" collapsed="false"/>
    <row r="703" customFormat="false" ht="12.75" hidden="false" customHeight="true" outlineLevel="0" collapsed="false"/>
    <row r="704" customFormat="false" ht="12.75" hidden="false" customHeight="true" outlineLevel="0" collapsed="false"/>
    <row r="705" customFormat="false" ht="12.75" hidden="false" customHeight="true" outlineLevel="0" collapsed="false"/>
    <row r="706" customFormat="false" ht="12.75" hidden="false" customHeight="true" outlineLevel="0" collapsed="false"/>
    <row r="707" customFormat="false" ht="12.75" hidden="false" customHeight="true" outlineLevel="0" collapsed="false"/>
    <row r="708" customFormat="false" ht="12.75" hidden="false" customHeight="true" outlineLevel="0" collapsed="false"/>
    <row r="709" customFormat="false" ht="12.75" hidden="false" customHeight="true" outlineLevel="0" collapsed="false"/>
    <row r="710" customFormat="false" ht="12.75" hidden="false" customHeight="true" outlineLevel="0" collapsed="false"/>
    <row r="711" customFormat="false" ht="12.75" hidden="false" customHeight="true" outlineLevel="0" collapsed="false"/>
    <row r="712" customFormat="false" ht="12.75" hidden="false" customHeight="true" outlineLevel="0" collapsed="false"/>
    <row r="713" customFormat="false" ht="12.75" hidden="false" customHeight="true" outlineLevel="0" collapsed="false"/>
    <row r="714" customFormat="false" ht="12.75" hidden="false" customHeight="true" outlineLevel="0" collapsed="false"/>
    <row r="715" customFormat="false" ht="12.75" hidden="false" customHeight="true" outlineLevel="0" collapsed="false"/>
    <row r="716" customFormat="false" ht="12.75" hidden="false" customHeight="true" outlineLevel="0" collapsed="false"/>
    <row r="717" customFormat="false" ht="12.75" hidden="false" customHeight="true" outlineLevel="0" collapsed="false"/>
    <row r="718" customFormat="false" ht="12.75" hidden="false" customHeight="true" outlineLevel="0" collapsed="false"/>
    <row r="719" customFormat="false" ht="12.75" hidden="false" customHeight="true" outlineLevel="0" collapsed="false"/>
    <row r="720" customFormat="false" ht="12.75" hidden="false" customHeight="true" outlineLevel="0" collapsed="false"/>
    <row r="721" customFormat="false" ht="12.75" hidden="false" customHeight="true" outlineLevel="0" collapsed="false"/>
    <row r="722" customFormat="false" ht="12.75" hidden="false" customHeight="true" outlineLevel="0" collapsed="false"/>
    <row r="723" customFormat="false" ht="12.75" hidden="false" customHeight="true" outlineLevel="0" collapsed="false"/>
    <row r="724" customFormat="false" ht="12.75" hidden="false" customHeight="true" outlineLevel="0" collapsed="false"/>
    <row r="725" customFormat="false" ht="12.75" hidden="false" customHeight="true" outlineLevel="0" collapsed="false"/>
    <row r="726" customFormat="false" ht="12.75" hidden="false" customHeight="true" outlineLevel="0" collapsed="false"/>
    <row r="727" customFormat="false" ht="12.75" hidden="false" customHeight="true" outlineLevel="0" collapsed="false"/>
    <row r="728" customFormat="false" ht="12.75" hidden="false" customHeight="true" outlineLevel="0" collapsed="false"/>
    <row r="729" customFormat="false" ht="12.75" hidden="false" customHeight="true" outlineLevel="0" collapsed="false"/>
    <row r="730" customFormat="false" ht="12.75" hidden="false" customHeight="true" outlineLevel="0" collapsed="false"/>
    <row r="731" customFormat="false" ht="12.75" hidden="false" customHeight="true" outlineLevel="0" collapsed="false"/>
    <row r="732" customFormat="false" ht="12.75" hidden="false" customHeight="true" outlineLevel="0" collapsed="false"/>
    <row r="733" customFormat="false" ht="12.75" hidden="false" customHeight="true" outlineLevel="0" collapsed="false"/>
    <row r="734" customFormat="false" ht="12.75" hidden="false" customHeight="true" outlineLevel="0" collapsed="false"/>
    <row r="735" customFormat="false" ht="12.75" hidden="false" customHeight="true" outlineLevel="0" collapsed="false"/>
    <row r="736" customFormat="false" ht="12.75" hidden="false" customHeight="true" outlineLevel="0" collapsed="false"/>
    <row r="737" customFormat="false" ht="12.75" hidden="false" customHeight="true" outlineLevel="0" collapsed="false"/>
    <row r="738" customFormat="false" ht="12.75" hidden="false" customHeight="true" outlineLevel="0" collapsed="false"/>
    <row r="739" customFormat="false" ht="12.75" hidden="false" customHeight="true" outlineLevel="0" collapsed="false"/>
    <row r="740" customFormat="false" ht="12.75" hidden="false" customHeight="true" outlineLevel="0" collapsed="false"/>
    <row r="741" customFormat="false" ht="12.75" hidden="false" customHeight="true" outlineLevel="0" collapsed="false"/>
    <row r="742" customFormat="false" ht="12.75" hidden="false" customHeight="true" outlineLevel="0" collapsed="false"/>
    <row r="743" customFormat="false" ht="12.75" hidden="false" customHeight="true" outlineLevel="0" collapsed="false"/>
    <row r="744" customFormat="false" ht="12.75" hidden="false" customHeight="true" outlineLevel="0" collapsed="false"/>
    <row r="745" customFormat="false" ht="12.75" hidden="false" customHeight="true" outlineLevel="0" collapsed="false"/>
    <row r="746" customFormat="false" ht="12.75" hidden="false" customHeight="true" outlineLevel="0" collapsed="false"/>
    <row r="747" customFormat="false" ht="12.75" hidden="false" customHeight="true" outlineLevel="0" collapsed="false"/>
    <row r="748" customFormat="false" ht="12.75" hidden="false" customHeight="true" outlineLevel="0" collapsed="false"/>
    <row r="749" customFormat="false" ht="12.75" hidden="false" customHeight="true" outlineLevel="0" collapsed="false"/>
    <row r="750" customFormat="false" ht="12.75" hidden="false" customHeight="true" outlineLevel="0" collapsed="false"/>
    <row r="751" customFormat="false" ht="12.75" hidden="false" customHeight="true" outlineLevel="0" collapsed="false"/>
    <row r="752" customFormat="false" ht="12.75" hidden="false" customHeight="true" outlineLevel="0" collapsed="false"/>
    <row r="753" customFormat="false" ht="12.75" hidden="false" customHeight="true" outlineLevel="0" collapsed="false"/>
    <row r="754" customFormat="false" ht="12.75" hidden="false" customHeight="true" outlineLevel="0" collapsed="false"/>
    <row r="755" customFormat="false" ht="12.75" hidden="false" customHeight="true" outlineLevel="0" collapsed="false"/>
    <row r="756" customFormat="false" ht="12.75" hidden="false" customHeight="true" outlineLevel="0" collapsed="false"/>
    <row r="757" customFormat="false" ht="12.75" hidden="false" customHeight="true" outlineLevel="0" collapsed="false"/>
    <row r="758" customFormat="false" ht="12.75" hidden="false" customHeight="true" outlineLevel="0" collapsed="false"/>
    <row r="759" customFormat="false" ht="12.75" hidden="false" customHeight="true" outlineLevel="0" collapsed="false"/>
    <row r="760" customFormat="false" ht="12.75" hidden="false" customHeight="true" outlineLevel="0" collapsed="false"/>
    <row r="761" customFormat="false" ht="12.75" hidden="false" customHeight="true" outlineLevel="0" collapsed="false"/>
    <row r="762" customFormat="false" ht="12.75" hidden="false" customHeight="true" outlineLevel="0" collapsed="false"/>
    <row r="763" customFormat="false" ht="12.75" hidden="false" customHeight="true" outlineLevel="0" collapsed="false"/>
    <row r="764" customFormat="false" ht="12.75" hidden="false" customHeight="true" outlineLevel="0" collapsed="false"/>
    <row r="765" customFormat="false" ht="12.75" hidden="false" customHeight="true" outlineLevel="0" collapsed="false"/>
    <row r="766" customFormat="false" ht="12.75" hidden="false" customHeight="true" outlineLevel="0" collapsed="false"/>
    <row r="767" customFormat="false" ht="12.75" hidden="false" customHeight="true" outlineLevel="0" collapsed="false"/>
    <row r="768" customFormat="false" ht="12.75" hidden="false" customHeight="true" outlineLevel="0" collapsed="false"/>
    <row r="769" customFormat="false" ht="12.75" hidden="false" customHeight="true" outlineLevel="0" collapsed="false"/>
    <row r="770" customFormat="false" ht="12.75" hidden="false" customHeight="true" outlineLevel="0" collapsed="false"/>
    <row r="771" customFormat="false" ht="12.75" hidden="false" customHeight="true" outlineLevel="0" collapsed="false"/>
    <row r="772" customFormat="false" ht="12.75" hidden="false" customHeight="true" outlineLevel="0" collapsed="false"/>
    <row r="773" customFormat="false" ht="12.75" hidden="false" customHeight="true" outlineLevel="0" collapsed="false"/>
    <row r="774" customFormat="false" ht="12.75" hidden="false" customHeight="true" outlineLevel="0" collapsed="false"/>
    <row r="775" customFormat="false" ht="12.75" hidden="false" customHeight="true" outlineLevel="0" collapsed="false"/>
    <row r="776" customFormat="false" ht="12.75" hidden="false" customHeight="true" outlineLevel="0" collapsed="false"/>
    <row r="777" customFormat="false" ht="12.75" hidden="false" customHeight="true" outlineLevel="0" collapsed="false"/>
    <row r="778" customFormat="false" ht="12.75" hidden="false" customHeight="true" outlineLevel="0" collapsed="false"/>
    <row r="779" customFormat="false" ht="12.75" hidden="false" customHeight="true" outlineLevel="0" collapsed="false"/>
    <row r="780" customFormat="false" ht="12.75" hidden="false" customHeight="true" outlineLevel="0" collapsed="false"/>
    <row r="781" customFormat="false" ht="12.75" hidden="false" customHeight="true" outlineLevel="0" collapsed="false"/>
    <row r="782" customFormat="false" ht="12.75" hidden="false" customHeight="true" outlineLevel="0" collapsed="false"/>
    <row r="783" customFormat="false" ht="12.75" hidden="false" customHeight="true" outlineLevel="0" collapsed="false"/>
    <row r="784" customFormat="false" ht="12.75" hidden="false" customHeight="true" outlineLevel="0" collapsed="false"/>
    <row r="785" customFormat="false" ht="12.75" hidden="false" customHeight="true" outlineLevel="0" collapsed="false"/>
    <row r="786" customFormat="false" ht="12.75" hidden="false" customHeight="true" outlineLevel="0" collapsed="false"/>
    <row r="787" customFormat="false" ht="12.75" hidden="false" customHeight="true" outlineLevel="0" collapsed="false"/>
    <row r="788" customFormat="false" ht="12.75" hidden="false" customHeight="true" outlineLevel="0" collapsed="false"/>
    <row r="789" customFormat="false" ht="12.75" hidden="false" customHeight="true" outlineLevel="0" collapsed="false"/>
    <row r="790" customFormat="false" ht="12.75" hidden="false" customHeight="true" outlineLevel="0" collapsed="false"/>
    <row r="791" customFormat="false" ht="12.75" hidden="false" customHeight="true" outlineLevel="0" collapsed="false"/>
    <row r="792" customFormat="false" ht="12.75" hidden="false" customHeight="true" outlineLevel="0" collapsed="false"/>
    <row r="793" customFormat="false" ht="12.75" hidden="false" customHeight="true" outlineLevel="0" collapsed="false"/>
    <row r="794" customFormat="false" ht="12.75" hidden="false" customHeight="true" outlineLevel="0" collapsed="false"/>
    <row r="795" customFormat="false" ht="12.75" hidden="false" customHeight="true" outlineLevel="0" collapsed="false"/>
    <row r="796" customFormat="false" ht="12.75" hidden="false" customHeight="true" outlineLevel="0" collapsed="false"/>
    <row r="797" customFormat="false" ht="12.75" hidden="false" customHeight="true" outlineLevel="0" collapsed="false"/>
    <row r="798" customFormat="false" ht="12.75" hidden="false" customHeight="true" outlineLevel="0" collapsed="false"/>
    <row r="799" customFormat="false" ht="12.75" hidden="false" customHeight="true" outlineLevel="0" collapsed="false"/>
    <row r="800" customFormat="false" ht="12.75" hidden="false" customHeight="true" outlineLevel="0" collapsed="false"/>
    <row r="801" customFormat="false" ht="12.75" hidden="false" customHeight="true" outlineLevel="0" collapsed="false"/>
    <row r="802" customFormat="false" ht="12.75" hidden="false" customHeight="true" outlineLevel="0" collapsed="false"/>
    <row r="803" customFormat="false" ht="12.75" hidden="false" customHeight="true" outlineLevel="0" collapsed="false"/>
    <row r="804" customFormat="false" ht="12.75" hidden="false" customHeight="true" outlineLevel="0" collapsed="false"/>
    <row r="805" customFormat="false" ht="12.75" hidden="false" customHeight="true" outlineLevel="0" collapsed="false"/>
    <row r="806" customFormat="false" ht="12.75" hidden="false" customHeight="true" outlineLevel="0" collapsed="false"/>
    <row r="807" customFormat="false" ht="12.75" hidden="false" customHeight="true" outlineLevel="0" collapsed="false"/>
    <row r="808" customFormat="false" ht="12.75" hidden="false" customHeight="true" outlineLevel="0" collapsed="false"/>
    <row r="809" customFormat="false" ht="12.75" hidden="false" customHeight="true" outlineLevel="0" collapsed="false"/>
    <row r="810" customFormat="false" ht="12.75" hidden="false" customHeight="true" outlineLevel="0" collapsed="false"/>
    <row r="811" customFormat="false" ht="12.75" hidden="false" customHeight="true" outlineLevel="0" collapsed="false"/>
    <row r="812" customFormat="false" ht="12.75" hidden="false" customHeight="true" outlineLevel="0" collapsed="false"/>
    <row r="813" customFormat="false" ht="12.75" hidden="false" customHeight="true" outlineLevel="0" collapsed="false"/>
    <row r="814" customFormat="false" ht="12.75" hidden="false" customHeight="true" outlineLevel="0" collapsed="false"/>
    <row r="815" customFormat="false" ht="12.75" hidden="false" customHeight="true" outlineLevel="0" collapsed="false"/>
    <row r="816" customFormat="false" ht="12.75" hidden="false" customHeight="true" outlineLevel="0" collapsed="false"/>
    <row r="817" customFormat="false" ht="12.75" hidden="false" customHeight="true" outlineLevel="0" collapsed="false"/>
    <row r="818" customFormat="false" ht="12.75" hidden="false" customHeight="true" outlineLevel="0" collapsed="false"/>
    <row r="819" customFormat="false" ht="12.75" hidden="false" customHeight="true" outlineLevel="0" collapsed="false"/>
    <row r="820" customFormat="false" ht="12.75" hidden="false" customHeight="true" outlineLevel="0" collapsed="false"/>
    <row r="821" customFormat="false" ht="12.75" hidden="false" customHeight="true" outlineLevel="0" collapsed="false"/>
    <row r="822" customFormat="false" ht="12.75" hidden="false" customHeight="true" outlineLevel="0" collapsed="false"/>
    <row r="823" customFormat="false" ht="12.75" hidden="false" customHeight="true" outlineLevel="0" collapsed="false"/>
    <row r="824" customFormat="false" ht="12.75" hidden="false" customHeight="true" outlineLevel="0" collapsed="false"/>
    <row r="825" customFormat="false" ht="12.75" hidden="false" customHeight="true" outlineLevel="0" collapsed="false"/>
    <row r="826" customFormat="false" ht="12.75" hidden="false" customHeight="true" outlineLevel="0" collapsed="false"/>
    <row r="827" customFormat="false" ht="12.75" hidden="false" customHeight="true" outlineLevel="0" collapsed="false"/>
    <row r="828" customFormat="false" ht="12.75" hidden="false" customHeight="true" outlineLevel="0" collapsed="false"/>
    <row r="829" customFormat="false" ht="12.75" hidden="false" customHeight="true" outlineLevel="0" collapsed="false"/>
    <row r="830" customFormat="false" ht="12.75" hidden="false" customHeight="true" outlineLevel="0" collapsed="false"/>
    <row r="831" customFormat="false" ht="12.75" hidden="false" customHeight="true" outlineLevel="0" collapsed="false"/>
    <row r="832" customFormat="false" ht="12.75" hidden="false" customHeight="true" outlineLevel="0" collapsed="false"/>
    <row r="833" customFormat="false" ht="12.75" hidden="false" customHeight="true" outlineLevel="0" collapsed="false"/>
    <row r="834" customFormat="false" ht="12.75" hidden="false" customHeight="true" outlineLevel="0" collapsed="false"/>
    <row r="835" customFormat="false" ht="12.75" hidden="false" customHeight="true" outlineLevel="0" collapsed="false"/>
    <row r="836" customFormat="false" ht="12.75" hidden="false" customHeight="true" outlineLevel="0" collapsed="false"/>
    <row r="837" customFormat="false" ht="12.75" hidden="false" customHeight="true" outlineLevel="0" collapsed="false"/>
    <row r="838" customFormat="false" ht="12.75" hidden="false" customHeight="true" outlineLevel="0" collapsed="false"/>
    <row r="839" customFormat="false" ht="12.75" hidden="false" customHeight="true" outlineLevel="0" collapsed="false"/>
    <row r="840" customFormat="false" ht="12.75" hidden="false" customHeight="true" outlineLevel="0" collapsed="false"/>
    <row r="841" customFormat="false" ht="12.75" hidden="false" customHeight="true" outlineLevel="0" collapsed="false"/>
    <row r="842" customFormat="false" ht="12.75" hidden="false" customHeight="true" outlineLevel="0" collapsed="false"/>
    <row r="843" customFormat="false" ht="12.75" hidden="false" customHeight="true" outlineLevel="0" collapsed="false"/>
    <row r="844" customFormat="false" ht="12.75" hidden="false" customHeight="true" outlineLevel="0" collapsed="false"/>
    <row r="845" customFormat="false" ht="12.75" hidden="false" customHeight="true" outlineLevel="0" collapsed="false"/>
    <row r="846" customFormat="false" ht="12.75" hidden="false" customHeight="true" outlineLevel="0" collapsed="false"/>
    <row r="847" customFormat="false" ht="12.75" hidden="false" customHeight="true" outlineLevel="0" collapsed="false"/>
    <row r="848" customFormat="false" ht="12.75" hidden="false" customHeight="true" outlineLevel="0" collapsed="false"/>
    <row r="849" customFormat="false" ht="12.75" hidden="false" customHeight="true" outlineLevel="0" collapsed="false"/>
    <row r="850" customFormat="false" ht="12.75" hidden="false" customHeight="true" outlineLevel="0" collapsed="false"/>
    <row r="851" customFormat="false" ht="12.75" hidden="false" customHeight="true" outlineLevel="0" collapsed="false"/>
    <row r="852" customFormat="false" ht="12.75" hidden="false" customHeight="true" outlineLevel="0" collapsed="false"/>
    <row r="853" customFormat="false" ht="12.75" hidden="false" customHeight="true" outlineLevel="0" collapsed="false"/>
    <row r="854" customFormat="false" ht="12.75" hidden="false" customHeight="true" outlineLevel="0" collapsed="false"/>
    <row r="855" customFormat="false" ht="12.75" hidden="false" customHeight="true" outlineLevel="0" collapsed="false"/>
    <row r="856" customFormat="false" ht="12.75" hidden="false" customHeight="true" outlineLevel="0" collapsed="false"/>
    <row r="857" customFormat="false" ht="12.75" hidden="false" customHeight="true" outlineLevel="0" collapsed="false"/>
    <row r="858" customFormat="false" ht="12.75" hidden="false" customHeight="true" outlineLevel="0" collapsed="false"/>
    <row r="859" customFormat="false" ht="12.75" hidden="false" customHeight="true" outlineLevel="0" collapsed="false"/>
    <row r="860" customFormat="false" ht="12.75" hidden="false" customHeight="true" outlineLevel="0" collapsed="false"/>
    <row r="861" customFormat="false" ht="12.75" hidden="false" customHeight="true" outlineLevel="0" collapsed="false"/>
    <row r="862" customFormat="false" ht="12.75" hidden="false" customHeight="true" outlineLevel="0" collapsed="false"/>
    <row r="863" customFormat="false" ht="12.75" hidden="false" customHeight="true" outlineLevel="0" collapsed="false"/>
    <row r="864" customFormat="false" ht="12.75" hidden="false" customHeight="true" outlineLevel="0" collapsed="false"/>
    <row r="865" customFormat="false" ht="12.75" hidden="false" customHeight="true" outlineLevel="0" collapsed="false"/>
    <row r="866" customFormat="false" ht="12.75" hidden="false" customHeight="true" outlineLevel="0" collapsed="false"/>
    <row r="867" customFormat="false" ht="12.75" hidden="false" customHeight="true" outlineLevel="0" collapsed="false"/>
    <row r="868" customFormat="false" ht="12.75" hidden="false" customHeight="true" outlineLevel="0" collapsed="false"/>
    <row r="869" customFormat="false" ht="12.75" hidden="false" customHeight="true" outlineLevel="0" collapsed="false"/>
    <row r="870" customFormat="false" ht="12.75" hidden="false" customHeight="true" outlineLevel="0" collapsed="false"/>
    <row r="871" customFormat="false" ht="12.75" hidden="false" customHeight="true" outlineLevel="0" collapsed="false"/>
    <row r="872" customFormat="false" ht="12.75" hidden="false" customHeight="true" outlineLevel="0" collapsed="false"/>
    <row r="873" customFormat="false" ht="12.75" hidden="false" customHeight="true" outlineLevel="0" collapsed="false"/>
    <row r="874" customFormat="false" ht="12.75" hidden="false" customHeight="true" outlineLevel="0" collapsed="false"/>
    <row r="875" customFormat="false" ht="12.75" hidden="false" customHeight="true" outlineLevel="0" collapsed="false"/>
    <row r="876" customFormat="false" ht="12.75" hidden="false" customHeight="true" outlineLevel="0" collapsed="false"/>
    <row r="877" customFormat="false" ht="12.75" hidden="false" customHeight="true" outlineLevel="0" collapsed="false"/>
    <row r="878" customFormat="false" ht="12.75" hidden="false" customHeight="true" outlineLevel="0" collapsed="false"/>
    <row r="879" customFormat="false" ht="12.75" hidden="false" customHeight="true" outlineLevel="0" collapsed="false"/>
    <row r="880" customFormat="false" ht="12.75" hidden="false" customHeight="true" outlineLevel="0" collapsed="false"/>
    <row r="881" customFormat="false" ht="12.75" hidden="false" customHeight="true" outlineLevel="0" collapsed="false"/>
    <row r="882" customFormat="false" ht="12.75" hidden="false" customHeight="true" outlineLevel="0" collapsed="false"/>
    <row r="883" customFormat="false" ht="12.75" hidden="false" customHeight="true" outlineLevel="0" collapsed="false"/>
    <row r="884" customFormat="false" ht="12.75" hidden="false" customHeight="true" outlineLevel="0" collapsed="false"/>
    <row r="885" customFormat="false" ht="12.75" hidden="false" customHeight="true" outlineLevel="0" collapsed="false"/>
    <row r="886" customFormat="false" ht="12.75" hidden="false" customHeight="true" outlineLevel="0" collapsed="false"/>
    <row r="887" customFormat="false" ht="12.75" hidden="false" customHeight="true" outlineLevel="0" collapsed="false"/>
    <row r="888" customFormat="false" ht="12.75" hidden="false" customHeight="true" outlineLevel="0" collapsed="false"/>
    <row r="889" customFormat="false" ht="12.75" hidden="false" customHeight="true" outlineLevel="0" collapsed="false"/>
    <row r="890" customFormat="false" ht="12.75" hidden="false" customHeight="true" outlineLevel="0" collapsed="false"/>
    <row r="891" customFormat="false" ht="12.75" hidden="false" customHeight="true" outlineLevel="0" collapsed="false"/>
    <row r="892" customFormat="false" ht="12.75" hidden="false" customHeight="true" outlineLevel="0" collapsed="false"/>
    <row r="893" customFormat="false" ht="12.75" hidden="false" customHeight="true" outlineLevel="0" collapsed="false"/>
    <row r="894" customFormat="false" ht="12.75" hidden="false" customHeight="true" outlineLevel="0" collapsed="false"/>
    <row r="895" customFormat="false" ht="12.75" hidden="false" customHeight="true" outlineLevel="0" collapsed="false"/>
    <row r="896" customFormat="false" ht="12.75" hidden="false" customHeight="true" outlineLevel="0" collapsed="false"/>
    <row r="897" customFormat="false" ht="12.75" hidden="false" customHeight="true" outlineLevel="0" collapsed="false"/>
    <row r="898" customFormat="false" ht="12.75" hidden="false" customHeight="true" outlineLevel="0" collapsed="false"/>
    <row r="899" customFormat="false" ht="12.75" hidden="false" customHeight="true" outlineLevel="0" collapsed="false"/>
    <row r="900" customFormat="false" ht="12.75" hidden="false" customHeight="true" outlineLevel="0" collapsed="false"/>
    <row r="901" customFormat="false" ht="12.75" hidden="false" customHeight="true" outlineLevel="0" collapsed="false"/>
    <row r="902" customFormat="false" ht="12.75" hidden="false" customHeight="true" outlineLevel="0" collapsed="false"/>
    <row r="903" customFormat="false" ht="12.75" hidden="false" customHeight="true" outlineLevel="0" collapsed="false"/>
    <row r="904" customFormat="false" ht="12.75" hidden="false" customHeight="true" outlineLevel="0" collapsed="false"/>
    <row r="905" customFormat="false" ht="12.75" hidden="false" customHeight="true" outlineLevel="0" collapsed="false"/>
    <row r="906" customFormat="false" ht="12.75" hidden="false" customHeight="true" outlineLevel="0" collapsed="false"/>
    <row r="907" customFormat="false" ht="12.75" hidden="false" customHeight="true" outlineLevel="0" collapsed="false"/>
    <row r="908" customFormat="false" ht="12.75" hidden="false" customHeight="true" outlineLevel="0" collapsed="false"/>
    <row r="909" customFormat="false" ht="12.75" hidden="false" customHeight="true" outlineLevel="0" collapsed="false"/>
    <row r="910" customFormat="false" ht="12.75" hidden="false" customHeight="true" outlineLevel="0" collapsed="false"/>
    <row r="911" customFormat="false" ht="12.75" hidden="false" customHeight="true" outlineLevel="0" collapsed="false"/>
    <row r="912" customFormat="false" ht="12.75" hidden="false" customHeight="true" outlineLevel="0" collapsed="false"/>
    <row r="913" customFormat="false" ht="12.75" hidden="false" customHeight="true" outlineLevel="0" collapsed="false"/>
    <row r="914" customFormat="false" ht="12.75" hidden="false" customHeight="true" outlineLevel="0" collapsed="false"/>
    <row r="915" customFormat="false" ht="12.75" hidden="false" customHeight="true" outlineLevel="0" collapsed="false"/>
    <row r="916" customFormat="false" ht="12.75" hidden="false" customHeight="true" outlineLevel="0" collapsed="false"/>
    <row r="917" customFormat="false" ht="12.75" hidden="false" customHeight="true" outlineLevel="0" collapsed="false"/>
    <row r="918" customFormat="false" ht="12.75" hidden="false" customHeight="true" outlineLevel="0" collapsed="false"/>
    <row r="919" customFormat="false" ht="12.75" hidden="false" customHeight="true" outlineLevel="0" collapsed="false"/>
    <row r="920" customFormat="false" ht="12.75" hidden="false" customHeight="true" outlineLevel="0" collapsed="false"/>
    <row r="921" customFormat="false" ht="12.75" hidden="false" customHeight="true" outlineLevel="0" collapsed="false"/>
    <row r="922" customFormat="false" ht="12.75" hidden="false" customHeight="true" outlineLevel="0" collapsed="false"/>
    <row r="923" customFormat="false" ht="12.75" hidden="false" customHeight="true" outlineLevel="0" collapsed="false"/>
    <row r="924" customFormat="false" ht="12.75" hidden="false" customHeight="true" outlineLevel="0" collapsed="false"/>
    <row r="925" customFormat="false" ht="12.75" hidden="false" customHeight="true" outlineLevel="0" collapsed="false"/>
    <row r="926" customFormat="false" ht="12.75" hidden="false" customHeight="true" outlineLevel="0" collapsed="false"/>
    <row r="927" customFormat="false" ht="12.75" hidden="false" customHeight="true" outlineLevel="0" collapsed="false"/>
    <row r="928" customFormat="false" ht="12.75" hidden="false" customHeight="true" outlineLevel="0" collapsed="false"/>
    <row r="929" customFormat="false" ht="12.75" hidden="false" customHeight="true" outlineLevel="0" collapsed="false"/>
    <row r="930" customFormat="false" ht="12.75" hidden="false" customHeight="true" outlineLevel="0" collapsed="false"/>
    <row r="931" customFormat="false" ht="12.75" hidden="false" customHeight="true" outlineLevel="0" collapsed="false"/>
    <row r="932" customFormat="false" ht="12.75" hidden="false" customHeight="true" outlineLevel="0" collapsed="false"/>
    <row r="933" customFormat="false" ht="12.75" hidden="false" customHeight="true" outlineLevel="0" collapsed="false"/>
    <row r="934" customFormat="false" ht="12.75" hidden="false" customHeight="true" outlineLevel="0" collapsed="false"/>
    <row r="935" customFormat="false" ht="12.75" hidden="false" customHeight="true" outlineLevel="0" collapsed="false"/>
    <row r="936" customFormat="false" ht="12.75" hidden="false" customHeight="true" outlineLevel="0" collapsed="false"/>
    <row r="937" customFormat="false" ht="12.75" hidden="false" customHeight="true" outlineLevel="0" collapsed="false"/>
    <row r="938" customFormat="false" ht="12.75" hidden="false" customHeight="true" outlineLevel="0" collapsed="false"/>
    <row r="939" customFormat="false" ht="12.75" hidden="false" customHeight="true" outlineLevel="0" collapsed="false"/>
    <row r="940" customFormat="false" ht="12.75" hidden="false" customHeight="true" outlineLevel="0" collapsed="false"/>
    <row r="941" customFormat="false" ht="12.75" hidden="false" customHeight="true" outlineLevel="0" collapsed="false"/>
    <row r="942" customFormat="false" ht="12.75" hidden="false" customHeight="true" outlineLevel="0" collapsed="false"/>
    <row r="943" customFormat="false" ht="12.75" hidden="false" customHeight="true" outlineLevel="0" collapsed="false"/>
    <row r="944" customFormat="false" ht="12.75" hidden="false" customHeight="true" outlineLevel="0" collapsed="false"/>
    <row r="945" customFormat="false" ht="12.75" hidden="false" customHeight="true" outlineLevel="0" collapsed="false"/>
    <row r="946" customFormat="false" ht="12.75" hidden="false" customHeight="true" outlineLevel="0" collapsed="false"/>
    <row r="947" customFormat="false" ht="12.75" hidden="false" customHeight="true" outlineLevel="0" collapsed="false"/>
    <row r="948" customFormat="false" ht="12.75" hidden="false" customHeight="true" outlineLevel="0" collapsed="false"/>
    <row r="949" customFormat="false" ht="12.75" hidden="false" customHeight="true" outlineLevel="0" collapsed="false"/>
    <row r="950" customFormat="false" ht="12.75" hidden="false" customHeight="true" outlineLevel="0" collapsed="false"/>
    <row r="951" customFormat="false" ht="12.75" hidden="false" customHeight="true" outlineLevel="0" collapsed="false"/>
    <row r="952" customFormat="false" ht="12.75" hidden="false" customHeight="true" outlineLevel="0" collapsed="false"/>
    <row r="953" customFormat="false" ht="12.75" hidden="false" customHeight="true" outlineLevel="0" collapsed="false"/>
    <row r="954" customFormat="false" ht="12.75" hidden="false" customHeight="true" outlineLevel="0" collapsed="false"/>
    <row r="955" customFormat="false" ht="12.75" hidden="false" customHeight="true" outlineLevel="0" collapsed="false"/>
    <row r="956" customFormat="false" ht="12.75" hidden="false" customHeight="true" outlineLevel="0" collapsed="false"/>
    <row r="957" customFormat="false" ht="12.75" hidden="false" customHeight="true" outlineLevel="0" collapsed="false"/>
    <row r="958" customFormat="false" ht="12.75" hidden="false" customHeight="true" outlineLevel="0" collapsed="false"/>
    <row r="959" customFormat="false" ht="12.75" hidden="false" customHeight="true" outlineLevel="0" collapsed="false"/>
    <row r="960" customFormat="false" ht="12.75" hidden="false" customHeight="true" outlineLevel="0" collapsed="false"/>
    <row r="961" customFormat="false" ht="12.75" hidden="false" customHeight="true" outlineLevel="0" collapsed="false"/>
    <row r="962" customFormat="false" ht="12.75" hidden="false" customHeight="true" outlineLevel="0" collapsed="false"/>
    <row r="963" customFormat="false" ht="12.75" hidden="false" customHeight="true" outlineLevel="0" collapsed="false"/>
    <row r="964" customFormat="false" ht="12.75" hidden="false" customHeight="true" outlineLevel="0" collapsed="false"/>
    <row r="965" customFormat="false" ht="12.75" hidden="false" customHeight="true" outlineLevel="0" collapsed="false"/>
    <row r="966" customFormat="false" ht="12.75" hidden="false" customHeight="true" outlineLevel="0" collapsed="false"/>
    <row r="967" customFormat="false" ht="12.75" hidden="false" customHeight="true" outlineLevel="0" collapsed="false"/>
    <row r="968" customFormat="false" ht="12.75" hidden="false" customHeight="true" outlineLevel="0" collapsed="false"/>
    <row r="969" customFormat="false" ht="12.75" hidden="false" customHeight="true" outlineLevel="0" collapsed="false"/>
    <row r="970" customFormat="false" ht="12.75" hidden="false" customHeight="true" outlineLevel="0" collapsed="false"/>
    <row r="971" customFormat="false" ht="12.75" hidden="false" customHeight="true" outlineLevel="0" collapsed="false"/>
    <row r="972" customFormat="false" ht="12.75" hidden="false" customHeight="true" outlineLevel="0" collapsed="false"/>
    <row r="973" customFormat="false" ht="12.75" hidden="false" customHeight="true" outlineLevel="0" collapsed="false"/>
    <row r="974" customFormat="false" ht="12.75" hidden="false" customHeight="true" outlineLevel="0" collapsed="false"/>
    <row r="975" customFormat="false" ht="12.75" hidden="false" customHeight="true" outlineLevel="0" collapsed="false"/>
    <row r="976" customFormat="false" ht="12.75" hidden="false" customHeight="true" outlineLevel="0" collapsed="false"/>
    <row r="977" customFormat="false" ht="12.75" hidden="false" customHeight="true" outlineLevel="0" collapsed="false"/>
    <row r="978" customFormat="false" ht="12.75" hidden="false" customHeight="true" outlineLevel="0" collapsed="false"/>
    <row r="979" customFormat="false" ht="12.75" hidden="false" customHeight="true" outlineLevel="0" collapsed="false"/>
    <row r="980" customFormat="false" ht="12.75" hidden="false" customHeight="true" outlineLevel="0" collapsed="false"/>
    <row r="981" customFormat="false" ht="12.75" hidden="false" customHeight="true" outlineLevel="0" collapsed="false"/>
    <row r="982" customFormat="false" ht="12.75" hidden="false" customHeight="true" outlineLevel="0" collapsed="false"/>
    <row r="983" customFormat="false" ht="12.75" hidden="false" customHeight="true" outlineLevel="0" collapsed="false"/>
    <row r="984" customFormat="false" ht="12.75" hidden="false" customHeight="true" outlineLevel="0" collapsed="false"/>
    <row r="985" customFormat="false" ht="12.75" hidden="false" customHeight="true" outlineLevel="0" collapsed="false"/>
    <row r="986" customFormat="false" ht="12.75" hidden="false" customHeight="true" outlineLevel="0" collapsed="false"/>
    <row r="987" customFormat="false" ht="12.75" hidden="false" customHeight="true" outlineLevel="0" collapsed="false"/>
    <row r="988" customFormat="false" ht="12.75" hidden="false" customHeight="true" outlineLevel="0" collapsed="false"/>
    <row r="989" customFormat="false" ht="12.75" hidden="false" customHeight="true" outlineLevel="0" collapsed="false"/>
    <row r="990" customFormat="false" ht="12.75" hidden="false" customHeight="true" outlineLevel="0" collapsed="false"/>
    <row r="991" customFormat="false" ht="12.75" hidden="false" customHeight="true" outlineLevel="0" collapsed="false"/>
    <row r="992" customFormat="false" ht="12.75" hidden="false" customHeight="true" outlineLevel="0" collapsed="false"/>
    <row r="993" customFormat="false" ht="12.75" hidden="false" customHeight="true" outlineLevel="0" collapsed="false"/>
    <row r="994" customFormat="false" ht="12.75" hidden="false" customHeight="true" outlineLevel="0" collapsed="false"/>
    <row r="995" customFormat="false" ht="12.75" hidden="false" customHeight="true" outlineLevel="0" collapsed="false"/>
    <row r="996" customFormat="false" ht="12.75" hidden="false" customHeight="true" outlineLevel="0" collapsed="false"/>
    <row r="997" customFormat="false" ht="12.75" hidden="false" customHeight="true" outlineLevel="0" collapsed="false"/>
    <row r="998" customFormat="false" ht="12.75" hidden="false" customHeight="true" outlineLevel="0" collapsed="false"/>
    <row r="999" customFormat="false" ht="12.75" hidden="false" customHeight="true" outlineLevel="0" collapsed="false"/>
    <row r="1000" customFormat="false" ht="12.75" hidden="false" customHeight="true" outlineLevel="0" collapsed="false"/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6796875" defaultRowHeight="15" customHeight="true" zeroHeight="false" outlineLevelRow="0" outlineLevelCol="0"/>
  <cols>
    <col collapsed="false" customWidth="true" hidden="false" outlineLevel="0" max="27" min="1" style="1" width="8.76"/>
  </cols>
  <sheetData>
    <row r="1" customFormat="false" ht="13.5" hidden="false" customHeight="true" outlineLevel="0" collapsed="false">
      <c r="A1" s="2"/>
      <c r="B1" s="76" t="s">
        <v>211</v>
      </c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3.5" hidden="false" customHeight="true" outlineLevel="0" collapsed="false">
      <c r="A2" s="2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customFormat="false" ht="13.5" hidden="false" customHeight="tru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customFormat="false" ht="13.5" hidden="false" customHeight="tru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customFormat="false" ht="13.5" hidden="false" customHeight="true" outlineLevel="0" collapsed="false">
      <c r="A5" s="229"/>
      <c r="B5" s="229"/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29"/>
      <c r="N5" s="229"/>
      <c r="O5" s="229"/>
      <c r="P5" s="229"/>
      <c r="Q5" s="229"/>
      <c r="R5" s="229"/>
      <c r="S5" s="229"/>
      <c r="T5" s="229"/>
      <c r="U5" s="229"/>
      <c r="V5" s="229"/>
      <c r="W5" s="229"/>
      <c r="X5" s="229"/>
      <c r="Y5" s="229"/>
      <c r="Z5" s="229"/>
      <c r="AA5" s="229"/>
    </row>
    <row r="6" customFormat="false" ht="13.5" hidden="false" customHeight="true" outlineLevel="0" collapsed="false">
      <c r="A6" s="229"/>
      <c r="B6" s="229"/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229"/>
      <c r="Q6" s="229"/>
      <c r="R6" s="229"/>
      <c r="S6" s="229"/>
      <c r="T6" s="229"/>
      <c r="U6" s="229"/>
      <c r="V6" s="229"/>
      <c r="W6" s="229"/>
      <c r="X6" s="229"/>
      <c r="Y6" s="229"/>
      <c r="Z6" s="229"/>
      <c r="AA6" s="229"/>
    </row>
    <row r="7" customFormat="false" ht="13.5" hidden="false" customHeight="true" outlineLevel="0" collapsed="false">
      <c r="A7" s="229"/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</row>
    <row r="8" customFormat="false" ht="13.5" hidden="false" customHeight="true" outlineLevel="0" collapsed="false">
      <c r="A8" s="229"/>
      <c r="B8" s="229"/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</row>
    <row r="9" customFormat="false" ht="13.5" hidden="false" customHeight="true" outlineLevel="0" collapsed="false">
      <c r="A9" s="229"/>
      <c r="B9" s="229"/>
      <c r="C9" s="229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</row>
    <row r="10" customFormat="false" ht="13.5" hidden="false" customHeight="true" outlineLevel="0" collapsed="false">
      <c r="A10" s="229"/>
      <c r="B10" s="229"/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</row>
    <row r="11" customFormat="false" ht="13.5" hidden="false" customHeight="true" outlineLevel="0" collapsed="false">
      <c r="A11" s="229"/>
      <c r="B11" s="229"/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</row>
    <row r="12" customFormat="false" ht="13.5" hidden="false" customHeight="true" outlineLevel="0" collapsed="false">
      <c r="A12" s="229"/>
      <c r="B12" s="229"/>
      <c r="C12" s="229"/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</row>
    <row r="13" customFormat="false" ht="13.5" hidden="false" customHeight="true" outlineLevel="0" collapsed="false">
      <c r="A13" s="229"/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</row>
    <row r="14" customFormat="false" ht="13.5" hidden="false" customHeight="true" outlineLevel="0" collapsed="false">
      <c r="A14" s="229"/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29"/>
      <c r="S14" s="229"/>
      <c r="T14" s="229"/>
      <c r="U14" s="229"/>
      <c r="V14" s="229"/>
      <c r="W14" s="229"/>
      <c r="X14" s="229"/>
      <c r="Y14" s="229"/>
      <c r="Z14" s="229"/>
      <c r="AA14" s="229"/>
    </row>
    <row r="15" customFormat="false" ht="13.5" hidden="false" customHeight="true" outlineLevel="0" collapsed="false">
      <c r="A15" s="229"/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  <c r="M15" s="229"/>
      <c r="N15" s="229"/>
      <c r="O15" s="229"/>
      <c r="P15" s="229"/>
      <c r="Q15" s="229"/>
      <c r="R15" s="229"/>
      <c r="S15" s="229"/>
      <c r="T15" s="229"/>
      <c r="U15" s="229"/>
      <c r="V15" s="229"/>
      <c r="W15" s="229"/>
      <c r="X15" s="229"/>
      <c r="Y15" s="229"/>
      <c r="Z15" s="229"/>
      <c r="AA15" s="229"/>
    </row>
    <row r="16" customFormat="false" ht="13.5" hidden="false" customHeight="true" outlineLevel="0" collapsed="false">
      <c r="A16" s="229"/>
      <c r="B16" s="229"/>
      <c r="C16" s="229"/>
      <c r="D16" s="229"/>
      <c r="E16" s="229"/>
      <c r="F16" s="229"/>
      <c r="G16" s="229"/>
      <c r="H16" s="229"/>
      <c r="I16" s="229"/>
      <c r="J16" s="229"/>
      <c r="K16" s="229"/>
      <c r="L16" s="229"/>
      <c r="M16" s="229"/>
      <c r="N16" s="229"/>
      <c r="O16" s="229"/>
      <c r="P16" s="229"/>
      <c r="Q16" s="229"/>
      <c r="R16" s="229"/>
      <c r="S16" s="229"/>
      <c r="T16" s="229"/>
      <c r="U16" s="229"/>
      <c r="V16" s="229"/>
      <c r="W16" s="229"/>
      <c r="X16" s="229"/>
      <c r="Y16" s="229"/>
      <c r="Z16" s="229"/>
      <c r="AA16" s="229"/>
    </row>
    <row r="17" customFormat="false" ht="13.5" hidden="false" customHeight="true" outlineLevel="0" collapsed="false">
      <c r="A17" s="229"/>
      <c r="B17" s="229"/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229"/>
      <c r="Q17" s="229"/>
      <c r="R17" s="229"/>
      <c r="S17" s="229"/>
      <c r="T17" s="229"/>
      <c r="U17" s="229"/>
      <c r="V17" s="229"/>
      <c r="W17" s="229"/>
      <c r="X17" s="229"/>
      <c r="Y17" s="229"/>
      <c r="Z17" s="229"/>
      <c r="AA17" s="229"/>
    </row>
    <row r="18" customFormat="false" ht="13.5" hidden="false" customHeight="true" outlineLevel="0" collapsed="false">
      <c r="A18" s="229"/>
      <c r="B18" s="229"/>
      <c r="C18" s="229"/>
      <c r="D18" s="229"/>
      <c r="E18" s="229"/>
      <c r="F18" s="229"/>
      <c r="G18" s="229"/>
      <c r="H18" s="229"/>
      <c r="I18" s="229"/>
      <c r="J18" s="229"/>
      <c r="K18" s="229"/>
      <c r="L18" s="229"/>
      <c r="M18" s="229"/>
      <c r="N18" s="229"/>
      <c r="O18" s="229"/>
      <c r="P18" s="229"/>
      <c r="Q18" s="229"/>
      <c r="R18" s="229"/>
      <c r="S18" s="229"/>
      <c r="T18" s="229"/>
      <c r="U18" s="229"/>
      <c r="V18" s="229"/>
      <c r="W18" s="229"/>
      <c r="X18" s="229"/>
      <c r="Y18" s="229"/>
      <c r="Z18" s="229"/>
      <c r="AA18" s="229"/>
    </row>
    <row r="19" customFormat="false" ht="13.5" hidden="false" customHeight="true" outlineLevel="0" collapsed="false">
      <c r="A19" s="229"/>
      <c r="B19" s="229"/>
      <c r="C19" s="229"/>
      <c r="D19" s="229"/>
      <c r="E19" s="229"/>
      <c r="F19" s="229"/>
      <c r="G19" s="229"/>
      <c r="H19" s="229"/>
      <c r="I19" s="229"/>
      <c r="J19" s="229"/>
      <c r="K19" s="229"/>
      <c r="L19" s="229"/>
      <c r="M19" s="229"/>
      <c r="N19" s="229"/>
      <c r="O19" s="229"/>
      <c r="P19" s="229"/>
      <c r="Q19" s="229"/>
      <c r="R19" s="229"/>
      <c r="S19" s="229"/>
      <c r="T19" s="229"/>
      <c r="U19" s="229"/>
      <c r="V19" s="229"/>
      <c r="W19" s="229"/>
      <c r="X19" s="229"/>
      <c r="Y19" s="229"/>
      <c r="Z19" s="229"/>
      <c r="AA19" s="229"/>
    </row>
    <row r="20" customFormat="false" ht="13.5" hidden="false" customHeight="true" outlineLevel="0" collapsed="false">
      <c r="A20" s="229"/>
      <c r="B20" s="229"/>
      <c r="C20" s="229"/>
      <c r="D20" s="229"/>
      <c r="E20" s="229"/>
      <c r="F20" s="229"/>
      <c r="G20" s="229"/>
      <c r="H20" s="229"/>
      <c r="I20" s="229"/>
      <c r="J20" s="229"/>
      <c r="K20" s="229"/>
      <c r="L20" s="229"/>
      <c r="M20" s="229"/>
      <c r="N20" s="229"/>
      <c r="O20" s="229"/>
      <c r="P20" s="229"/>
      <c r="Q20" s="229"/>
      <c r="R20" s="229"/>
      <c r="S20" s="229"/>
      <c r="T20" s="229"/>
      <c r="U20" s="229"/>
      <c r="V20" s="229"/>
      <c r="W20" s="229"/>
      <c r="X20" s="229"/>
      <c r="Y20" s="229"/>
      <c r="Z20" s="229"/>
      <c r="AA20" s="229"/>
    </row>
    <row r="21" customFormat="false" ht="13.5" hidden="false" customHeight="true" outlineLevel="0" collapsed="false">
      <c r="A21" s="229"/>
      <c r="B21" s="229"/>
      <c r="C21" s="229"/>
      <c r="D21" s="229"/>
      <c r="E21" s="229"/>
      <c r="F21" s="229"/>
      <c r="G21" s="229"/>
      <c r="H21" s="229"/>
      <c r="I21" s="229"/>
      <c r="J21" s="229"/>
      <c r="K21" s="229"/>
      <c r="L21" s="229"/>
      <c r="M21" s="229"/>
      <c r="N21" s="229"/>
      <c r="O21" s="229"/>
      <c r="P21" s="229"/>
      <c r="Q21" s="229"/>
      <c r="R21" s="229"/>
      <c r="S21" s="229"/>
      <c r="T21" s="229"/>
      <c r="U21" s="229"/>
      <c r="V21" s="229"/>
      <c r="W21" s="229"/>
      <c r="X21" s="229"/>
      <c r="Y21" s="229"/>
      <c r="Z21" s="229"/>
      <c r="AA21" s="229"/>
    </row>
    <row r="22" customFormat="false" ht="13.5" hidden="false" customHeight="true" outlineLevel="0" collapsed="false">
      <c r="A22" s="229"/>
      <c r="B22" s="229"/>
      <c r="C22" s="229"/>
      <c r="D22" s="229"/>
      <c r="E22" s="229"/>
      <c r="F22" s="229"/>
      <c r="G22" s="229"/>
      <c r="H22" s="229"/>
      <c r="I22" s="229"/>
      <c r="J22" s="229"/>
      <c r="K22" s="229"/>
      <c r="L22" s="229"/>
      <c r="M22" s="229"/>
      <c r="N22" s="229"/>
      <c r="O22" s="229"/>
      <c r="P22" s="229"/>
      <c r="Q22" s="229"/>
      <c r="R22" s="229"/>
      <c r="S22" s="229"/>
      <c r="T22" s="229"/>
      <c r="U22" s="229"/>
      <c r="V22" s="229"/>
      <c r="W22" s="229"/>
      <c r="X22" s="229"/>
      <c r="Y22" s="229"/>
      <c r="Z22" s="229"/>
      <c r="AA22" s="229"/>
    </row>
    <row r="23" customFormat="false" ht="13.5" hidden="false" customHeight="true" outlineLevel="0" collapsed="false">
      <c r="A23" s="229"/>
      <c r="B23" s="229"/>
      <c r="C23" s="229"/>
      <c r="D23" s="229"/>
      <c r="E23" s="229"/>
      <c r="F23" s="229"/>
      <c r="G23" s="229"/>
      <c r="H23" s="229"/>
      <c r="I23" s="229"/>
      <c r="J23" s="229"/>
      <c r="K23" s="229"/>
      <c r="L23" s="229"/>
      <c r="M23" s="229"/>
      <c r="N23" s="229"/>
      <c r="O23" s="229"/>
      <c r="P23" s="229"/>
      <c r="Q23" s="229"/>
      <c r="R23" s="229"/>
      <c r="S23" s="229"/>
      <c r="T23" s="229"/>
      <c r="U23" s="229"/>
      <c r="V23" s="229"/>
      <c r="W23" s="229"/>
      <c r="X23" s="229"/>
      <c r="Y23" s="229"/>
      <c r="Z23" s="229"/>
      <c r="AA23" s="229"/>
    </row>
    <row r="24" customFormat="false" ht="13.5" hidden="false" customHeight="true" outlineLevel="0" collapsed="false">
      <c r="A24" s="229"/>
      <c r="B24" s="229"/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  <c r="R24" s="229"/>
      <c r="S24" s="229"/>
      <c r="T24" s="229"/>
      <c r="U24" s="229"/>
      <c r="V24" s="229"/>
      <c r="W24" s="229"/>
      <c r="X24" s="229"/>
      <c r="Y24" s="229"/>
      <c r="Z24" s="229"/>
      <c r="AA24" s="229"/>
    </row>
    <row r="25" customFormat="false" ht="13.5" hidden="false" customHeight="true" outlineLevel="0" collapsed="false">
      <c r="A25" s="229"/>
      <c r="B25" s="229"/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29"/>
      <c r="S25" s="229"/>
      <c r="T25" s="229"/>
      <c r="U25" s="229"/>
      <c r="V25" s="229"/>
      <c r="W25" s="229"/>
      <c r="X25" s="229"/>
      <c r="Y25" s="229"/>
      <c r="Z25" s="229"/>
      <c r="AA25" s="229"/>
    </row>
    <row r="26" customFormat="false" ht="13.5" hidden="false" customHeight="true" outlineLevel="0" collapsed="false">
      <c r="A26" s="229"/>
      <c r="B26" s="229"/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/>
      <c r="P26" s="229"/>
      <c r="Q26" s="229"/>
      <c r="R26" s="229"/>
      <c r="S26" s="229"/>
      <c r="T26" s="229"/>
      <c r="U26" s="229"/>
      <c r="V26" s="229"/>
      <c r="W26" s="229"/>
      <c r="X26" s="229"/>
      <c r="Y26" s="229"/>
      <c r="Z26" s="229"/>
      <c r="AA26" s="229"/>
    </row>
    <row r="27" customFormat="false" ht="13.5" hidden="false" customHeight="true" outlineLevel="0" collapsed="false">
      <c r="A27" s="229"/>
      <c r="B27" s="229"/>
      <c r="C27" s="229"/>
      <c r="D27" s="229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29"/>
      <c r="P27" s="229"/>
      <c r="Q27" s="229"/>
      <c r="R27" s="229"/>
      <c r="S27" s="229"/>
      <c r="T27" s="229"/>
      <c r="U27" s="229"/>
      <c r="V27" s="229"/>
      <c r="W27" s="229"/>
      <c r="X27" s="229"/>
      <c r="Y27" s="229"/>
      <c r="Z27" s="229"/>
      <c r="AA27" s="229"/>
    </row>
    <row r="28" customFormat="false" ht="13.5" hidden="false" customHeight="true" outlineLevel="0" collapsed="false">
      <c r="A28" s="229"/>
      <c r="B28" s="229"/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29"/>
      <c r="Q28" s="229"/>
      <c r="R28" s="229"/>
      <c r="S28" s="229"/>
      <c r="T28" s="229"/>
      <c r="U28" s="229"/>
      <c r="V28" s="229"/>
      <c r="W28" s="229"/>
      <c r="X28" s="229"/>
      <c r="Y28" s="229"/>
      <c r="Z28" s="229"/>
      <c r="AA28" s="229"/>
    </row>
    <row r="29" customFormat="false" ht="13.5" hidden="false" customHeight="true" outlineLevel="0" collapsed="false">
      <c r="A29" s="229"/>
      <c r="B29" s="229"/>
      <c r="C29" s="229"/>
      <c r="D29" s="229"/>
      <c r="E29" s="229"/>
      <c r="F29" s="229"/>
      <c r="G29" s="229"/>
      <c r="H29" s="229"/>
      <c r="I29" s="229"/>
      <c r="J29" s="229"/>
      <c r="K29" s="229"/>
      <c r="L29" s="229"/>
      <c r="M29" s="229"/>
      <c r="N29" s="229"/>
      <c r="O29" s="229"/>
      <c r="P29" s="229"/>
      <c r="Q29" s="229"/>
      <c r="R29" s="229"/>
      <c r="S29" s="229"/>
      <c r="T29" s="229"/>
      <c r="U29" s="229"/>
      <c r="V29" s="229"/>
      <c r="W29" s="229"/>
      <c r="X29" s="229"/>
      <c r="Y29" s="229"/>
      <c r="Z29" s="229"/>
      <c r="AA29" s="229"/>
    </row>
    <row r="30" customFormat="false" ht="13.5" hidden="false" customHeight="true" outlineLevel="0" collapsed="false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29"/>
      <c r="X30" s="229"/>
      <c r="Y30" s="229"/>
      <c r="Z30" s="229"/>
      <c r="AA30" s="229"/>
    </row>
    <row r="31" customFormat="false" ht="13.5" hidden="false" customHeight="true" outlineLevel="0" collapsed="false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</row>
    <row r="32" customFormat="false" ht="13.5" hidden="false" customHeight="true" outlineLevel="0" collapsed="false">
      <c r="A32" s="229"/>
      <c r="B32" s="229"/>
      <c r="C32" s="229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29"/>
      <c r="X32" s="229"/>
      <c r="Y32" s="229"/>
      <c r="Z32" s="229"/>
      <c r="AA32" s="229"/>
    </row>
    <row r="33" customFormat="false" ht="13.5" hidden="false" customHeight="true" outlineLevel="0" collapsed="false">
      <c r="A33" s="229"/>
      <c r="B33" s="229"/>
      <c r="C33" s="229"/>
      <c r="D33" s="229"/>
      <c r="E33" s="229"/>
      <c r="F33" s="229"/>
      <c r="G33" s="229"/>
      <c r="H33" s="229"/>
      <c r="I33" s="229"/>
      <c r="J33" s="229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29"/>
      <c r="X33" s="229"/>
      <c r="Y33" s="229"/>
      <c r="Z33" s="229"/>
      <c r="AA33" s="229"/>
    </row>
    <row r="34" customFormat="false" ht="13.5" hidden="false" customHeight="true" outlineLevel="0" collapsed="false">
      <c r="A34" s="229"/>
      <c r="B34" s="229"/>
      <c r="C34" s="229"/>
      <c r="D34" s="229"/>
      <c r="E34" s="229"/>
      <c r="F34" s="229"/>
      <c r="G34" s="229"/>
      <c r="H34" s="229"/>
      <c r="I34" s="229"/>
      <c r="J34" s="229"/>
      <c r="K34" s="229"/>
      <c r="L34" s="229"/>
      <c r="M34" s="229"/>
      <c r="N34" s="229"/>
      <c r="O34" s="229"/>
      <c r="P34" s="229"/>
      <c r="Q34" s="229"/>
      <c r="R34" s="229"/>
      <c r="S34" s="229"/>
      <c r="T34" s="229"/>
      <c r="U34" s="229"/>
      <c r="V34" s="229"/>
      <c r="W34" s="229"/>
      <c r="X34" s="229"/>
      <c r="Y34" s="229"/>
      <c r="Z34" s="229"/>
      <c r="AA34" s="229"/>
    </row>
    <row r="35" customFormat="false" ht="13.5" hidden="false" customHeight="true" outlineLevel="0" collapsed="false">
      <c r="A35" s="229"/>
      <c r="B35" s="229"/>
      <c r="C35" s="229"/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29"/>
      <c r="X35" s="229"/>
      <c r="Y35" s="229"/>
      <c r="Z35" s="229"/>
      <c r="AA35" s="229"/>
    </row>
    <row r="36" customFormat="false" ht="13.5" hidden="false" customHeight="true" outlineLevel="0" collapsed="false">
      <c r="A36" s="229"/>
      <c r="B36" s="229"/>
      <c r="C36" s="229"/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  <c r="Y36" s="229"/>
      <c r="Z36" s="229"/>
      <c r="AA36" s="229"/>
    </row>
    <row r="37" customFormat="false" ht="13.5" hidden="false" customHeight="true" outlineLevel="0" collapsed="false">
      <c r="A37" s="229"/>
      <c r="B37" s="229"/>
      <c r="C37" s="229"/>
      <c r="D37" s="229"/>
      <c r="E37" s="229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29"/>
      <c r="W37" s="229"/>
      <c r="X37" s="229"/>
      <c r="Y37" s="229"/>
      <c r="Z37" s="229"/>
      <c r="AA37" s="229"/>
    </row>
    <row r="38" customFormat="false" ht="13.5" hidden="false" customHeight="true" outlineLevel="0" collapsed="false">
      <c r="A38" s="229"/>
      <c r="B38" s="229"/>
      <c r="C38" s="229"/>
      <c r="D38" s="229"/>
      <c r="E38" s="229"/>
      <c r="F38" s="229"/>
      <c r="G38" s="229"/>
      <c r="H38" s="229"/>
      <c r="I38" s="229"/>
      <c r="J38" s="229"/>
      <c r="K38" s="229"/>
      <c r="L38" s="229"/>
      <c r="M38" s="229"/>
      <c r="N38" s="229"/>
      <c r="O38" s="229"/>
      <c r="P38" s="229"/>
      <c r="Q38" s="229"/>
      <c r="R38" s="229"/>
      <c r="S38" s="229"/>
      <c r="T38" s="229"/>
      <c r="U38" s="229"/>
      <c r="V38" s="229"/>
      <c r="W38" s="229"/>
      <c r="X38" s="229"/>
      <c r="Y38" s="229"/>
      <c r="Z38" s="229"/>
      <c r="AA38" s="229"/>
    </row>
    <row r="39" customFormat="false" ht="13.5" hidden="false" customHeight="true" outlineLevel="0" collapsed="false">
      <c r="A39" s="229"/>
      <c r="B39" s="229"/>
      <c r="C39" s="229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/>
    </row>
    <row r="40" customFormat="false" ht="13.5" hidden="false" customHeight="true" outlineLevel="0" collapsed="false">
      <c r="A40" s="229"/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229"/>
      <c r="W40" s="229"/>
      <c r="X40" s="229"/>
      <c r="Y40" s="229"/>
      <c r="Z40" s="229"/>
      <c r="AA40" s="229"/>
    </row>
    <row r="41" customFormat="false" ht="13.5" hidden="false" customHeight="true" outlineLevel="0" collapsed="false">
      <c r="A41" s="229"/>
      <c r="B41" s="229"/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/>
    </row>
    <row r="42" customFormat="false" ht="13.5" hidden="false" customHeight="true" outlineLevel="0" collapsed="false">
      <c r="A42" s="229"/>
      <c r="B42" s="229"/>
      <c r="C42" s="229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29"/>
      <c r="X42" s="229"/>
      <c r="Y42" s="229"/>
      <c r="Z42" s="229"/>
      <c r="AA42" s="229"/>
    </row>
    <row r="43" customFormat="false" ht="13.5" hidden="false" customHeight="true" outlineLevel="0" collapsed="false">
      <c r="A43" s="229"/>
      <c r="B43" s="229"/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  <c r="Q43" s="229"/>
      <c r="R43" s="229"/>
      <c r="S43" s="229"/>
      <c r="T43" s="229"/>
      <c r="U43" s="229"/>
      <c r="V43" s="229"/>
      <c r="W43" s="229"/>
      <c r="X43" s="229"/>
      <c r="Y43" s="229"/>
      <c r="Z43" s="229"/>
      <c r="AA43" s="229"/>
    </row>
    <row r="44" customFormat="false" ht="13.5" hidden="false" customHeight="true" outlineLevel="0" collapsed="false">
      <c r="A44" s="229"/>
      <c r="B44" s="229"/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29"/>
      <c r="X44" s="229"/>
      <c r="Y44" s="229"/>
      <c r="Z44" s="229"/>
      <c r="AA44" s="229"/>
    </row>
    <row r="45" customFormat="false" ht="13.5" hidden="false" customHeight="true" outlineLevel="0" collapsed="false">
      <c r="A45" s="229"/>
      <c r="B45" s="229"/>
      <c r="C45" s="229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/>
    </row>
    <row r="46" customFormat="false" ht="13.5" hidden="false" customHeight="true" outlineLevel="0" collapsed="false">
      <c r="A46" s="229"/>
      <c r="B46" s="229"/>
      <c r="C46" s="229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/>
    </row>
    <row r="47" customFormat="false" ht="13.5" hidden="false" customHeight="true" outlineLevel="0" collapsed="false">
      <c r="A47" s="229"/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29"/>
      <c r="P47" s="229"/>
      <c r="Q47" s="229"/>
      <c r="R47" s="229"/>
      <c r="S47" s="229"/>
      <c r="T47" s="229"/>
      <c r="U47" s="229"/>
      <c r="V47" s="229"/>
      <c r="W47" s="229"/>
      <c r="X47" s="229"/>
      <c r="Y47" s="229"/>
      <c r="Z47" s="229"/>
      <c r="AA47" s="229"/>
    </row>
    <row r="48" customFormat="false" ht="13.5" hidden="false" customHeight="true" outlineLevel="0" collapsed="false">
      <c r="A48" s="229"/>
      <c r="B48" s="229"/>
      <c r="C48" s="229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29"/>
      <c r="O48" s="229"/>
      <c r="P48" s="229"/>
      <c r="Q48" s="229"/>
      <c r="R48" s="229"/>
      <c r="S48" s="229"/>
      <c r="T48" s="229"/>
      <c r="U48" s="229"/>
      <c r="V48" s="229"/>
      <c r="W48" s="229"/>
      <c r="X48" s="229"/>
      <c r="Y48" s="229"/>
      <c r="Z48" s="229"/>
      <c r="AA48" s="229"/>
    </row>
    <row r="49" customFormat="false" ht="13.5" hidden="false" customHeight="true" outlineLevel="0" collapsed="false">
      <c r="A49" s="229"/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</row>
    <row r="50" customFormat="false" ht="13.5" hidden="false" customHeight="true" outlineLevel="0" collapsed="false">
      <c r="A50" s="229"/>
      <c r="B50" s="229"/>
      <c r="C50" s="229"/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29"/>
      <c r="X50" s="229"/>
      <c r="Y50" s="229"/>
      <c r="Z50" s="229"/>
      <c r="AA50" s="229"/>
    </row>
    <row r="51" customFormat="false" ht="13.5" hidden="false" customHeight="true" outlineLevel="0" collapsed="false">
      <c r="A51" s="229"/>
      <c r="B51" s="229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</row>
    <row r="52" customFormat="false" ht="13.5" hidden="false" customHeight="true" outlineLevel="0" collapsed="false">
      <c r="A52" s="229"/>
      <c r="B52" s="229"/>
      <c r="C52" s="229"/>
      <c r="D52" s="229"/>
      <c r="E52" s="229"/>
      <c r="F52" s="229"/>
      <c r="G52" s="229"/>
      <c r="H52" s="229"/>
      <c r="I52" s="229"/>
      <c r="J52" s="229"/>
      <c r="K52" s="229"/>
      <c r="L52" s="229"/>
      <c r="M52" s="229"/>
      <c r="N52" s="229"/>
      <c r="O52" s="229"/>
      <c r="P52" s="229"/>
      <c r="Q52" s="229"/>
      <c r="R52" s="229"/>
      <c r="S52" s="229"/>
      <c r="T52" s="229"/>
      <c r="U52" s="229"/>
      <c r="V52" s="229"/>
      <c r="W52" s="229"/>
      <c r="X52" s="229"/>
      <c r="Y52" s="229"/>
      <c r="Z52" s="229"/>
      <c r="AA52" s="229"/>
    </row>
    <row r="53" customFormat="false" ht="13.5" hidden="false" customHeight="true" outlineLevel="0" collapsed="false">
      <c r="A53" s="229"/>
      <c r="B53" s="229"/>
      <c r="C53" s="229"/>
      <c r="D53" s="229"/>
      <c r="E53" s="229"/>
      <c r="F53" s="229"/>
      <c r="G53" s="229"/>
      <c r="H53" s="229"/>
      <c r="I53" s="229"/>
      <c r="J53" s="229"/>
      <c r="K53" s="229"/>
      <c r="L53" s="229"/>
      <c r="M53" s="229"/>
      <c r="N53" s="229"/>
      <c r="O53" s="229"/>
      <c r="P53" s="229"/>
      <c r="Q53" s="229"/>
      <c r="R53" s="229"/>
      <c r="S53" s="229"/>
      <c r="T53" s="229"/>
      <c r="U53" s="229"/>
      <c r="V53" s="229"/>
      <c r="W53" s="229"/>
      <c r="X53" s="229"/>
      <c r="Y53" s="229"/>
      <c r="Z53" s="229"/>
      <c r="AA53" s="229"/>
    </row>
    <row r="54" customFormat="false" ht="13.5" hidden="false" customHeight="true" outlineLevel="0" collapsed="false">
      <c r="A54" s="229"/>
      <c r="B54" s="229"/>
      <c r="C54" s="229"/>
      <c r="D54" s="229"/>
      <c r="E54" s="229"/>
      <c r="F54" s="229"/>
      <c r="G54" s="229"/>
      <c r="H54" s="229"/>
      <c r="I54" s="229"/>
      <c r="J54" s="229"/>
      <c r="K54" s="229"/>
      <c r="L54" s="229"/>
      <c r="M54" s="229"/>
      <c r="N54" s="229"/>
      <c r="O54" s="229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</row>
    <row r="55" customFormat="false" ht="13.5" hidden="false" customHeight="true" outlineLevel="0" collapsed="false">
      <c r="A55" s="229"/>
      <c r="B55" s="229"/>
      <c r="C55" s="229"/>
      <c r="D55" s="229"/>
      <c r="E55" s="229"/>
      <c r="F55" s="229"/>
      <c r="G55" s="229"/>
      <c r="H55" s="229"/>
      <c r="I55" s="229"/>
      <c r="J55" s="229"/>
      <c r="K55" s="229"/>
      <c r="L55" s="229"/>
      <c r="M55" s="229"/>
      <c r="N55" s="229"/>
      <c r="O55" s="229"/>
      <c r="P55" s="229"/>
      <c r="Q55" s="229"/>
      <c r="R55" s="229"/>
      <c r="S55" s="229"/>
      <c r="T55" s="229"/>
      <c r="U55" s="229"/>
      <c r="V55" s="229"/>
      <c r="W55" s="229"/>
      <c r="X55" s="229"/>
      <c r="Y55" s="229"/>
      <c r="Z55" s="229"/>
      <c r="AA55" s="229"/>
    </row>
    <row r="56" customFormat="false" ht="13.5" hidden="false" customHeight="true" outlineLevel="0" collapsed="false">
      <c r="A56" s="229"/>
      <c r="B56" s="229"/>
      <c r="C56" s="229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/>
    </row>
    <row r="57" customFormat="false" ht="13.5" hidden="false" customHeight="true" outlineLevel="0" collapsed="false">
      <c r="A57" s="229"/>
      <c r="B57" s="229"/>
      <c r="C57" s="229"/>
      <c r="D57" s="229"/>
      <c r="E57" s="229"/>
      <c r="F57" s="229"/>
      <c r="G57" s="229"/>
      <c r="H57" s="229"/>
      <c r="I57" s="229"/>
      <c r="J57" s="229"/>
      <c r="K57" s="229"/>
      <c r="L57" s="229"/>
      <c r="M57" s="229"/>
      <c r="N57" s="229"/>
      <c r="O57" s="229"/>
      <c r="P57" s="229"/>
      <c r="Q57" s="229"/>
      <c r="R57" s="229"/>
      <c r="S57" s="229"/>
      <c r="T57" s="229"/>
      <c r="U57" s="229"/>
      <c r="V57" s="229"/>
      <c r="W57" s="229"/>
      <c r="X57" s="229"/>
      <c r="Y57" s="229"/>
      <c r="Z57" s="229"/>
      <c r="AA57" s="229"/>
    </row>
    <row r="58" customFormat="false" ht="13.5" hidden="false" customHeight="true" outlineLevel="0" collapsed="false">
      <c r="A58" s="229"/>
      <c r="B58" s="229"/>
      <c r="C58" s="229"/>
      <c r="D58" s="229"/>
      <c r="E58" s="229"/>
      <c r="F58" s="229"/>
      <c r="G58" s="229"/>
      <c r="H58" s="229"/>
      <c r="I58" s="229"/>
      <c r="J58" s="229"/>
      <c r="K58" s="229"/>
      <c r="L58" s="229"/>
      <c r="M58" s="229"/>
      <c r="N58" s="229"/>
      <c r="O58" s="229"/>
      <c r="P58" s="229"/>
      <c r="Q58" s="229"/>
      <c r="R58" s="229"/>
      <c r="S58" s="229"/>
      <c r="T58" s="229"/>
      <c r="U58" s="229"/>
      <c r="V58" s="229"/>
      <c r="W58" s="229"/>
      <c r="X58" s="229"/>
      <c r="Y58" s="229"/>
      <c r="Z58" s="229"/>
      <c r="AA58" s="229"/>
    </row>
    <row r="59" customFormat="false" ht="13.5" hidden="false" customHeight="true" outlineLevel="0" collapsed="false">
      <c r="A59" s="229"/>
      <c r="B59" s="229"/>
      <c r="C59" s="229"/>
      <c r="D59" s="229"/>
      <c r="E59" s="229"/>
      <c r="F59" s="229"/>
      <c r="G59" s="229"/>
      <c r="H59" s="229"/>
      <c r="I59" s="229"/>
      <c r="J59" s="229"/>
      <c r="K59" s="229"/>
      <c r="L59" s="229"/>
      <c r="M59" s="229"/>
      <c r="N59" s="229"/>
      <c r="O59" s="229"/>
      <c r="P59" s="229"/>
      <c r="Q59" s="229"/>
      <c r="R59" s="229"/>
      <c r="S59" s="229"/>
      <c r="T59" s="229"/>
      <c r="U59" s="229"/>
      <c r="V59" s="229"/>
      <c r="W59" s="229"/>
      <c r="X59" s="229"/>
      <c r="Y59" s="229"/>
      <c r="Z59" s="229"/>
      <c r="AA59" s="229"/>
    </row>
    <row r="60" customFormat="false" ht="13.5" hidden="false" customHeight="true" outlineLevel="0" collapsed="false">
      <c r="A60" s="229"/>
      <c r="B60" s="229"/>
      <c r="C60" s="229"/>
      <c r="D60" s="229"/>
      <c r="E60" s="229"/>
      <c r="F60" s="229"/>
      <c r="G60" s="229"/>
      <c r="H60" s="229"/>
      <c r="I60" s="229"/>
      <c r="J60" s="229"/>
      <c r="K60" s="229"/>
      <c r="L60" s="229"/>
      <c r="M60" s="229"/>
      <c r="N60" s="229"/>
      <c r="O60" s="229"/>
      <c r="P60" s="229"/>
      <c r="Q60" s="229"/>
      <c r="R60" s="229"/>
      <c r="S60" s="229"/>
      <c r="T60" s="229"/>
      <c r="U60" s="229"/>
      <c r="V60" s="229"/>
      <c r="W60" s="229"/>
      <c r="X60" s="229"/>
      <c r="Y60" s="229"/>
      <c r="Z60" s="229"/>
      <c r="AA60" s="229"/>
    </row>
    <row r="61" customFormat="false" ht="13.5" hidden="false" customHeight="true" outlineLevel="0" collapsed="false">
      <c r="A61" s="229"/>
      <c r="B61" s="229"/>
      <c r="C61" s="229"/>
      <c r="D61" s="229"/>
      <c r="E61" s="229"/>
      <c r="F61" s="229"/>
      <c r="G61" s="229"/>
      <c r="H61" s="229"/>
      <c r="I61" s="229"/>
      <c r="J61" s="229"/>
      <c r="K61" s="229"/>
      <c r="L61" s="229"/>
      <c r="M61" s="229"/>
      <c r="N61" s="229"/>
      <c r="O61" s="229"/>
      <c r="P61" s="229"/>
      <c r="Q61" s="229"/>
      <c r="R61" s="229"/>
      <c r="S61" s="229"/>
      <c r="T61" s="229"/>
      <c r="U61" s="229"/>
      <c r="V61" s="229"/>
      <c r="W61" s="229"/>
      <c r="X61" s="229"/>
      <c r="Y61" s="229"/>
      <c r="Z61" s="229"/>
      <c r="AA61" s="229"/>
    </row>
    <row r="62" customFormat="false" ht="13.5" hidden="false" customHeight="true" outlineLevel="0" collapsed="false">
      <c r="A62" s="229"/>
      <c r="B62" s="229"/>
      <c r="C62" s="229"/>
      <c r="D62" s="229"/>
      <c r="E62" s="229"/>
      <c r="F62" s="229"/>
      <c r="G62" s="229"/>
      <c r="H62" s="229"/>
      <c r="I62" s="229"/>
      <c r="J62" s="229"/>
      <c r="K62" s="229"/>
      <c r="L62" s="229"/>
      <c r="M62" s="229"/>
      <c r="N62" s="229"/>
      <c r="O62" s="229"/>
      <c r="P62" s="229"/>
      <c r="Q62" s="229"/>
      <c r="R62" s="229"/>
      <c r="S62" s="229"/>
      <c r="T62" s="229"/>
      <c r="U62" s="229"/>
      <c r="V62" s="229"/>
      <c r="W62" s="229"/>
      <c r="X62" s="229"/>
      <c r="Y62" s="229"/>
      <c r="Z62" s="229"/>
      <c r="AA62" s="229"/>
    </row>
    <row r="63" customFormat="false" ht="13.5" hidden="false" customHeight="true" outlineLevel="0" collapsed="false">
      <c r="A63" s="229"/>
      <c r="B63" s="229"/>
      <c r="C63" s="229"/>
      <c r="D63" s="229"/>
      <c r="E63" s="229"/>
      <c r="F63" s="229"/>
      <c r="G63" s="229"/>
      <c r="H63" s="229"/>
      <c r="I63" s="229"/>
      <c r="J63" s="229"/>
      <c r="K63" s="229"/>
      <c r="L63" s="229"/>
      <c r="M63" s="229"/>
      <c r="N63" s="229"/>
      <c r="O63" s="229"/>
      <c r="P63" s="229"/>
      <c r="Q63" s="229"/>
      <c r="R63" s="229"/>
      <c r="S63" s="229"/>
      <c r="T63" s="229"/>
      <c r="U63" s="229"/>
      <c r="V63" s="229"/>
      <c r="W63" s="229"/>
      <c r="X63" s="229"/>
      <c r="Y63" s="229"/>
      <c r="Z63" s="229"/>
      <c r="AA63" s="229"/>
    </row>
    <row r="64" customFormat="false" ht="13.5" hidden="false" customHeight="true" outlineLevel="0" collapsed="false">
      <c r="A64" s="229"/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29"/>
      <c r="P64" s="229"/>
      <c r="Q64" s="229"/>
      <c r="R64" s="229"/>
      <c r="S64" s="229"/>
      <c r="T64" s="229"/>
      <c r="U64" s="229"/>
      <c r="V64" s="229"/>
      <c r="W64" s="229"/>
      <c r="X64" s="229"/>
      <c r="Y64" s="229"/>
      <c r="Z64" s="229"/>
      <c r="AA64" s="229"/>
    </row>
    <row r="65" customFormat="false" ht="13.5" hidden="false" customHeight="true" outlineLevel="0" collapsed="false">
      <c r="A65" s="229"/>
      <c r="B65" s="229"/>
      <c r="C65" s="229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</row>
    <row r="66" customFormat="false" ht="13.5" hidden="false" customHeight="true" outlineLevel="0" collapsed="false">
      <c r="A66" s="229"/>
      <c r="B66" s="229"/>
      <c r="C66" s="229"/>
      <c r="D66" s="229"/>
      <c r="E66" s="229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29"/>
      <c r="Q66" s="229"/>
      <c r="R66" s="229"/>
      <c r="S66" s="229"/>
      <c r="T66" s="229"/>
      <c r="U66" s="229"/>
      <c r="V66" s="229"/>
      <c r="W66" s="229"/>
      <c r="X66" s="229"/>
      <c r="Y66" s="229"/>
      <c r="Z66" s="229"/>
      <c r="AA66" s="229"/>
    </row>
    <row r="67" customFormat="false" ht="13.5" hidden="false" customHeight="true" outlineLevel="0" collapsed="false">
      <c r="A67" s="229"/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29"/>
      <c r="Q67" s="229"/>
      <c r="R67" s="229"/>
      <c r="S67" s="229"/>
      <c r="T67" s="229"/>
      <c r="U67" s="229"/>
      <c r="V67" s="229"/>
      <c r="W67" s="229"/>
      <c r="X67" s="229"/>
      <c r="Y67" s="229"/>
      <c r="Z67" s="229"/>
      <c r="AA67" s="229"/>
    </row>
    <row r="68" customFormat="false" ht="13.5" hidden="false" customHeight="true" outlineLevel="0" collapsed="false">
      <c r="A68" s="229"/>
      <c r="B68" s="229"/>
      <c r="C68" s="229"/>
      <c r="D68" s="229"/>
      <c r="E68" s="229"/>
      <c r="F68" s="229"/>
      <c r="G68" s="229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R68" s="229"/>
      <c r="S68" s="229"/>
      <c r="T68" s="229"/>
      <c r="U68" s="229"/>
      <c r="V68" s="229"/>
      <c r="W68" s="229"/>
      <c r="X68" s="229"/>
      <c r="Y68" s="229"/>
      <c r="Z68" s="229"/>
      <c r="AA68" s="229"/>
    </row>
    <row r="69" customFormat="false" ht="13.5" hidden="false" customHeight="true" outlineLevel="0" collapsed="false">
      <c r="A69" s="229"/>
      <c r="B69" s="229"/>
      <c r="C69" s="229"/>
      <c r="D69" s="229"/>
      <c r="E69" s="229"/>
      <c r="F69" s="229"/>
      <c r="G69" s="229"/>
      <c r="H69" s="229"/>
      <c r="I69" s="229"/>
      <c r="J69" s="229"/>
      <c r="K69" s="229"/>
      <c r="L69" s="229"/>
      <c r="M69" s="229"/>
      <c r="N69" s="229"/>
      <c r="O69" s="229"/>
      <c r="P69" s="229"/>
      <c r="Q69" s="229"/>
      <c r="R69" s="229"/>
      <c r="S69" s="229"/>
      <c r="T69" s="229"/>
      <c r="U69" s="229"/>
      <c r="V69" s="229"/>
      <c r="W69" s="229"/>
      <c r="X69" s="229"/>
      <c r="Y69" s="229"/>
      <c r="Z69" s="229"/>
      <c r="AA69" s="229"/>
    </row>
    <row r="70" customFormat="false" ht="13.5" hidden="false" customHeight="true" outlineLevel="0" collapsed="false">
      <c r="A70" s="229"/>
      <c r="B70" s="229"/>
      <c r="C70" s="229"/>
      <c r="D70" s="229"/>
      <c r="E70" s="229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29"/>
      <c r="Q70" s="229"/>
      <c r="R70" s="229"/>
      <c r="S70" s="229"/>
      <c r="T70" s="229"/>
      <c r="U70" s="229"/>
      <c r="V70" s="229"/>
      <c r="W70" s="229"/>
      <c r="X70" s="229"/>
      <c r="Y70" s="229"/>
      <c r="Z70" s="229"/>
      <c r="AA70" s="229"/>
    </row>
    <row r="71" customFormat="false" ht="13.5" hidden="false" customHeight="true" outlineLevel="0" collapsed="false">
      <c r="A71" s="229"/>
      <c r="B71" s="229"/>
      <c r="C71" s="229"/>
      <c r="D71" s="229"/>
      <c r="E71" s="229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29"/>
      <c r="Q71" s="229"/>
      <c r="R71" s="229"/>
      <c r="S71" s="229"/>
      <c r="T71" s="229"/>
      <c r="U71" s="229"/>
      <c r="V71" s="229"/>
      <c r="W71" s="229"/>
      <c r="X71" s="229"/>
      <c r="Y71" s="229"/>
      <c r="Z71" s="229"/>
      <c r="AA71" s="229"/>
    </row>
    <row r="72" customFormat="false" ht="13.5" hidden="false" customHeight="true" outlineLevel="0" collapsed="false">
      <c r="A72" s="229"/>
      <c r="B72" s="229"/>
      <c r="C72" s="229"/>
      <c r="D72" s="229"/>
      <c r="E72" s="229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29"/>
      <c r="Q72" s="229"/>
      <c r="R72" s="229"/>
      <c r="S72" s="229"/>
      <c r="T72" s="229"/>
      <c r="U72" s="229"/>
      <c r="V72" s="229"/>
      <c r="W72" s="229"/>
      <c r="X72" s="229"/>
      <c r="Y72" s="229"/>
      <c r="Z72" s="229"/>
      <c r="AA72" s="229"/>
    </row>
    <row r="73" customFormat="false" ht="13.5" hidden="false" customHeight="true" outlineLevel="0" collapsed="false">
      <c r="A73" s="229"/>
      <c r="B73" s="229"/>
      <c r="C73" s="229"/>
      <c r="D73" s="229"/>
      <c r="E73" s="229"/>
      <c r="F73" s="229"/>
      <c r="G73" s="229"/>
      <c r="H73" s="229"/>
      <c r="I73" s="229"/>
      <c r="J73" s="229"/>
      <c r="K73" s="229"/>
      <c r="L73" s="229"/>
      <c r="M73" s="229"/>
      <c r="N73" s="229"/>
      <c r="O73" s="229"/>
      <c r="P73" s="229"/>
      <c r="Q73" s="229"/>
      <c r="R73" s="229"/>
      <c r="S73" s="229"/>
      <c r="T73" s="229"/>
      <c r="U73" s="229"/>
      <c r="V73" s="229"/>
      <c r="W73" s="229"/>
      <c r="X73" s="229"/>
      <c r="Y73" s="229"/>
      <c r="Z73" s="229"/>
      <c r="AA73" s="229"/>
    </row>
    <row r="74" customFormat="false" ht="13.5" hidden="false" customHeight="true" outlineLevel="0" collapsed="false">
      <c r="A74" s="229"/>
      <c r="B74" s="229"/>
      <c r="C74" s="229"/>
      <c r="D74" s="229"/>
      <c r="E74" s="229"/>
      <c r="F74" s="229"/>
      <c r="G74" s="229"/>
      <c r="H74" s="229"/>
      <c r="I74" s="229"/>
      <c r="J74" s="229"/>
      <c r="K74" s="229"/>
      <c r="L74" s="229"/>
      <c r="M74" s="229"/>
      <c r="N74" s="229"/>
      <c r="O74" s="229"/>
      <c r="P74" s="229"/>
      <c r="Q74" s="229"/>
      <c r="R74" s="229"/>
      <c r="S74" s="229"/>
      <c r="T74" s="229"/>
      <c r="U74" s="229"/>
      <c r="V74" s="229"/>
      <c r="W74" s="229"/>
      <c r="X74" s="229"/>
      <c r="Y74" s="229"/>
      <c r="Z74" s="229"/>
      <c r="AA74" s="229"/>
    </row>
    <row r="75" customFormat="false" ht="13.5" hidden="false" customHeight="true" outlineLevel="0" collapsed="false">
      <c r="A75" s="229"/>
      <c r="B75" s="229"/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  <c r="Q75" s="229"/>
      <c r="R75" s="229"/>
      <c r="S75" s="229"/>
      <c r="T75" s="229"/>
      <c r="U75" s="229"/>
      <c r="V75" s="229"/>
      <c r="W75" s="229"/>
      <c r="X75" s="229"/>
      <c r="Y75" s="229"/>
      <c r="Z75" s="229"/>
      <c r="AA75" s="229"/>
    </row>
    <row r="76" customFormat="false" ht="13.5" hidden="false" customHeight="true" outlineLevel="0" collapsed="false">
      <c r="A76" s="229"/>
      <c r="B76" s="229"/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  <c r="Q76" s="229"/>
      <c r="R76" s="229"/>
      <c r="S76" s="229"/>
      <c r="T76" s="229"/>
      <c r="U76" s="229"/>
      <c r="V76" s="229"/>
      <c r="W76" s="229"/>
      <c r="X76" s="229"/>
      <c r="Y76" s="229"/>
      <c r="Z76" s="229"/>
      <c r="AA76" s="229"/>
    </row>
    <row r="77" customFormat="false" ht="13.5" hidden="false" customHeight="true" outlineLevel="0" collapsed="false">
      <c r="A77" s="229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  <c r="Q77" s="229"/>
      <c r="R77" s="229"/>
      <c r="S77" s="229"/>
      <c r="T77" s="229"/>
      <c r="U77" s="229"/>
      <c r="V77" s="229"/>
      <c r="W77" s="229"/>
      <c r="X77" s="229"/>
      <c r="Y77" s="229"/>
      <c r="Z77" s="229"/>
      <c r="AA77" s="229"/>
    </row>
    <row r="78" customFormat="false" ht="13.5" hidden="false" customHeight="true" outlineLevel="0" collapsed="false">
      <c r="A78" s="229"/>
      <c r="B78" s="229"/>
      <c r="C78" s="229"/>
      <c r="D78" s="229"/>
      <c r="E78" s="229"/>
      <c r="F78" s="229"/>
      <c r="G78" s="229"/>
      <c r="H78" s="229"/>
      <c r="I78" s="229"/>
      <c r="J78" s="229"/>
      <c r="K78" s="229"/>
      <c r="L78" s="229"/>
      <c r="M78" s="229"/>
      <c r="N78" s="229"/>
      <c r="O78" s="229"/>
      <c r="P78" s="229"/>
      <c r="Q78" s="229"/>
      <c r="R78" s="229"/>
      <c r="S78" s="229"/>
      <c r="T78" s="229"/>
      <c r="U78" s="229"/>
      <c r="V78" s="229"/>
      <c r="W78" s="229"/>
      <c r="X78" s="229"/>
      <c r="Y78" s="229"/>
      <c r="Z78" s="229"/>
      <c r="AA78" s="229"/>
    </row>
    <row r="79" customFormat="false" ht="13.5" hidden="false" customHeight="true" outlineLevel="0" collapsed="false">
      <c r="A79" s="229"/>
      <c r="B79" s="229"/>
      <c r="C79" s="229"/>
      <c r="D79" s="229"/>
      <c r="E79" s="229"/>
      <c r="F79" s="229"/>
      <c r="G79" s="229"/>
      <c r="H79" s="229"/>
      <c r="I79" s="229"/>
      <c r="J79" s="229"/>
      <c r="K79" s="229"/>
      <c r="L79" s="229"/>
      <c r="M79" s="229"/>
      <c r="N79" s="229"/>
      <c r="O79" s="229"/>
      <c r="P79" s="229"/>
      <c r="Q79" s="229"/>
      <c r="R79" s="229"/>
      <c r="S79" s="229"/>
      <c r="T79" s="229"/>
      <c r="U79" s="229"/>
      <c r="V79" s="229"/>
      <c r="W79" s="229"/>
      <c r="X79" s="229"/>
      <c r="Y79" s="229"/>
      <c r="Z79" s="229"/>
      <c r="AA79" s="229"/>
    </row>
    <row r="80" customFormat="false" ht="13.5" hidden="false" customHeight="true" outlineLevel="0" collapsed="false">
      <c r="A80" s="229"/>
      <c r="B80" s="229"/>
      <c r="C80" s="229"/>
      <c r="D80" s="229"/>
      <c r="E80" s="229"/>
      <c r="F80" s="229"/>
      <c r="G80" s="229"/>
      <c r="H80" s="229"/>
      <c r="I80" s="229"/>
      <c r="J80" s="229"/>
      <c r="K80" s="229"/>
      <c r="L80" s="229"/>
      <c r="M80" s="229"/>
      <c r="N80" s="229"/>
      <c r="O80" s="229"/>
      <c r="P80" s="229"/>
      <c r="Q80" s="229"/>
      <c r="R80" s="229"/>
      <c r="S80" s="229"/>
      <c r="T80" s="229"/>
      <c r="U80" s="229"/>
      <c r="V80" s="229"/>
      <c r="W80" s="229"/>
      <c r="X80" s="229"/>
      <c r="Y80" s="229"/>
      <c r="Z80" s="229"/>
      <c r="AA80" s="229"/>
    </row>
    <row r="81" customFormat="false" ht="13.5" hidden="false" customHeight="true" outlineLevel="0" collapsed="false">
      <c r="A81" s="229"/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29"/>
      <c r="P81" s="229"/>
      <c r="Q81" s="229"/>
      <c r="R81" s="229"/>
      <c r="S81" s="229"/>
      <c r="T81" s="229"/>
      <c r="U81" s="229"/>
      <c r="V81" s="229"/>
      <c r="W81" s="229"/>
      <c r="X81" s="229"/>
      <c r="Y81" s="229"/>
      <c r="Z81" s="229"/>
      <c r="AA81" s="229"/>
    </row>
    <row r="82" customFormat="false" ht="13.5" hidden="false" customHeight="true" outlineLevel="0" collapsed="false">
      <c r="A82" s="229"/>
      <c r="B82" s="229"/>
      <c r="C82" s="229"/>
      <c r="D82" s="229"/>
      <c r="E82" s="229"/>
      <c r="F82" s="229"/>
      <c r="G82" s="229"/>
      <c r="H82" s="229"/>
      <c r="I82" s="229"/>
      <c r="J82" s="229"/>
      <c r="K82" s="229"/>
      <c r="L82" s="229"/>
      <c r="M82" s="229"/>
      <c r="N82" s="229"/>
      <c r="O82" s="229"/>
      <c r="P82" s="229"/>
      <c r="Q82" s="229"/>
      <c r="R82" s="229"/>
      <c r="S82" s="229"/>
      <c r="T82" s="229"/>
      <c r="U82" s="229"/>
      <c r="V82" s="229"/>
      <c r="W82" s="229"/>
      <c r="X82" s="229"/>
      <c r="Y82" s="229"/>
      <c r="Z82" s="229"/>
      <c r="AA82" s="229"/>
    </row>
    <row r="83" customFormat="false" ht="13.5" hidden="false" customHeight="true" outlineLevel="0" collapsed="false">
      <c r="A83" s="229"/>
      <c r="B83" s="229"/>
      <c r="C83" s="229"/>
      <c r="D83" s="229"/>
      <c r="E83" s="229"/>
      <c r="F83" s="229"/>
      <c r="G83" s="229"/>
      <c r="H83" s="229"/>
      <c r="I83" s="229"/>
      <c r="J83" s="229"/>
      <c r="K83" s="229"/>
      <c r="L83" s="229"/>
      <c r="M83" s="229"/>
      <c r="N83" s="229"/>
      <c r="O83" s="229"/>
      <c r="P83" s="229"/>
      <c r="Q83" s="229"/>
      <c r="R83" s="229"/>
      <c r="S83" s="229"/>
      <c r="T83" s="229"/>
      <c r="U83" s="229"/>
      <c r="V83" s="229"/>
      <c r="W83" s="229"/>
      <c r="X83" s="229"/>
      <c r="Y83" s="229"/>
      <c r="Z83" s="229"/>
      <c r="AA83" s="229"/>
    </row>
    <row r="84" customFormat="false" ht="13.5" hidden="false" customHeight="true" outlineLevel="0" collapsed="false">
      <c r="A84" s="229"/>
      <c r="B84" s="229"/>
      <c r="C84" s="229"/>
      <c r="D84" s="229"/>
      <c r="E84" s="229"/>
      <c r="F84" s="229"/>
      <c r="G84" s="229"/>
      <c r="H84" s="229"/>
      <c r="I84" s="229"/>
      <c r="J84" s="229"/>
      <c r="K84" s="229"/>
      <c r="L84" s="229"/>
      <c r="M84" s="229"/>
      <c r="N84" s="229"/>
      <c r="O84" s="229"/>
      <c r="P84" s="229"/>
      <c r="Q84" s="229"/>
      <c r="R84" s="229"/>
      <c r="S84" s="229"/>
      <c r="T84" s="229"/>
      <c r="U84" s="229"/>
      <c r="V84" s="229"/>
      <c r="W84" s="229"/>
      <c r="X84" s="229"/>
      <c r="Y84" s="229"/>
      <c r="Z84" s="229"/>
      <c r="AA84" s="229"/>
    </row>
    <row r="85" customFormat="false" ht="13.5" hidden="false" customHeight="true" outlineLevel="0" collapsed="false">
      <c r="A85" s="229"/>
      <c r="B85" s="229"/>
      <c r="C85" s="229"/>
      <c r="D85" s="229"/>
      <c r="E85" s="229"/>
      <c r="F85" s="229"/>
      <c r="G85" s="229"/>
      <c r="H85" s="229"/>
      <c r="I85" s="229"/>
      <c r="J85" s="229"/>
      <c r="K85" s="229"/>
      <c r="L85" s="229"/>
      <c r="M85" s="229"/>
      <c r="N85" s="229"/>
      <c r="O85" s="229"/>
      <c r="P85" s="229"/>
      <c r="Q85" s="229"/>
      <c r="R85" s="229"/>
      <c r="S85" s="229"/>
      <c r="T85" s="229"/>
      <c r="U85" s="229"/>
      <c r="V85" s="229"/>
      <c r="W85" s="229"/>
      <c r="X85" s="229"/>
      <c r="Y85" s="229"/>
      <c r="Z85" s="229"/>
      <c r="AA85" s="229"/>
    </row>
    <row r="86" customFormat="false" ht="13.5" hidden="false" customHeight="true" outlineLevel="0" collapsed="false">
      <c r="A86" s="229"/>
      <c r="B86" s="229"/>
      <c r="C86" s="229"/>
      <c r="D86" s="229"/>
      <c r="E86" s="229"/>
      <c r="F86" s="229"/>
      <c r="G86" s="229"/>
      <c r="H86" s="229"/>
      <c r="I86" s="229"/>
      <c r="J86" s="229"/>
      <c r="K86" s="229"/>
      <c r="L86" s="229"/>
      <c r="M86" s="229"/>
      <c r="N86" s="229"/>
      <c r="O86" s="229"/>
      <c r="P86" s="229"/>
      <c r="Q86" s="229"/>
      <c r="R86" s="229"/>
      <c r="S86" s="229"/>
      <c r="T86" s="229"/>
      <c r="U86" s="229"/>
      <c r="V86" s="229"/>
      <c r="W86" s="229"/>
      <c r="X86" s="229"/>
      <c r="Y86" s="229"/>
      <c r="Z86" s="229"/>
      <c r="AA86" s="229"/>
    </row>
    <row r="87" customFormat="false" ht="13.5" hidden="false" customHeight="true" outlineLevel="0" collapsed="false">
      <c r="A87" s="229"/>
      <c r="B87" s="229"/>
      <c r="C87" s="229"/>
      <c r="D87" s="229"/>
      <c r="E87" s="229"/>
      <c r="F87" s="229"/>
      <c r="G87" s="229"/>
      <c r="H87" s="229"/>
      <c r="I87" s="229"/>
      <c r="J87" s="229"/>
      <c r="K87" s="229"/>
      <c r="L87" s="229"/>
      <c r="M87" s="229"/>
      <c r="N87" s="229"/>
      <c r="O87" s="229"/>
      <c r="P87" s="229"/>
      <c r="Q87" s="229"/>
      <c r="R87" s="229"/>
      <c r="S87" s="229"/>
      <c r="T87" s="229"/>
      <c r="U87" s="229"/>
      <c r="V87" s="229"/>
      <c r="W87" s="229"/>
      <c r="X87" s="229"/>
      <c r="Y87" s="229"/>
      <c r="Z87" s="229"/>
      <c r="AA87" s="229"/>
    </row>
    <row r="88" customFormat="false" ht="13.5" hidden="false" customHeight="true" outlineLevel="0" collapsed="false">
      <c r="A88" s="229"/>
      <c r="B88" s="229"/>
      <c r="C88" s="229"/>
      <c r="D88" s="229"/>
      <c r="E88" s="229"/>
      <c r="F88" s="229"/>
      <c r="G88" s="229"/>
      <c r="H88" s="229"/>
      <c r="I88" s="229"/>
      <c r="J88" s="229"/>
      <c r="K88" s="229"/>
      <c r="L88" s="229"/>
      <c r="M88" s="229"/>
      <c r="N88" s="229"/>
      <c r="O88" s="229"/>
      <c r="P88" s="229"/>
      <c r="Q88" s="229"/>
      <c r="R88" s="229"/>
      <c r="S88" s="229"/>
      <c r="T88" s="229"/>
      <c r="U88" s="229"/>
      <c r="V88" s="229"/>
      <c r="W88" s="229"/>
      <c r="X88" s="229"/>
      <c r="Y88" s="229"/>
      <c r="Z88" s="229"/>
      <c r="AA88" s="229"/>
    </row>
    <row r="89" customFormat="false" ht="13.5" hidden="false" customHeight="true" outlineLevel="0" collapsed="false">
      <c r="A89" s="229"/>
      <c r="B89" s="229"/>
      <c r="C89" s="229"/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29"/>
      <c r="S89" s="229"/>
      <c r="T89" s="229"/>
      <c r="U89" s="229"/>
      <c r="V89" s="229"/>
      <c r="W89" s="229"/>
      <c r="X89" s="229"/>
      <c r="Y89" s="229"/>
      <c r="Z89" s="229"/>
      <c r="AA89" s="229"/>
    </row>
    <row r="90" customFormat="false" ht="13.5" hidden="false" customHeight="true" outlineLevel="0" collapsed="false">
      <c r="A90" s="229"/>
      <c r="B90" s="229"/>
      <c r="C90" s="229"/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29"/>
      <c r="S90" s="229"/>
      <c r="T90" s="229"/>
      <c r="U90" s="229"/>
      <c r="V90" s="229"/>
      <c r="W90" s="229"/>
      <c r="X90" s="229"/>
      <c r="Y90" s="229"/>
      <c r="Z90" s="229"/>
      <c r="AA90" s="229"/>
    </row>
    <row r="91" customFormat="false" ht="13.5" hidden="false" customHeight="true" outlineLevel="0" collapsed="false">
      <c r="A91" s="229"/>
      <c r="B91" s="229"/>
      <c r="C91" s="229"/>
      <c r="D91" s="229"/>
      <c r="E91" s="229"/>
      <c r="F91" s="229"/>
      <c r="G91" s="229"/>
      <c r="H91" s="229"/>
      <c r="I91" s="229"/>
      <c r="J91" s="229"/>
      <c r="K91" s="229"/>
      <c r="L91" s="229"/>
      <c r="M91" s="229"/>
      <c r="N91" s="229"/>
      <c r="O91" s="229"/>
      <c r="P91" s="229"/>
      <c r="Q91" s="229"/>
      <c r="R91" s="229"/>
      <c r="S91" s="229"/>
      <c r="T91" s="229"/>
      <c r="U91" s="229"/>
      <c r="V91" s="229"/>
      <c r="W91" s="229"/>
      <c r="X91" s="229"/>
      <c r="Y91" s="229"/>
      <c r="Z91" s="229"/>
      <c r="AA91" s="229"/>
    </row>
    <row r="92" customFormat="false" ht="13.5" hidden="false" customHeight="true" outlineLevel="0" collapsed="false">
      <c r="A92" s="229"/>
      <c r="B92" s="229"/>
      <c r="C92" s="229"/>
      <c r="D92" s="229"/>
      <c r="E92" s="229"/>
      <c r="F92" s="229"/>
      <c r="G92" s="229"/>
      <c r="H92" s="229"/>
      <c r="I92" s="229"/>
      <c r="J92" s="229"/>
      <c r="K92" s="229"/>
      <c r="L92" s="229"/>
      <c r="M92" s="229"/>
      <c r="N92" s="229"/>
      <c r="O92" s="229"/>
      <c r="P92" s="229"/>
      <c r="Q92" s="229"/>
      <c r="R92" s="229"/>
      <c r="S92" s="229"/>
      <c r="T92" s="229"/>
      <c r="U92" s="229"/>
      <c r="V92" s="229"/>
      <c r="W92" s="229"/>
      <c r="X92" s="229"/>
      <c r="Y92" s="229"/>
      <c r="Z92" s="229"/>
      <c r="AA92" s="229"/>
    </row>
    <row r="93" customFormat="false" ht="13.5" hidden="false" customHeight="true" outlineLevel="0" collapsed="false">
      <c r="A93" s="229"/>
      <c r="B93" s="229"/>
      <c r="C93" s="229"/>
      <c r="D93" s="229"/>
      <c r="E93" s="229"/>
      <c r="F93" s="229"/>
      <c r="G93" s="229"/>
      <c r="H93" s="229"/>
      <c r="I93" s="229"/>
      <c r="J93" s="229"/>
      <c r="K93" s="229"/>
      <c r="L93" s="229"/>
      <c r="M93" s="229"/>
      <c r="N93" s="229"/>
      <c r="O93" s="229"/>
      <c r="P93" s="229"/>
      <c r="Q93" s="229"/>
      <c r="R93" s="229"/>
      <c r="S93" s="229"/>
      <c r="T93" s="229"/>
      <c r="U93" s="229"/>
      <c r="V93" s="229"/>
      <c r="W93" s="229"/>
      <c r="X93" s="229"/>
      <c r="Y93" s="229"/>
      <c r="Z93" s="229"/>
      <c r="AA93" s="229"/>
    </row>
    <row r="94" customFormat="false" ht="13.5" hidden="false" customHeight="true" outlineLevel="0" collapsed="false">
      <c r="A94" s="229"/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29"/>
      <c r="P94" s="229"/>
      <c r="Q94" s="229"/>
      <c r="R94" s="229"/>
      <c r="S94" s="229"/>
      <c r="T94" s="229"/>
      <c r="U94" s="229"/>
      <c r="V94" s="229"/>
      <c r="W94" s="229"/>
      <c r="X94" s="229"/>
      <c r="Y94" s="229"/>
      <c r="Z94" s="229"/>
      <c r="AA94" s="229"/>
    </row>
    <row r="95" customFormat="false" ht="13.5" hidden="false" customHeight="true" outlineLevel="0" collapsed="false">
      <c r="A95" s="229"/>
      <c r="B95" s="229"/>
      <c r="C95" s="229"/>
      <c r="D95" s="229"/>
      <c r="E95" s="229"/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229"/>
      <c r="R95" s="229"/>
      <c r="S95" s="229"/>
      <c r="T95" s="229"/>
      <c r="U95" s="229"/>
      <c r="V95" s="229"/>
      <c r="W95" s="229"/>
      <c r="X95" s="229"/>
      <c r="Y95" s="229"/>
      <c r="Z95" s="229"/>
      <c r="AA95" s="229"/>
    </row>
    <row r="96" customFormat="false" ht="13.5" hidden="false" customHeight="true" outlineLevel="0" collapsed="false">
      <c r="A96" s="229"/>
      <c r="B96" s="229"/>
      <c r="C96" s="229"/>
      <c r="D96" s="229"/>
      <c r="E96" s="229"/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229"/>
      <c r="R96" s="229"/>
      <c r="S96" s="229"/>
      <c r="T96" s="229"/>
      <c r="U96" s="229"/>
      <c r="V96" s="229"/>
      <c r="W96" s="229"/>
      <c r="X96" s="229"/>
      <c r="Y96" s="229"/>
      <c r="Z96" s="229"/>
      <c r="AA96" s="229"/>
    </row>
    <row r="97" customFormat="false" ht="13.5" hidden="false" customHeight="true" outlineLevel="0" collapsed="false">
      <c r="A97" s="229"/>
      <c r="B97" s="229"/>
      <c r="C97" s="229"/>
      <c r="D97" s="229"/>
      <c r="E97" s="229"/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229"/>
      <c r="R97" s="229"/>
      <c r="S97" s="229"/>
      <c r="T97" s="229"/>
      <c r="U97" s="229"/>
      <c r="V97" s="229"/>
      <c r="W97" s="229"/>
      <c r="X97" s="229"/>
      <c r="Y97" s="229"/>
      <c r="Z97" s="229"/>
      <c r="AA97" s="229"/>
    </row>
    <row r="98" customFormat="false" ht="13.5" hidden="false" customHeight="true" outlineLevel="0" collapsed="false">
      <c r="A98" s="229"/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29"/>
      <c r="P98" s="229"/>
      <c r="Q98" s="229"/>
      <c r="R98" s="229"/>
      <c r="S98" s="229"/>
      <c r="T98" s="229"/>
      <c r="U98" s="229"/>
      <c r="V98" s="229"/>
      <c r="W98" s="229"/>
      <c r="X98" s="229"/>
      <c r="Y98" s="229"/>
      <c r="Z98" s="229"/>
      <c r="AA98" s="229"/>
    </row>
    <row r="99" customFormat="false" ht="13.5" hidden="false" customHeight="true" outlineLevel="0" collapsed="false">
      <c r="A99" s="229"/>
      <c r="B99" s="229"/>
      <c r="C99" s="229"/>
      <c r="D99" s="229"/>
      <c r="E99" s="229"/>
      <c r="F99" s="229"/>
      <c r="G99" s="229"/>
      <c r="H99" s="229"/>
      <c r="I99" s="229"/>
      <c r="J99" s="229"/>
      <c r="K99" s="229"/>
      <c r="L99" s="229"/>
      <c r="M99" s="229"/>
      <c r="N99" s="229"/>
      <c r="O99" s="229"/>
      <c r="P99" s="229"/>
      <c r="Q99" s="229"/>
      <c r="R99" s="229"/>
      <c r="S99" s="229"/>
      <c r="T99" s="229"/>
      <c r="U99" s="229"/>
      <c r="V99" s="229"/>
      <c r="W99" s="229"/>
      <c r="X99" s="229"/>
      <c r="Y99" s="229"/>
      <c r="Z99" s="229"/>
      <c r="AA99" s="229"/>
    </row>
    <row r="100" customFormat="false" ht="13.5" hidden="false" customHeight="true" outlineLevel="0" collapsed="false">
      <c r="A100" s="229"/>
      <c r="B100" s="229"/>
      <c r="C100" s="229"/>
      <c r="D100" s="229"/>
      <c r="E100" s="229"/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229"/>
      <c r="R100" s="229"/>
      <c r="S100" s="229"/>
      <c r="T100" s="229"/>
      <c r="U100" s="229"/>
      <c r="V100" s="229"/>
      <c r="W100" s="229"/>
      <c r="X100" s="229"/>
      <c r="Y100" s="229"/>
      <c r="Z100" s="229"/>
      <c r="AA100" s="229"/>
    </row>
    <row r="101" customFormat="false" ht="13.5" hidden="false" customHeight="true" outlineLevel="0" collapsed="false">
      <c r="A101" s="229"/>
      <c r="B101" s="229"/>
      <c r="C101" s="229"/>
      <c r="D101" s="229"/>
      <c r="E101" s="229"/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229"/>
      <c r="R101" s="229"/>
      <c r="S101" s="229"/>
      <c r="T101" s="229"/>
      <c r="U101" s="229"/>
      <c r="V101" s="229"/>
      <c r="W101" s="229"/>
      <c r="X101" s="229"/>
      <c r="Y101" s="229"/>
      <c r="Z101" s="229"/>
      <c r="AA101" s="229"/>
    </row>
    <row r="102" customFormat="false" ht="13.5" hidden="false" customHeight="true" outlineLevel="0" collapsed="false">
      <c r="A102" s="229"/>
      <c r="B102" s="229"/>
      <c r="C102" s="229"/>
      <c r="D102" s="229"/>
      <c r="E102" s="229"/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229"/>
      <c r="R102" s="229"/>
      <c r="S102" s="229"/>
      <c r="T102" s="229"/>
      <c r="U102" s="229"/>
      <c r="V102" s="229"/>
      <c r="W102" s="229"/>
      <c r="X102" s="229"/>
      <c r="Y102" s="229"/>
      <c r="Z102" s="229"/>
      <c r="AA102" s="229"/>
    </row>
    <row r="103" customFormat="false" ht="13.5" hidden="false" customHeight="true" outlineLevel="0" collapsed="false">
      <c r="A103" s="229"/>
      <c r="B103" s="229"/>
      <c r="C103" s="229"/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229"/>
      <c r="R103" s="229"/>
      <c r="S103" s="229"/>
      <c r="T103" s="229"/>
      <c r="U103" s="229"/>
      <c r="V103" s="229"/>
      <c r="W103" s="229"/>
      <c r="X103" s="229"/>
      <c r="Y103" s="229"/>
      <c r="Z103" s="229"/>
      <c r="AA103" s="229"/>
    </row>
    <row r="104" customFormat="false" ht="13.5" hidden="false" customHeight="true" outlineLevel="0" collapsed="false">
      <c r="A104" s="229"/>
      <c r="B104" s="229"/>
      <c r="C104" s="229"/>
      <c r="D104" s="229"/>
      <c r="E104" s="229"/>
      <c r="F104" s="229"/>
      <c r="G104" s="229"/>
      <c r="H104" s="229"/>
      <c r="I104" s="229"/>
      <c r="J104" s="229"/>
      <c r="K104" s="229"/>
      <c r="L104" s="229"/>
      <c r="M104" s="229"/>
      <c r="N104" s="229"/>
      <c r="O104" s="229"/>
      <c r="P104" s="229"/>
      <c r="Q104" s="229"/>
      <c r="R104" s="229"/>
      <c r="S104" s="229"/>
      <c r="T104" s="229"/>
      <c r="U104" s="229"/>
      <c r="V104" s="229"/>
      <c r="W104" s="229"/>
      <c r="X104" s="229"/>
      <c r="Y104" s="229"/>
      <c r="Z104" s="229"/>
      <c r="AA104" s="229"/>
    </row>
    <row r="105" customFormat="false" ht="13.5" hidden="false" customHeight="true" outlineLevel="0" collapsed="false">
      <c r="A105" s="229"/>
      <c r="B105" s="229"/>
      <c r="C105" s="229"/>
      <c r="D105" s="229"/>
      <c r="E105" s="229"/>
      <c r="F105" s="229"/>
      <c r="G105" s="229"/>
      <c r="H105" s="229"/>
      <c r="I105" s="229"/>
      <c r="J105" s="229"/>
      <c r="K105" s="229"/>
      <c r="L105" s="229"/>
      <c r="M105" s="229"/>
      <c r="N105" s="229"/>
      <c r="O105" s="229"/>
      <c r="P105" s="229"/>
      <c r="Q105" s="229"/>
      <c r="R105" s="229"/>
      <c r="S105" s="229"/>
      <c r="T105" s="229"/>
      <c r="U105" s="229"/>
      <c r="V105" s="229"/>
      <c r="W105" s="229"/>
      <c r="X105" s="229"/>
      <c r="Y105" s="229"/>
      <c r="Z105" s="229"/>
      <c r="AA105" s="229"/>
    </row>
    <row r="106" customFormat="false" ht="13.5" hidden="false" customHeight="true" outlineLevel="0" collapsed="false">
      <c r="A106" s="229"/>
      <c r="B106" s="229"/>
      <c r="C106" s="229"/>
      <c r="D106" s="229"/>
      <c r="E106" s="229"/>
      <c r="F106" s="229"/>
      <c r="G106" s="229"/>
      <c r="H106" s="229"/>
      <c r="I106" s="229"/>
      <c r="J106" s="229"/>
      <c r="K106" s="229"/>
      <c r="L106" s="229"/>
      <c r="M106" s="229"/>
      <c r="N106" s="229"/>
      <c r="O106" s="229"/>
      <c r="P106" s="229"/>
      <c r="Q106" s="229"/>
      <c r="R106" s="229"/>
      <c r="S106" s="229"/>
      <c r="T106" s="229"/>
      <c r="U106" s="229"/>
      <c r="V106" s="229"/>
      <c r="W106" s="229"/>
      <c r="X106" s="229"/>
      <c r="Y106" s="229"/>
      <c r="Z106" s="229"/>
      <c r="AA106" s="229"/>
    </row>
    <row r="107" customFormat="false" ht="13.5" hidden="false" customHeight="true" outlineLevel="0" collapsed="false">
      <c r="A107" s="229"/>
      <c r="B107" s="229"/>
      <c r="C107" s="229"/>
      <c r="D107" s="229"/>
      <c r="E107" s="229"/>
      <c r="F107" s="229"/>
      <c r="G107" s="229"/>
      <c r="H107" s="229"/>
      <c r="I107" s="229"/>
      <c r="J107" s="229"/>
      <c r="K107" s="229"/>
      <c r="L107" s="229"/>
      <c r="M107" s="229"/>
      <c r="N107" s="229"/>
      <c r="O107" s="229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</row>
    <row r="108" customFormat="false" ht="13.5" hidden="false" customHeight="true" outlineLevel="0" collapsed="false">
      <c r="A108" s="229"/>
      <c r="B108" s="229"/>
      <c r="C108" s="229"/>
      <c r="D108" s="229"/>
      <c r="E108" s="229"/>
      <c r="F108" s="229"/>
      <c r="G108" s="229"/>
      <c r="H108" s="229"/>
      <c r="I108" s="229"/>
      <c r="J108" s="229"/>
      <c r="K108" s="229"/>
      <c r="L108" s="229"/>
      <c r="M108" s="229"/>
      <c r="N108" s="229"/>
      <c r="O108" s="229"/>
      <c r="P108" s="229"/>
      <c r="Q108" s="229"/>
      <c r="R108" s="229"/>
      <c r="S108" s="229"/>
      <c r="T108" s="229"/>
      <c r="U108" s="229"/>
      <c r="V108" s="229"/>
      <c r="W108" s="229"/>
      <c r="X108" s="229"/>
      <c r="Y108" s="229"/>
      <c r="Z108" s="229"/>
      <c r="AA108" s="229"/>
    </row>
    <row r="109" customFormat="false" ht="13.5" hidden="false" customHeight="true" outlineLevel="0" collapsed="false">
      <c r="A109" s="229"/>
      <c r="B109" s="229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  <c r="Z109" s="229"/>
      <c r="AA109" s="229"/>
    </row>
    <row r="110" customFormat="false" ht="13.5" hidden="false" customHeight="true" outlineLevel="0" collapsed="false">
      <c r="A110" s="229"/>
      <c r="B110" s="229"/>
      <c r="C110" s="229"/>
      <c r="D110" s="229"/>
      <c r="E110" s="229"/>
      <c r="F110" s="229"/>
      <c r="G110" s="229"/>
      <c r="H110" s="229"/>
      <c r="I110" s="229"/>
      <c r="J110" s="229"/>
      <c r="K110" s="229"/>
      <c r="L110" s="229"/>
      <c r="M110" s="229"/>
      <c r="N110" s="229"/>
      <c r="O110" s="229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</row>
    <row r="111" customFormat="false" ht="13.5" hidden="false" customHeight="true" outlineLevel="0" collapsed="false">
      <c r="A111" s="229"/>
      <c r="B111" s="229"/>
      <c r="C111" s="229"/>
      <c r="D111" s="229"/>
      <c r="E111" s="229"/>
      <c r="F111" s="229"/>
      <c r="G111" s="229"/>
      <c r="H111" s="229"/>
      <c r="I111" s="229"/>
      <c r="J111" s="229"/>
      <c r="K111" s="229"/>
      <c r="L111" s="229"/>
      <c r="M111" s="229"/>
      <c r="N111" s="229"/>
      <c r="O111" s="229"/>
      <c r="P111" s="229"/>
      <c r="Q111" s="229"/>
      <c r="R111" s="229"/>
      <c r="S111" s="229"/>
      <c r="T111" s="229"/>
      <c r="U111" s="229"/>
      <c r="V111" s="229"/>
      <c r="W111" s="229"/>
      <c r="X111" s="229"/>
      <c r="Y111" s="229"/>
      <c r="Z111" s="229"/>
      <c r="AA111" s="229"/>
    </row>
    <row r="112" customFormat="false" ht="13.5" hidden="false" customHeight="true" outlineLevel="0" collapsed="false">
      <c r="A112" s="229"/>
      <c r="B112" s="229"/>
      <c r="C112" s="229"/>
      <c r="D112" s="229"/>
      <c r="E112" s="229"/>
      <c r="F112" s="229"/>
      <c r="G112" s="229"/>
      <c r="H112" s="229"/>
      <c r="I112" s="229"/>
      <c r="J112" s="229"/>
      <c r="K112" s="229"/>
      <c r="L112" s="229"/>
      <c r="M112" s="229"/>
      <c r="N112" s="229"/>
      <c r="O112" s="229"/>
      <c r="P112" s="229"/>
      <c r="Q112" s="229"/>
      <c r="R112" s="229"/>
      <c r="S112" s="229"/>
      <c r="T112" s="229"/>
      <c r="U112" s="229"/>
      <c r="V112" s="229"/>
      <c r="W112" s="229"/>
      <c r="X112" s="229"/>
      <c r="Y112" s="229"/>
      <c r="Z112" s="229"/>
      <c r="AA112" s="229"/>
    </row>
    <row r="113" customFormat="false" ht="13.5" hidden="false" customHeight="true" outlineLevel="0" collapsed="false">
      <c r="A113" s="229"/>
      <c r="B113" s="229"/>
      <c r="C113" s="229"/>
      <c r="D113" s="229"/>
      <c r="E113" s="229"/>
      <c r="F113" s="229"/>
      <c r="G113" s="229"/>
      <c r="H113" s="229"/>
      <c r="I113" s="229"/>
      <c r="J113" s="229"/>
      <c r="K113" s="229"/>
      <c r="L113" s="229"/>
      <c r="M113" s="229"/>
      <c r="N113" s="229"/>
      <c r="O113" s="229"/>
      <c r="P113" s="229"/>
      <c r="Q113" s="229"/>
      <c r="R113" s="229"/>
      <c r="S113" s="229"/>
      <c r="T113" s="229"/>
      <c r="U113" s="229"/>
      <c r="V113" s="229"/>
      <c r="W113" s="229"/>
      <c r="X113" s="229"/>
      <c r="Y113" s="229"/>
      <c r="Z113" s="229"/>
      <c r="AA113" s="229"/>
    </row>
    <row r="114" customFormat="false" ht="13.5" hidden="false" customHeight="true" outlineLevel="0" collapsed="false">
      <c r="A114" s="229"/>
      <c r="B114" s="229"/>
      <c r="C114" s="229"/>
      <c r="D114" s="229"/>
      <c r="E114" s="229"/>
      <c r="F114" s="229"/>
      <c r="G114" s="229"/>
      <c r="H114" s="229"/>
      <c r="I114" s="229"/>
      <c r="J114" s="229"/>
      <c r="K114" s="229"/>
      <c r="L114" s="229"/>
      <c r="M114" s="229"/>
      <c r="N114" s="229"/>
      <c r="O114" s="229"/>
      <c r="P114" s="229"/>
      <c r="Q114" s="229"/>
      <c r="R114" s="229"/>
      <c r="S114" s="229"/>
      <c r="T114" s="229"/>
      <c r="U114" s="229"/>
      <c r="V114" s="229"/>
      <c r="W114" s="229"/>
      <c r="X114" s="229"/>
      <c r="Y114" s="229"/>
      <c r="Z114" s="229"/>
      <c r="AA114" s="229"/>
    </row>
    <row r="115" customFormat="false" ht="13.5" hidden="false" customHeight="true" outlineLevel="0" collapsed="false">
      <c r="A115" s="229"/>
      <c r="B115" s="229"/>
      <c r="C115" s="229"/>
      <c r="D115" s="229"/>
      <c r="E115" s="229"/>
      <c r="F115" s="229"/>
      <c r="G115" s="229"/>
      <c r="H115" s="229"/>
      <c r="I115" s="229"/>
      <c r="J115" s="229"/>
      <c r="K115" s="229"/>
      <c r="L115" s="229"/>
      <c r="M115" s="229"/>
      <c r="N115" s="229"/>
      <c r="O115" s="229"/>
      <c r="P115" s="229"/>
      <c r="Q115" s="229"/>
      <c r="R115" s="229"/>
      <c r="S115" s="229"/>
      <c r="T115" s="229"/>
      <c r="U115" s="229"/>
      <c r="V115" s="229"/>
      <c r="W115" s="229"/>
      <c r="X115" s="229"/>
      <c r="Y115" s="229"/>
      <c r="Z115" s="229"/>
      <c r="AA115" s="229"/>
    </row>
    <row r="116" customFormat="false" ht="13.5" hidden="false" customHeight="true" outlineLevel="0" collapsed="false">
      <c r="A116" s="229"/>
      <c r="B116" s="229"/>
      <c r="C116" s="229"/>
      <c r="D116" s="229"/>
      <c r="E116" s="229"/>
      <c r="F116" s="229"/>
      <c r="G116" s="229"/>
      <c r="H116" s="229"/>
      <c r="I116" s="229"/>
      <c r="J116" s="229"/>
      <c r="K116" s="229"/>
      <c r="L116" s="229"/>
      <c r="M116" s="229"/>
      <c r="N116" s="229"/>
      <c r="O116" s="229"/>
      <c r="P116" s="229"/>
      <c r="Q116" s="229"/>
      <c r="R116" s="229"/>
      <c r="S116" s="229"/>
      <c r="T116" s="229"/>
      <c r="U116" s="229"/>
      <c r="V116" s="229"/>
      <c r="W116" s="229"/>
      <c r="X116" s="229"/>
      <c r="Y116" s="229"/>
      <c r="Z116" s="229"/>
      <c r="AA116" s="229"/>
    </row>
    <row r="117" customFormat="false" ht="13.5" hidden="false" customHeight="true" outlineLevel="0" collapsed="false">
      <c r="A117" s="229"/>
      <c r="B117" s="229"/>
      <c r="C117" s="229"/>
      <c r="D117" s="229"/>
      <c r="E117" s="229"/>
      <c r="F117" s="229"/>
      <c r="G117" s="229"/>
      <c r="H117" s="229"/>
      <c r="I117" s="229"/>
      <c r="J117" s="229"/>
      <c r="K117" s="229"/>
      <c r="L117" s="229"/>
      <c r="M117" s="229"/>
      <c r="N117" s="229"/>
      <c r="O117" s="229"/>
      <c r="P117" s="229"/>
      <c r="Q117" s="229"/>
      <c r="R117" s="229"/>
      <c r="S117" s="229"/>
      <c r="T117" s="229"/>
      <c r="U117" s="229"/>
      <c r="V117" s="229"/>
      <c r="W117" s="229"/>
      <c r="X117" s="229"/>
      <c r="Y117" s="229"/>
      <c r="Z117" s="229"/>
      <c r="AA117" s="229"/>
    </row>
    <row r="118" customFormat="false" ht="13.5" hidden="false" customHeight="true" outlineLevel="0" collapsed="false">
      <c r="A118" s="229"/>
      <c r="B118" s="229"/>
      <c r="C118" s="229"/>
      <c r="D118" s="229"/>
      <c r="E118" s="229"/>
      <c r="F118" s="229"/>
      <c r="G118" s="229"/>
      <c r="H118" s="229"/>
      <c r="I118" s="229"/>
      <c r="J118" s="229"/>
      <c r="K118" s="229"/>
      <c r="L118" s="229"/>
      <c r="M118" s="229"/>
      <c r="N118" s="229"/>
      <c r="O118" s="229"/>
      <c r="P118" s="229"/>
      <c r="Q118" s="229"/>
      <c r="R118" s="229"/>
      <c r="S118" s="229"/>
      <c r="T118" s="229"/>
      <c r="U118" s="229"/>
      <c r="V118" s="229"/>
      <c r="W118" s="229"/>
      <c r="X118" s="229"/>
      <c r="Y118" s="229"/>
      <c r="Z118" s="229"/>
      <c r="AA118" s="229"/>
    </row>
    <row r="119" customFormat="false" ht="13.5" hidden="false" customHeight="true" outlineLevel="0" collapsed="false">
      <c r="A119" s="229"/>
      <c r="B119" s="229"/>
      <c r="C119" s="229"/>
      <c r="D119" s="229"/>
      <c r="E119" s="229"/>
      <c r="F119" s="229"/>
      <c r="G119" s="229"/>
      <c r="H119" s="229"/>
      <c r="I119" s="229"/>
      <c r="J119" s="229"/>
      <c r="K119" s="229"/>
      <c r="L119" s="229"/>
      <c r="M119" s="229"/>
      <c r="N119" s="229"/>
      <c r="O119" s="229"/>
      <c r="P119" s="229"/>
      <c r="Q119" s="229"/>
      <c r="R119" s="229"/>
      <c r="S119" s="229"/>
      <c r="T119" s="229"/>
      <c r="U119" s="229"/>
      <c r="V119" s="229"/>
      <c r="W119" s="229"/>
      <c r="X119" s="229"/>
      <c r="Y119" s="229"/>
      <c r="Z119" s="229"/>
      <c r="AA119" s="229"/>
    </row>
    <row r="120" customFormat="false" ht="13.5" hidden="false" customHeight="true" outlineLevel="0" collapsed="false">
      <c r="A120" s="229"/>
      <c r="B120" s="229"/>
      <c r="C120" s="229"/>
      <c r="D120" s="229"/>
      <c r="E120" s="229"/>
      <c r="F120" s="229"/>
      <c r="G120" s="229"/>
      <c r="H120" s="229"/>
      <c r="I120" s="229"/>
      <c r="J120" s="229"/>
      <c r="K120" s="229"/>
      <c r="L120" s="229"/>
      <c r="M120" s="229"/>
      <c r="N120" s="229"/>
      <c r="O120" s="229"/>
      <c r="P120" s="229"/>
      <c r="Q120" s="229"/>
      <c r="R120" s="229"/>
      <c r="S120" s="229"/>
      <c r="T120" s="229"/>
      <c r="U120" s="229"/>
      <c r="V120" s="229"/>
      <c r="W120" s="229"/>
      <c r="X120" s="229"/>
      <c r="Y120" s="229"/>
      <c r="Z120" s="229"/>
      <c r="AA120" s="229"/>
    </row>
    <row r="121" customFormat="false" ht="13.5" hidden="false" customHeight="true" outlineLevel="0" collapsed="false">
      <c r="A121" s="229"/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29"/>
      <c r="P121" s="229"/>
      <c r="Q121" s="229"/>
      <c r="R121" s="229"/>
      <c r="S121" s="229"/>
      <c r="T121" s="229"/>
      <c r="U121" s="229"/>
      <c r="V121" s="229"/>
      <c r="W121" s="229"/>
      <c r="X121" s="229"/>
      <c r="Y121" s="229"/>
      <c r="Z121" s="229"/>
      <c r="AA121" s="229"/>
    </row>
    <row r="122" customFormat="false" ht="13.5" hidden="false" customHeight="true" outlineLevel="0" collapsed="false">
      <c r="A122" s="229"/>
      <c r="B122" s="229"/>
      <c r="C122" s="229"/>
      <c r="D122" s="229"/>
      <c r="E122" s="229"/>
      <c r="F122" s="229"/>
      <c r="G122" s="229"/>
      <c r="H122" s="229"/>
      <c r="I122" s="229"/>
      <c r="J122" s="229"/>
      <c r="K122" s="229"/>
      <c r="L122" s="229"/>
      <c r="M122" s="229"/>
      <c r="N122" s="229"/>
      <c r="O122" s="229"/>
      <c r="P122" s="229"/>
      <c r="Q122" s="229"/>
      <c r="R122" s="229"/>
      <c r="S122" s="229"/>
      <c r="T122" s="229"/>
      <c r="U122" s="229"/>
      <c r="V122" s="229"/>
      <c r="W122" s="229"/>
      <c r="X122" s="229"/>
      <c r="Y122" s="229"/>
      <c r="Z122" s="229"/>
      <c r="AA122" s="229"/>
    </row>
    <row r="123" customFormat="false" ht="13.5" hidden="false" customHeight="true" outlineLevel="0" collapsed="false">
      <c r="A123" s="229"/>
      <c r="B123" s="229"/>
      <c r="C123" s="229"/>
      <c r="D123" s="229"/>
      <c r="E123" s="229"/>
      <c r="F123" s="229"/>
      <c r="G123" s="229"/>
      <c r="H123" s="229"/>
      <c r="I123" s="229"/>
      <c r="J123" s="229"/>
      <c r="K123" s="229"/>
      <c r="L123" s="229"/>
      <c r="M123" s="229"/>
      <c r="N123" s="229"/>
      <c r="O123" s="229"/>
      <c r="P123" s="229"/>
      <c r="Q123" s="229"/>
      <c r="R123" s="229"/>
      <c r="S123" s="229"/>
      <c r="T123" s="229"/>
      <c r="U123" s="229"/>
      <c r="V123" s="229"/>
      <c r="W123" s="229"/>
      <c r="X123" s="229"/>
      <c r="Y123" s="229"/>
      <c r="Z123" s="229"/>
      <c r="AA123" s="229"/>
    </row>
    <row r="124" customFormat="false" ht="13.5" hidden="false" customHeight="true" outlineLevel="0" collapsed="false">
      <c r="A124" s="229"/>
      <c r="B124" s="229"/>
      <c r="C124" s="229"/>
      <c r="D124" s="229"/>
      <c r="E124" s="229"/>
      <c r="F124" s="229"/>
      <c r="G124" s="229"/>
      <c r="H124" s="229"/>
      <c r="I124" s="229"/>
      <c r="J124" s="229"/>
      <c r="K124" s="229"/>
      <c r="L124" s="229"/>
      <c r="M124" s="229"/>
      <c r="N124" s="229"/>
      <c r="O124" s="229"/>
      <c r="P124" s="229"/>
      <c r="Q124" s="229"/>
      <c r="R124" s="229"/>
      <c r="S124" s="229"/>
      <c r="T124" s="229"/>
      <c r="U124" s="229"/>
      <c r="V124" s="229"/>
      <c r="W124" s="229"/>
      <c r="X124" s="229"/>
      <c r="Y124" s="229"/>
      <c r="Z124" s="229"/>
      <c r="AA124" s="229"/>
    </row>
    <row r="125" customFormat="false" ht="13.5" hidden="false" customHeight="true" outlineLevel="0" collapsed="false">
      <c r="A125" s="229"/>
      <c r="B125" s="229"/>
      <c r="C125" s="229"/>
      <c r="D125" s="229"/>
      <c r="E125" s="229"/>
      <c r="F125" s="229"/>
      <c r="G125" s="229"/>
      <c r="H125" s="229"/>
      <c r="I125" s="229"/>
      <c r="J125" s="229"/>
      <c r="K125" s="229"/>
      <c r="L125" s="229"/>
      <c r="M125" s="229"/>
      <c r="N125" s="229"/>
      <c r="O125" s="229"/>
      <c r="P125" s="229"/>
      <c r="Q125" s="229"/>
      <c r="R125" s="229"/>
      <c r="S125" s="229"/>
      <c r="T125" s="229"/>
      <c r="U125" s="229"/>
      <c r="V125" s="229"/>
      <c r="W125" s="229"/>
      <c r="X125" s="229"/>
      <c r="Y125" s="229"/>
      <c r="Z125" s="229"/>
      <c r="AA125" s="229"/>
    </row>
    <row r="126" customFormat="false" ht="13.5" hidden="false" customHeight="true" outlineLevel="0" collapsed="false">
      <c r="A126" s="229"/>
      <c r="B126" s="229"/>
      <c r="C126" s="229"/>
      <c r="D126" s="229"/>
      <c r="E126" s="229"/>
      <c r="F126" s="229"/>
      <c r="G126" s="229"/>
      <c r="H126" s="229"/>
      <c r="I126" s="229"/>
      <c r="J126" s="229"/>
      <c r="K126" s="229"/>
      <c r="L126" s="229"/>
      <c r="M126" s="229"/>
      <c r="N126" s="229"/>
      <c r="O126" s="229"/>
      <c r="P126" s="229"/>
      <c r="Q126" s="229"/>
      <c r="R126" s="229"/>
      <c r="S126" s="229"/>
      <c r="T126" s="229"/>
      <c r="U126" s="229"/>
      <c r="V126" s="229"/>
      <c r="W126" s="229"/>
      <c r="X126" s="229"/>
      <c r="Y126" s="229"/>
      <c r="Z126" s="229"/>
      <c r="AA126" s="229"/>
    </row>
    <row r="127" customFormat="false" ht="13.5" hidden="false" customHeight="true" outlineLevel="0" collapsed="false">
      <c r="A127" s="229"/>
      <c r="B127" s="229"/>
      <c r="C127" s="229"/>
      <c r="D127" s="229"/>
      <c r="E127" s="229"/>
      <c r="F127" s="229"/>
      <c r="G127" s="229"/>
      <c r="H127" s="229"/>
      <c r="I127" s="229"/>
      <c r="J127" s="229"/>
      <c r="K127" s="229"/>
      <c r="L127" s="229"/>
      <c r="M127" s="229"/>
      <c r="N127" s="229"/>
      <c r="O127" s="229"/>
      <c r="P127" s="229"/>
      <c r="Q127" s="229"/>
      <c r="R127" s="229"/>
      <c r="S127" s="229"/>
      <c r="T127" s="229"/>
      <c r="U127" s="229"/>
      <c r="V127" s="229"/>
      <c r="W127" s="229"/>
      <c r="X127" s="229"/>
      <c r="Y127" s="229"/>
      <c r="Z127" s="229"/>
      <c r="AA127" s="229"/>
    </row>
    <row r="128" customFormat="false" ht="13.5" hidden="false" customHeight="true" outlineLevel="0" collapsed="false">
      <c r="A128" s="229"/>
      <c r="B128" s="229"/>
      <c r="C128" s="229"/>
      <c r="D128" s="229"/>
      <c r="E128" s="229"/>
      <c r="F128" s="229"/>
      <c r="G128" s="229"/>
      <c r="H128" s="229"/>
      <c r="I128" s="229"/>
      <c r="J128" s="229"/>
      <c r="K128" s="229"/>
      <c r="L128" s="229"/>
      <c r="M128" s="229"/>
      <c r="N128" s="229"/>
      <c r="O128" s="229"/>
      <c r="P128" s="229"/>
      <c r="Q128" s="229"/>
      <c r="R128" s="229"/>
      <c r="S128" s="229"/>
      <c r="T128" s="229"/>
      <c r="U128" s="229"/>
      <c r="V128" s="229"/>
      <c r="W128" s="229"/>
      <c r="X128" s="229"/>
      <c r="Y128" s="229"/>
      <c r="Z128" s="229"/>
      <c r="AA128" s="229"/>
    </row>
    <row r="129" customFormat="false" ht="13.5" hidden="false" customHeight="true" outlineLevel="0" collapsed="false">
      <c r="A129" s="229"/>
      <c r="B129" s="229"/>
      <c r="C129" s="229"/>
      <c r="D129" s="229"/>
      <c r="E129" s="229"/>
      <c r="F129" s="229"/>
      <c r="G129" s="229"/>
      <c r="H129" s="229"/>
      <c r="I129" s="229"/>
      <c r="J129" s="229"/>
      <c r="K129" s="229"/>
      <c r="L129" s="229"/>
      <c r="M129" s="229"/>
      <c r="N129" s="229"/>
      <c r="O129" s="229"/>
      <c r="P129" s="229"/>
      <c r="Q129" s="229"/>
      <c r="R129" s="229"/>
      <c r="S129" s="229"/>
      <c r="T129" s="229"/>
      <c r="U129" s="229"/>
      <c r="V129" s="229"/>
      <c r="W129" s="229"/>
      <c r="X129" s="229"/>
      <c r="Y129" s="229"/>
      <c r="Z129" s="229"/>
      <c r="AA129" s="229"/>
    </row>
    <row r="130" customFormat="false" ht="13.5" hidden="false" customHeight="true" outlineLevel="0" collapsed="false">
      <c r="A130" s="229"/>
      <c r="B130" s="229"/>
      <c r="C130" s="229"/>
      <c r="D130" s="229"/>
      <c r="E130" s="229"/>
      <c r="F130" s="229"/>
      <c r="G130" s="229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R130" s="229"/>
      <c r="S130" s="229"/>
      <c r="T130" s="229"/>
      <c r="U130" s="229"/>
      <c r="V130" s="229"/>
      <c r="W130" s="229"/>
      <c r="X130" s="229"/>
      <c r="Y130" s="229"/>
      <c r="Z130" s="229"/>
      <c r="AA130" s="229"/>
    </row>
    <row r="131" customFormat="false" ht="13.5" hidden="false" customHeight="true" outlineLevel="0" collapsed="false">
      <c r="A131" s="229"/>
      <c r="B131" s="229"/>
      <c r="C131" s="229"/>
      <c r="D131" s="229"/>
      <c r="E131" s="229"/>
      <c r="F131" s="229"/>
      <c r="G131" s="229"/>
      <c r="H131" s="229"/>
      <c r="I131" s="229"/>
      <c r="J131" s="229"/>
      <c r="K131" s="229"/>
      <c r="L131" s="229"/>
      <c r="M131" s="229"/>
      <c r="N131" s="229"/>
      <c r="O131" s="229"/>
      <c r="P131" s="229"/>
      <c r="Q131" s="229"/>
      <c r="R131" s="229"/>
      <c r="S131" s="229"/>
      <c r="T131" s="229"/>
      <c r="U131" s="229"/>
      <c r="V131" s="229"/>
      <c r="W131" s="229"/>
      <c r="X131" s="229"/>
      <c r="Y131" s="229"/>
      <c r="Z131" s="229"/>
      <c r="AA131" s="229"/>
    </row>
    <row r="132" customFormat="false" ht="13.5" hidden="false" customHeight="true" outlineLevel="0" collapsed="false">
      <c r="A132" s="229"/>
      <c r="B132" s="229"/>
      <c r="C132" s="229"/>
      <c r="D132" s="229"/>
      <c r="E132" s="229"/>
      <c r="F132" s="229"/>
      <c r="G132" s="229"/>
      <c r="H132" s="229"/>
      <c r="I132" s="229"/>
      <c r="J132" s="229"/>
      <c r="K132" s="229"/>
      <c r="L132" s="229"/>
      <c r="M132" s="229"/>
      <c r="N132" s="229"/>
      <c r="O132" s="229"/>
      <c r="P132" s="229"/>
      <c r="Q132" s="229"/>
      <c r="R132" s="229"/>
      <c r="S132" s="229"/>
      <c r="T132" s="229"/>
      <c r="U132" s="229"/>
      <c r="V132" s="229"/>
      <c r="W132" s="229"/>
      <c r="X132" s="229"/>
      <c r="Y132" s="229"/>
      <c r="Z132" s="229"/>
      <c r="AA132" s="229"/>
    </row>
    <row r="133" customFormat="false" ht="13.5" hidden="false" customHeight="true" outlineLevel="0" collapsed="false">
      <c r="A133" s="229"/>
      <c r="B133" s="229"/>
      <c r="C133" s="229"/>
      <c r="D133" s="229"/>
      <c r="E133" s="229"/>
      <c r="F133" s="229"/>
      <c r="G133" s="229"/>
      <c r="H133" s="229"/>
      <c r="I133" s="229"/>
      <c r="J133" s="229"/>
      <c r="K133" s="229"/>
      <c r="L133" s="229"/>
      <c r="M133" s="229"/>
      <c r="N133" s="229"/>
      <c r="O133" s="229"/>
      <c r="P133" s="229"/>
      <c r="Q133" s="229"/>
      <c r="R133" s="229"/>
      <c r="S133" s="229"/>
      <c r="T133" s="229"/>
      <c r="U133" s="229"/>
      <c r="V133" s="229"/>
      <c r="W133" s="229"/>
      <c r="X133" s="229"/>
      <c r="Y133" s="229"/>
      <c r="Z133" s="229"/>
      <c r="AA133" s="229"/>
    </row>
    <row r="134" customFormat="false" ht="13.5" hidden="false" customHeight="true" outlineLevel="0" collapsed="false">
      <c r="A134" s="229"/>
      <c r="B134" s="229"/>
      <c r="C134" s="229"/>
      <c r="D134" s="229"/>
      <c r="E134" s="229"/>
      <c r="F134" s="229"/>
      <c r="G134" s="229"/>
      <c r="H134" s="229"/>
      <c r="I134" s="229"/>
      <c r="J134" s="229"/>
      <c r="K134" s="229"/>
      <c r="L134" s="229"/>
      <c r="M134" s="229"/>
      <c r="N134" s="229"/>
      <c r="O134" s="229"/>
      <c r="P134" s="229"/>
      <c r="Q134" s="229"/>
      <c r="R134" s="229"/>
      <c r="S134" s="229"/>
      <c r="T134" s="229"/>
      <c r="U134" s="229"/>
      <c r="V134" s="229"/>
      <c r="W134" s="229"/>
      <c r="X134" s="229"/>
      <c r="Y134" s="229"/>
      <c r="Z134" s="229"/>
      <c r="AA134" s="229"/>
    </row>
    <row r="135" customFormat="false" ht="13.5" hidden="false" customHeight="true" outlineLevel="0" collapsed="false">
      <c r="A135" s="229"/>
      <c r="B135" s="229"/>
      <c r="C135" s="229"/>
      <c r="D135" s="229"/>
      <c r="E135" s="229"/>
      <c r="F135" s="229"/>
      <c r="G135" s="229"/>
      <c r="H135" s="229"/>
      <c r="I135" s="229"/>
      <c r="J135" s="229"/>
      <c r="K135" s="229"/>
      <c r="L135" s="229"/>
      <c r="M135" s="229"/>
      <c r="N135" s="229"/>
      <c r="O135" s="229"/>
      <c r="P135" s="229"/>
      <c r="Q135" s="229"/>
      <c r="R135" s="229"/>
      <c r="S135" s="229"/>
      <c r="T135" s="229"/>
      <c r="U135" s="229"/>
      <c r="V135" s="229"/>
      <c r="W135" s="229"/>
      <c r="X135" s="229"/>
      <c r="Y135" s="229"/>
      <c r="Z135" s="229"/>
      <c r="AA135" s="229"/>
    </row>
    <row r="136" customFormat="false" ht="13.5" hidden="false" customHeight="true" outlineLevel="0" collapsed="false">
      <c r="A136" s="229"/>
      <c r="B136" s="229"/>
      <c r="C136" s="229"/>
      <c r="D136" s="229"/>
      <c r="E136" s="229"/>
      <c r="F136" s="229"/>
      <c r="G136" s="229"/>
      <c r="H136" s="229"/>
      <c r="I136" s="229"/>
      <c r="J136" s="229"/>
      <c r="K136" s="229"/>
      <c r="L136" s="229"/>
      <c r="M136" s="229"/>
      <c r="N136" s="229"/>
      <c r="O136" s="229"/>
      <c r="P136" s="229"/>
      <c r="Q136" s="229"/>
      <c r="R136" s="229"/>
      <c r="S136" s="229"/>
      <c r="T136" s="229"/>
      <c r="U136" s="229"/>
      <c r="V136" s="229"/>
      <c r="W136" s="229"/>
      <c r="X136" s="229"/>
      <c r="Y136" s="229"/>
      <c r="Z136" s="229"/>
      <c r="AA136" s="229"/>
    </row>
    <row r="137" customFormat="false" ht="13.5" hidden="false" customHeight="true" outlineLevel="0" collapsed="false">
      <c r="A137" s="229"/>
      <c r="B137" s="229"/>
      <c r="C137" s="229"/>
      <c r="D137" s="229"/>
      <c r="E137" s="229"/>
      <c r="F137" s="229"/>
      <c r="G137" s="229"/>
      <c r="H137" s="229"/>
      <c r="I137" s="229"/>
      <c r="J137" s="229"/>
      <c r="K137" s="229"/>
      <c r="L137" s="229"/>
      <c r="M137" s="229"/>
      <c r="N137" s="229"/>
      <c r="O137" s="229"/>
      <c r="P137" s="229"/>
      <c r="Q137" s="229"/>
      <c r="R137" s="229"/>
      <c r="S137" s="229"/>
      <c r="T137" s="229"/>
      <c r="U137" s="229"/>
      <c r="V137" s="229"/>
      <c r="W137" s="229"/>
      <c r="X137" s="229"/>
      <c r="Y137" s="229"/>
      <c r="Z137" s="229"/>
      <c r="AA137" s="229"/>
    </row>
    <row r="138" customFormat="false" ht="13.5" hidden="false" customHeight="true" outlineLevel="0" collapsed="false">
      <c r="A138" s="229"/>
      <c r="B138" s="229"/>
      <c r="C138" s="229"/>
      <c r="D138" s="229"/>
      <c r="E138" s="229"/>
      <c r="F138" s="229"/>
      <c r="G138" s="229"/>
      <c r="H138" s="229"/>
      <c r="I138" s="229"/>
      <c r="J138" s="229"/>
      <c r="K138" s="229"/>
      <c r="L138" s="229"/>
      <c r="M138" s="229"/>
      <c r="N138" s="229"/>
      <c r="O138" s="229"/>
      <c r="P138" s="229"/>
      <c r="Q138" s="229"/>
      <c r="R138" s="229"/>
      <c r="S138" s="229"/>
      <c r="T138" s="229"/>
      <c r="U138" s="229"/>
      <c r="V138" s="229"/>
      <c r="W138" s="229"/>
      <c r="X138" s="229"/>
      <c r="Y138" s="229"/>
      <c r="Z138" s="229"/>
      <c r="AA138" s="229"/>
    </row>
    <row r="139" customFormat="false" ht="13.5" hidden="false" customHeight="true" outlineLevel="0" collapsed="false">
      <c r="A139" s="229"/>
      <c r="B139" s="229"/>
      <c r="C139" s="229"/>
      <c r="D139" s="229"/>
      <c r="E139" s="229"/>
      <c r="F139" s="229"/>
      <c r="G139" s="229"/>
      <c r="H139" s="229"/>
      <c r="I139" s="229"/>
      <c r="J139" s="229"/>
      <c r="K139" s="229"/>
      <c r="L139" s="229"/>
      <c r="M139" s="229"/>
      <c r="N139" s="229"/>
      <c r="O139" s="229"/>
      <c r="P139" s="229"/>
      <c r="Q139" s="229"/>
      <c r="R139" s="229"/>
      <c r="S139" s="229"/>
      <c r="T139" s="229"/>
      <c r="U139" s="229"/>
      <c r="V139" s="229"/>
      <c r="W139" s="229"/>
      <c r="X139" s="229"/>
      <c r="Y139" s="229"/>
      <c r="Z139" s="229"/>
      <c r="AA139" s="229"/>
    </row>
    <row r="140" customFormat="false" ht="13.5" hidden="false" customHeight="true" outlineLevel="0" collapsed="false">
      <c r="A140" s="229"/>
      <c r="B140" s="229"/>
      <c r="C140" s="229"/>
      <c r="D140" s="229"/>
      <c r="E140" s="229"/>
      <c r="F140" s="229"/>
      <c r="G140" s="229"/>
      <c r="H140" s="229"/>
      <c r="I140" s="229"/>
      <c r="J140" s="229"/>
      <c r="K140" s="229"/>
      <c r="L140" s="229"/>
      <c r="M140" s="229"/>
      <c r="N140" s="229"/>
      <c r="O140" s="229"/>
      <c r="P140" s="229"/>
      <c r="Q140" s="229"/>
      <c r="R140" s="229"/>
      <c r="S140" s="229"/>
      <c r="T140" s="229"/>
      <c r="U140" s="229"/>
      <c r="V140" s="229"/>
      <c r="W140" s="229"/>
      <c r="X140" s="229"/>
      <c r="Y140" s="229"/>
      <c r="Z140" s="229"/>
      <c r="AA140" s="229"/>
    </row>
    <row r="141" customFormat="false" ht="13.5" hidden="false" customHeight="true" outlineLevel="0" collapsed="false">
      <c r="A141" s="229"/>
      <c r="B141" s="229"/>
      <c r="C141" s="229"/>
      <c r="D141" s="229"/>
      <c r="E141" s="229"/>
      <c r="F141" s="229"/>
      <c r="G141" s="229"/>
      <c r="H141" s="229"/>
      <c r="I141" s="229"/>
      <c r="J141" s="229"/>
      <c r="K141" s="229"/>
      <c r="L141" s="229"/>
      <c r="M141" s="229"/>
      <c r="N141" s="229"/>
      <c r="O141" s="229"/>
      <c r="P141" s="229"/>
      <c r="Q141" s="229"/>
      <c r="R141" s="229"/>
      <c r="S141" s="229"/>
      <c r="T141" s="229"/>
      <c r="U141" s="229"/>
      <c r="V141" s="229"/>
      <c r="W141" s="229"/>
      <c r="X141" s="229"/>
      <c r="Y141" s="229"/>
      <c r="Z141" s="229"/>
      <c r="AA141" s="229"/>
    </row>
    <row r="142" customFormat="false" ht="13.5" hidden="false" customHeight="true" outlineLevel="0" collapsed="false">
      <c r="A142" s="229"/>
      <c r="B142" s="229"/>
      <c r="C142" s="229"/>
      <c r="D142" s="229"/>
      <c r="E142" s="229"/>
      <c r="F142" s="229"/>
      <c r="G142" s="229"/>
      <c r="H142" s="229"/>
      <c r="I142" s="229"/>
      <c r="J142" s="229"/>
      <c r="K142" s="229"/>
      <c r="L142" s="229"/>
      <c r="M142" s="229"/>
      <c r="N142" s="229"/>
      <c r="O142" s="229"/>
      <c r="P142" s="229"/>
      <c r="Q142" s="229"/>
      <c r="R142" s="229"/>
      <c r="S142" s="229"/>
      <c r="T142" s="229"/>
      <c r="U142" s="229"/>
      <c r="V142" s="229"/>
      <c r="W142" s="229"/>
      <c r="X142" s="229"/>
      <c r="Y142" s="229"/>
      <c r="Z142" s="229"/>
      <c r="AA142" s="229"/>
    </row>
    <row r="143" customFormat="false" ht="13.5" hidden="false" customHeight="true" outlineLevel="0" collapsed="false">
      <c r="A143" s="229"/>
      <c r="B143" s="229"/>
      <c r="C143" s="229"/>
      <c r="D143" s="229"/>
      <c r="E143" s="229"/>
      <c r="F143" s="229"/>
      <c r="G143" s="229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R143" s="229"/>
      <c r="S143" s="229"/>
      <c r="T143" s="229"/>
      <c r="U143" s="229"/>
      <c r="V143" s="229"/>
      <c r="W143" s="229"/>
      <c r="X143" s="229"/>
      <c r="Y143" s="229"/>
      <c r="Z143" s="229"/>
      <c r="AA143" s="229"/>
    </row>
    <row r="144" customFormat="false" ht="13.5" hidden="false" customHeight="true" outlineLevel="0" collapsed="false">
      <c r="A144" s="229"/>
      <c r="B144" s="229"/>
      <c r="C144" s="229"/>
      <c r="D144" s="229"/>
      <c r="E144" s="229"/>
      <c r="F144" s="229"/>
      <c r="G144" s="229"/>
      <c r="H144" s="229"/>
      <c r="I144" s="229"/>
      <c r="J144" s="229"/>
      <c r="K144" s="229"/>
      <c r="L144" s="229"/>
      <c r="M144" s="229"/>
      <c r="N144" s="229"/>
      <c r="O144" s="229"/>
      <c r="P144" s="229"/>
      <c r="Q144" s="229"/>
      <c r="R144" s="229"/>
      <c r="S144" s="229"/>
      <c r="T144" s="229"/>
      <c r="U144" s="229"/>
      <c r="V144" s="229"/>
      <c r="W144" s="229"/>
      <c r="X144" s="229"/>
      <c r="Y144" s="229"/>
      <c r="Z144" s="229"/>
      <c r="AA144" s="229"/>
    </row>
    <row r="145" customFormat="false" ht="13.5" hidden="false" customHeight="true" outlineLevel="0" collapsed="false">
      <c r="A145" s="229"/>
      <c r="B145" s="229"/>
      <c r="C145" s="229"/>
      <c r="D145" s="229"/>
      <c r="E145" s="229"/>
      <c r="F145" s="229"/>
      <c r="G145" s="229"/>
      <c r="H145" s="229"/>
      <c r="I145" s="229"/>
      <c r="J145" s="229"/>
      <c r="K145" s="229"/>
      <c r="L145" s="229"/>
      <c r="M145" s="229"/>
      <c r="N145" s="229"/>
      <c r="O145" s="229"/>
      <c r="P145" s="229"/>
      <c r="Q145" s="229"/>
      <c r="R145" s="229"/>
      <c r="S145" s="229"/>
      <c r="T145" s="229"/>
      <c r="U145" s="229"/>
      <c r="V145" s="229"/>
      <c r="W145" s="229"/>
      <c r="X145" s="229"/>
      <c r="Y145" s="229"/>
      <c r="Z145" s="229"/>
      <c r="AA145" s="229"/>
    </row>
    <row r="146" customFormat="false" ht="13.5" hidden="false" customHeight="true" outlineLevel="0" collapsed="false">
      <c r="A146" s="229"/>
      <c r="B146" s="229"/>
      <c r="C146" s="229"/>
      <c r="D146" s="229"/>
      <c r="E146" s="229"/>
      <c r="F146" s="229"/>
      <c r="G146" s="229"/>
      <c r="H146" s="229"/>
      <c r="I146" s="229"/>
      <c r="J146" s="229"/>
      <c r="K146" s="229"/>
      <c r="L146" s="229"/>
      <c r="M146" s="229"/>
      <c r="N146" s="229"/>
      <c r="O146" s="229"/>
      <c r="P146" s="229"/>
      <c r="Q146" s="229"/>
      <c r="R146" s="229"/>
      <c r="S146" s="229"/>
      <c r="T146" s="229"/>
      <c r="U146" s="229"/>
      <c r="V146" s="229"/>
      <c r="W146" s="229"/>
      <c r="X146" s="229"/>
      <c r="Y146" s="229"/>
      <c r="Z146" s="229"/>
      <c r="AA146" s="229"/>
    </row>
    <row r="147" customFormat="false" ht="13.5" hidden="false" customHeight="true" outlineLevel="0" collapsed="false">
      <c r="A147" s="229"/>
      <c r="B147" s="229"/>
      <c r="C147" s="229"/>
      <c r="D147" s="229"/>
      <c r="E147" s="229"/>
      <c r="F147" s="229"/>
      <c r="G147" s="229"/>
      <c r="H147" s="229"/>
      <c r="I147" s="229"/>
      <c r="J147" s="229"/>
      <c r="K147" s="229"/>
      <c r="L147" s="229"/>
      <c r="M147" s="229"/>
      <c r="N147" s="229"/>
      <c r="O147" s="229"/>
      <c r="P147" s="229"/>
      <c r="Q147" s="229"/>
      <c r="R147" s="229"/>
      <c r="S147" s="229"/>
      <c r="T147" s="229"/>
      <c r="U147" s="229"/>
      <c r="V147" s="229"/>
      <c r="W147" s="229"/>
      <c r="X147" s="229"/>
      <c r="Y147" s="229"/>
      <c r="Z147" s="229"/>
      <c r="AA147" s="229"/>
    </row>
    <row r="148" customFormat="false" ht="13.5" hidden="false" customHeight="true" outlineLevel="0" collapsed="false">
      <c r="A148" s="229"/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29"/>
      <c r="P148" s="229"/>
      <c r="Q148" s="229"/>
      <c r="R148" s="229"/>
      <c r="S148" s="229"/>
      <c r="T148" s="229"/>
      <c r="U148" s="229"/>
      <c r="V148" s="229"/>
      <c r="W148" s="229"/>
      <c r="X148" s="229"/>
      <c r="Y148" s="229"/>
      <c r="Z148" s="229"/>
      <c r="AA148" s="229"/>
    </row>
    <row r="149" customFormat="false" ht="13.5" hidden="false" customHeight="true" outlineLevel="0" collapsed="false">
      <c r="A149" s="229"/>
      <c r="B149" s="229"/>
      <c r="C149" s="229"/>
      <c r="D149" s="229"/>
      <c r="E149" s="229"/>
      <c r="F149" s="229"/>
      <c r="G149" s="229"/>
      <c r="H149" s="229"/>
      <c r="I149" s="229"/>
      <c r="J149" s="229"/>
      <c r="K149" s="229"/>
      <c r="L149" s="229"/>
      <c r="M149" s="229"/>
      <c r="N149" s="229"/>
      <c r="O149" s="229"/>
      <c r="P149" s="229"/>
      <c r="Q149" s="229"/>
      <c r="R149" s="229"/>
      <c r="S149" s="229"/>
      <c r="T149" s="229"/>
      <c r="U149" s="229"/>
      <c r="V149" s="229"/>
      <c r="W149" s="229"/>
      <c r="X149" s="229"/>
      <c r="Y149" s="229"/>
      <c r="Z149" s="229"/>
      <c r="AA149" s="229"/>
    </row>
    <row r="150" customFormat="false" ht="13.5" hidden="false" customHeight="true" outlineLevel="0" collapsed="false">
      <c r="A150" s="229"/>
      <c r="B150" s="229"/>
      <c r="C150" s="229"/>
      <c r="D150" s="229"/>
      <c r="E150" s="229"/>
      <c r="F150" s="229"/>
      <c r="G150" s="229"/>
      <c r="H150" s="229"/>
      <c r="I150" s="229"/>
      <c r="J150" s="229"/>
      <c r="K150" s="229"/>
      <c r="L150" s="229"/>
      <c r="M150" s="229"/>
      <c r="N150" s="229"/>
      <c r="O150" s="229"/>
      <c r="P150" s="229"/>
      <c r="Q150" s="229"/>
      <c r="R150" s="229"/>
      <c r="S150" s="229"/>
      <c r="T150" s="229"/>
      <c r="U150" s="229"/>
      <c r="V150" s="229"/>
      <c r="W150" s="229"/>
      <c r="X150" s="229"/>
      <c r="Y150" s="229"/>
      <c r="Z150" s="229"/>
      <c r="AA150" s="229"/>
    </row>
    <row r="151" customFormat="false" ht="13.5" hidden="false" customHeight="true" outlineLevel="0" collapsed="false">
      <c r="A151" s="229"/>
      <c r="B151" s="229"/>
      <c r="C151" s="229"/>
      <c r="D151" s="229"/>
      <c r="E151" s="229"/>
      <c r="F151" s="229"/>
      <c r="G151" s="229"/>
      <c r="H151" s="229"/>
      <c r="I151" s="229"/>
      <c r="J151" s="229"/>
      <c r="K151" s="229"/>
      <c r="L151" s="229"/>
      <c r="M151" s="229"/>
      <c r="N151" s="229"/>
      <c r="O151" s="229"/>
      <c r="P151" s="229"/>
      <c r="Q151" s="229"/>
      <c r="R151" s="229"/>
      <c r="S151" s="229"/>
      <c r="T151" s="229"/>
      <c r="U151" s="229"/>
      <c r="V151" s="229"/>
      <c r="W151" s="229"/>
      <c r="X151" s="229"/>
      <c r="Y151" s="229"/>
      <c r="Z151" s="229"/>
      <c r="AA151" s="229"/>
    </row>
    <row r="152" customFormat="false" ht="13.5" hidden="false" customHeight="true" outlineLevel="0" collapsed="false">
      <c r="A152" s="229"/>
      <c r="B152" s="229"/>
      <c r="C152" s="229"/>
      <c r="D152" s="229"/>
      <c r="E152" s="229"/>
      <c r="F152" s="229"/>
      <c r="G152" s="229"/>
      <c r="H152" s="229"/>
      <c r="I152" s="229"/>
      <c r="J152" s="229"/>
      <c r="K152" s="229"/>
      <c r="L152" s="229"/>
      <c r="M152" s="229"/>
      <c r="N152" s="229"/>
      <c r="O152" s="229"/>
      <c r="P152" s="229"/>
      <c r="Q152" s="229"/>
      <c r="R152" s="229"/>
      <c r="S152" s="229"/>
      <c r="T152" s="229"/>
      <c r="U152" s="229"/>
      <c r="V152" s="229"/>
      <c r="W152" s="229"/>
      <c r="X152" s="229"/>
      <c r="Y152" s="229"/>
      <c r="Z152" s="229"/>
      <c r="AA152" s="229"/>
    </row>
    <row r="153" customFormat="false" ht="13.5" hidden="false" customHeight="true" outlineLevel="0" collapsed="false">
      <c r="A153" s="229"/>
      <c r="B153" s="229"/>
      <c r="C153" s="229"/>
      <c r="D153" s="229"/>
      <c r="E153" s="229"/>
      <c r="F153" s="229"/>
      <c r="G153" s="229"/>
      <c r="H153" s="229"/>
      <c r="I153" s="229"/>
      <c r="J153" s="229"/>
      <c r="K153" s="229"/>
      <c r="L153" s="229"/>
      <c r="M153" s="229"/>
      <c r="N153" s="229"/>
      <c r="O153" s="229"/>
      <c r="P153" s="229"/>
      <c r="Q153" s="229"/>
      <c r="R153" s="229"/>
      <c r="S153" s="229"/>
      <c r="T153" s="229"/>
      <c r="U153" s="229"/>
      <c r="V153" s="229"/>
      <c r="W153" s="229"/>
      <c r="X153" s="229"/>
      <c r="Y153" s="229"/>
      <c r="Z153" s="229"/>
      <c r="AA153" s="229"/>
    </row>
    <row r="154" customFormat="false" ht="13.5" hidden="false" customHeight="true" outlineLevel="0" collapsed="false">
      <c r="A154" s="229"/>
      <c r="B154" s="229"/>
      <c r="C154" s="229"/>
      <c r="D154" s="229"/>
      <c r="E154" s="229"/>
      <c r="F154" s="229"/>
      <c r="G154" s="229"/>
      <c r="H154" s="229"/>
      <c r="I154" s="229"/>
      <c r="J154" s="229"/>
      <c r="K154" s="229"/>
      <c r="L154" s="229"/>
      <c r="M154" s="229"/>
      <c r="N154" s="229"/>
      <c r="O154" s="229"/>
      <c r="P154" s="229"/>
      <c r="Q154" s="229"/>
      <c r="R154" s="229"/>
      <c r="S154" s="229"/>
      <c r="T154" s="229"/>
      <c r="U154" s="229"/>
      <c r="V154" s="229"/>
      <c r="W154" s="229"/>
      <c r="X154" s="229"/>
      <c r="Y154" s="229"/>
      <c r="Z154" s="229"/>
      <c r="AA154" s="229"/>
    </row>
    <row r="155" customFormat="false" ht="13.5" hidden="false" customHeight="true" outlineLevel="0" collapsed="false">
      <c r="A155" s="229"/>
      <c r="B155" s="229"/>
      <c r="C155" s="229"/>
      <c r="D155" s="229"/>
      <c r="E155" s="229"/>
      <c r="F155" s="229"/>
      <c r="G155" s="229"/>
      <c r="H155" s="229"/>
      <c r="I155" s="229"/>
      <c r="J155" s="229"/>
      <c r="K155" s="229"/>
      <c r="L155" s="229"/>
      <c r="M155" s="229"/>
      <c r="N155" s="229"/>
      <c r="O155" s="229"/>
      <c r="P155" s="229"/>
      <c r="Q155" s="229"/>
      <c r="R155" s="229"/>
      <c r="S155" s="229"/>
      <c r="T155" s="229"/>
      <c r="U155" s="229"/>
      <c r="V155" s="229"/>
      <c r="W155" s="229"/>
      <c r="X155" s="229"/>
      <c r="Y155" s="229"/>
      <c r="Z155" s="229"/>
      <c r="AA155" s="229"/>
    </row>
    <row r="156" customFormat="false" ht="13.5" hidden="false" customHeight="true" outlineLevel="0" collapsed="false">
      <c r="A156" s="229"/>
      <c r="B156" s="229"/>
      <c r="C156" s="229"/>
      <c r="D156" s="229"/>
      <c r="E156" s="229"/>
      <c r="F156" s="229"/>
      <c r="G156" s="229"/>
      <c r="H156" s="229"/>
      <c r="I156" s="229"/>
      <c r="J156" s="229"/>
      <c r="K156" s="229"/>
      <c r="L156" s="229"/>
      <c r="M156" s="229"/>
      <c r="N156" s="229"/>
      <c r="O156" s="229"/>
      <c r="P156" s="229"/>
      <c r="Q156" s="229"/>
      <c r="R156" s="229"/>
      <c r="S156" s="229"/>
      <c r="T156" s="229"/>
      <c r="U156" s="229"/>
      <c r="V156" s="229"/>
      <c r="W156" s="229"/>
      <c r="X156" s="229"/>
      <c r="Y156" s="229"/>
      <c r="Z156" s="229"/>
      <c r="AA156" s="229"/>
    </row>
    <row r="157" customFormat="false" ht="13.5" hidden="false" customHeight="true" outlineLevel="0" collapsed="false">
      <c r="A157" s="229"/>
      <c r="B157" s="229"/>
      <c r="C157" s="229"/>
      <c r="D157" s="229"/>
      <c r="E157" s="229"/>
      <c r="F157" s="229"/>
      <c r="G157" s="229"/>
      <c r="H157" s="229"/>
      <c r="I157" s="229"/>
      <c r="J157" s="229"/>
      <c r="K157" s="229"/>
      <c r="L157" s="229"/>
      <c r="M157" s="229"/>
      <c r="N157" s="229"/>
      <c r="O157" s="229"/>
      <c r="P157" s="229"/>
      <c r="Q157" s="229"/>
      <c r="R157" s="229"/>
      <c r="S157" s="229"/>
      <c r="T157" s="229"/>
      <c r="U157" s="229"/>
      <c r="V157" s="229"/>
      <c r="W157" s="229"/>
      <c r="X157" s="229"/>
      <c r="Y157" s="229"/>
      <c r="Z157" s="229"/>
      <c r="AA157" s="229"/>
    </row>
    <row r="158" customFormat="false" ht="13.5" hidden="false" customHeight="true" outlineLevel="0" collapsed="false">
      <c r="A158" s="229"/>
      <c r="B158" s="229"/>
      <c r="C158" s="229"/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</row>
    <row r="159" customFormat="false" ht="13.5" hidden="false" customHeight="true" outlineLevel="0" collapsed="false">
      <c r="A159" s="229"/>
      <c r="B159" s="229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</row>
    <row r="160" customFormat="false" ht="13.5" hidden="false" customHeight="true" outlineLevel="0" collapsed="false">
      <c r="A160" s="229"/>
      <c r="B160" s="229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</row>
    <row r="161" customFormat="false" ht="13.5" hidden="false" customHeight="true" outlineLevel="0" collapsed="false">
      <c r="A161" s="229"/>
      <c r="B161" s="229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</row>
    <row r="162" customFormat="false" ht="13.5" hidden="false" customHeight="true" outlineLevel="0" collapsed="false">
      <c r="A162" s="229"/>
      <c r="B162" s="229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</row>
    <row r="163" customFormat="false" ht="13.5" hidden="false" customHeight="true" outlineLevel="0" collapsed="false">
      <c r="A163" s="229"/>
      <c r="B163" s="229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</row>
    <row r="164" customFormat="false" ht="13.5" hidden="false" customHeight="true" outlineLevel="0" collapsed="false">
      <c r="A164" s="229"/>
      <c r="B164" s="229"/>
      <c r="C164" s="229"/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</row>
    <row r="165" customFormat="false" ht="13.5" hidden="false" customHeight="true" outlineLevel="0" collapsed="false">
      <c r="A165" s="229"/>
      <c r="B165" s="229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</row>
    <row r="166" customFormat="false" ht="13.5" hidden="false" customHeight="true" outlineLevel="0" collapsed="false">
      <c r="A166" s="229"/>
      <c r="B166" s="229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</row>
    <row r="167" customFormat="false" ht="13.5" hidden="false" customHeight="true" outlineLevel="0" collapsed="false">
      <c r="A167" s="229"/>
      <c r="B167" s="229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</row>
    <row r="168" customFormat="false" ht="13.5" hidden="false" customHeight="true" outlineLevel="0" collapsed="false">
      <c r="A168" s="229"/>
      <c r="B168" s="229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</row>
    <row r="169" customFormat="false" ht="13.5" hidden="false" customHeight="true" outlineLevel="0" collapsed="false">
      <c r="A169" s="229"/>
      <c r="B169" s="229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</row>
    <row r="170" customFormat="false" ht="13.5" hidden="false" customHeight="true" outlineLevel="0" collapsed="false">
      <c r="A170" s="229"/>
      <c r="B170" s="229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</row>
    <row r="171" customFormat="false" ht="13.5" hidden="false" customHeight="true" outlineLevel="0" collapsed="false">
      <c r="A171" s="229"/>
      <c r="B171" s="229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29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</row>
    <row r="172" customFormat="false" ht="13.5" hidden="false" customHeight="true" outlineLevel="0" collapsed="false">
      <c r="A172" s="229"/>
      <c r="B172" s="229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29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</row>
    <row r="173" customFormat="false" ht="13.5" hidden="false" customHeight="true" outlineLevel="0" collapsed="false">
      <c r="A173" s="229"/>
      <c r="B173" s="229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29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</row>
    <row r="174" customFormat="false" ht="13.5" hidden="false" customHeight="true" outlineLevel="0" collapsed="false">
      <c r="A174" s="229"/>
      <c r="B174" s="229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29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</row>
    <row r="175" customFormat="false" ht="13.5" hidden="false" customHeight="true" outlineLevel="0" collapsed="false">
      <c r="A175" s="229"/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29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</row>
    <row r="176" customFormat="false" ht="13.5" hidden="false" customHeight="true" outlineLevel="0" collapsed="false">
      <c r="A176" s="229"/>
      <c r="B176" s="229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</row>
    <row r="177" customFormat="false" ht="13.5" hidden="false" customHeight="true" outlineLevel="0" collapsed="false">
      <c r="A177" s="229"/>
      <c r="B177" s="229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</row>
    <row r="178" customFormat="false" ht="13.5" hidden="false" customHeight="true" outlineLevel="0" collapsed="false">
      <c r="A178" s="229"/>
      <c r="B178" s="229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</row>
    <row r="179" customFormat="false" ht="13.5" hidden="false" customHeight="true" outlineLevel="0" collapsed="false">
      <c r="A179" s="229"/>
      <c r="B179" s="229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</row>
    <row r="180" customFormat="false" ht="13.5" hidden="false" customHeight="true" outlineLevel="0" collapsed="false">
      <c r="A180" s="229"/>
      <c r="B180" s="229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</row>
    <row r="181" customFormat="false" ht="13.5" hidden="false" customHeight="true" outlineLevel="0" collapsed="false">
      <c r="A181" s="229"/>
      <c r="B181" s="229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</row>
    <row r="182" customFormat="false" ht="13.5" hidden="false" customHeight="true" outlineLevel="0" collapsed="false">
      <c r="A182" s="229"/>
      <c r="B182" s="229"/>
      <c r="C182" s="229"/>
      <c r="D182" s="229"/>
      <c r="E182" s="229"/>
      <c r="F182" s="229"/>
      <c r="G182" s="229"/>
      <c r="H182" s="229"/>
      <c r="I182" s="229"/>
      <c r="J182" s="229"/>
      <c r="K182" s="229"/>
      <c r="L182" s="229"/>
      <c r="M182" s="229"/>
      <c r="N182" s="229"/>
      <c r="O182" s="229"/>
      <c r="P182" s="229"/>
      <c r="Q182" s="229"/>
      <c r="R182" s="229"/>
      <c r="S182" s="229"/>
      <c r="T182" s="229"/>
      <c r="U182" s="229"/>
      <c r="V182" s="229"/>
      <c r="W182" s="229"/>
      <c r="X182" s="229"/>
      <c r="Y182" s="229"/>
      <c r="Z182" s="229"/>
      <c r="AA182" s="229"/>
    </row>
    <row r="183" customFormat="false" ht="13.5" hidden="false" customHeight="true" outlineLevel="0" collapsed="false">
      <c r="A183" s="229"/>
      <c r="B183" s="229"/>
      <c r="C183" s="229"/>
      <c r="D183" s="229"/>
      <c r="E183" s="229"/>
      <c r="F183" s="229"/>
      <c r="G183" s="229"/>
      <c r="H183" s="229"/>
      <c r="I183" s="229"/>
      <c r="J183" s="229"/>
      <c r="K183" s="229"/>
      <c r="L183" s="229"/>
      <c r="M183" s="229"/>
      <c r="N183" s="229"/>
      <c r="O183" s="229"/>
      <c r="P183" s="229"/>
      <c r="Q183" s="229"/>
      <c r="R183" s="229"/>
      <c r="S183" s="229"/>
      <c r="T183" s="229"/>
      <c r="U183" s="229"/>
      <c r="V183" s="229"/>
      <c r="W183" s="229"/>
      <c r="X183" s="229"/>
      <c r="Y183" s="229"/>
      <c r="Z183" s="229"/>
      <c r="AA183" s="229"/>
    </row>
    <row r="184" customFormat="false" ht="13.5" hidden="false" customHeight="true" outlineLevel="0" collapsed="false">
      <c r="A184" s="229"/>
      <c r="B184" s="229"/>
      <c r="C184" s="229"/>
      <c r="D184" s="229"/>
      <c r="E184" s="229"/>
      <c r="F184" s="229"/>
      <c r="G184" s="229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R184" s="229"/>
      <c r="S184" s="229"/>
      <c r="T184" s="229"/>
      <c r="U184" s="229"/>
      <c r="V184" s="229"/>
      <c r="W184" s="229"/>
      <c r="X184" s="229"/>
      <c r="Y184" s="229"/>
      <c r="Z184" s="229"/>
      <c r="AA184" s="229"/>
    </row>
    <row r="185" customFormat="false" ht="13.5" hidden="false" customHeight="true" outlineLevel="0" collapsed="false">
      <c r="A185" s="229"/>
      <c r="B185" s="229"/>
      <c r="C185" s="229"/>
      <c r="D185" s="229"/>
      <c r="E185" s="229"/>
      <c r="F185" s="229"/>
      <c r="G185" s="229"/>
      <c r="H185" s="229"/>
      <c r="I185" s="229"/>
      <c r="J185" s="229"/>
      <c r="K185" s="229"/>
      <c r="L185" s="229"/>
      <c r="M185" s="229"/>
      <c r="N185" s="229"/>
      <c r="O185" s="229"/>
      <c r="P185" s="229"/>
      <c r="Q185" s="229"/>
      <c r="R185" s="229"/>
      <c r="S185" s="229"/>
      <c r="T185" s="229"/>
      <c r="U185" s="229"/>
      <c r="V185" s="229"/>
      <c r="W185" s="229"/>
      <c r="X185" s="229"/>
      <c r="Y185" s="229"/>
      <c r="Z185" s="229"/>
      <c r="AA185" s="229"/>
    </row>
    <row r="186" customFormat="false" ht="13.5" hidden="false" customHeight="true" outlineLevel="0" collapsed="false">
      <c r="A186" s="229"/>
      <c r="B186" s="229"/>
      <c r="C186" s="229"/>
      <c r="D186" s="229"/>
      <c r="E186" s="229"/>
      <c r="F186" s="229"/>
      <c r="G186" s="229"/>
      <c r="H186" s="229"/>
      <c r="I186" s="229"/>
      <c r="J186" s="229"/>
      <c r="K186" s="229"/>
      <c r="L186" s="229"/>
      <c r="M186" s="229"/>
      <c r="N186" s="229"/>
      <c r="O186" s="229"/>
      <c r="P186" s="229"/>
      <c r="Q186" s="229"/>
      <c r="R186" s="229"/>
      <c r="S186" s="229"/>
      <c r="T186" s="229"/>
      <c r="U186" s="229"/>
      <c r="V186" s="229"/>
      <c r="W186" s="229"/>
      <c r="X186" s="229"/>
      <c r="Y186" s="229"/>
      <c r="Z186" s="229"/>
      <c r="AA186" s="229"/>
    </row>
    <row r="187" customFormat="false" ht="13.5" hidden="false" customHeight="true" outlineLevel="0" collapsed="false">
      <c r="A187" s="229"/>
      <c r="B187" s="229"/>
      <c r="C187" s="229"/>
      <c r="D187" s="229"/>
      <c r="E187" s="229"/>
      <c r="F187" s="229"/>
      <c r="G187" s="229"/>
      <c r="H187" s="229"/>
      <c r="I187" s="229"/>
      <c r="J187" s="229"/>
      <c r="K187" s="229"/>
      <c r="L187" s="229"/>
      <c r="M187" s="229"/>
      <c r="N187" s="229"/>
      <c r="O187" s="229"/>
      <c r="P187" s="229"/>
      <c r="Q187" s="229"/>
      <c r="R187" s="229"/>
      <c r="S187" s="229"/>
      <c r="T187" s="229"/>
      <c r="U187" s="229"/>
      <c r="V187" s="229"/>
      <c r="W187" s="229"/>
      <c r="X187" s="229"/>
      <c r="Y187" s="229"/>
      <c r="Z187" s="229"/>
      <c r="AA187" s="229"/>
    </row>
    <row r="188" customFormat="false" ht="13.5" hidden="false" customHeight="true" outlineLevel="0" collapsed="false">
      <c r="A188" s="229"/>
      <c r="B188" s="229"/>
      <c r="C188" s="229"/>
      <c r="D188" s="229"/>
      <c r="E188" s="229"/>
      <c r="F188" s="229"/>
      <c r="G188" s="229"/>
      <c r="H188" s="229"/>
      <c r="I188" s="229"/>
      <c r="J188" s="229"/>
      <c r="K188" s="229"/>
      <c r="L188" s="229"/>
      <c r="M188" s="229"/>
      <c r="N188" s="229"/>
      <c r="O188" s="229"/>
      <c r="P188" s="229"/>
      <c r="Q188" s="229"/>
      <c r="R188" s="229"/>
      <c r="S188" s="229"/>
      <c r="T188" s="229"/>
      <c r="U188" s="229"/>
      <c r="V188" s="229"/>
      <c r="W188" s="229"/>
      <c r="X188" s="229"/>
      <c r="Y188" s="229"/>
      <c r="Z188" s="229"/>
      <c r="AA188" s="229"/>
    </row>
    <row r="189" customFormat="false" ht="13.5" hidden="false" customHeight="true" outlineLevel="0" collapsed="false">
      <c r="A189" s="229"/>
      <c r="B189" s="229"/>
      <c r="C189" s="229"/>
      <c r="D189" s="229"/>
      <c r="E189" s="229"/>
      <c r="F189" s="229"/>
      <c r="G189" s="229"/>
      <c r="H189" s="229"/>
      <c r="I189" s="229"/>
      <c r="J189" s="229"/>
      <c r="K189" s="229"/>
      <c r="L189" s="229"/>
      <c r="M189" s="229"/>
      <c r="N189" s="229"/>
      <c r="O189" s="229"/>
      <c r="P189" s="229"/>
      <c r="Q189" s="229"/>
      <c r="R189" s="229"/>
      <c r="S189" s="229"/>
      <c r="T189" s="229"/>
      <c r="U189" s="229"/>
      <c r="V189" s="229"/>
      <c r="W189" s="229"/>
      <c r="X189" s="229"/>
      <c r="Y189" s="229"/>
      <c r="Z189" s="229"/>
      <c r="AA189" s="229"/>
    </row>
    <row r="190" customFormat="false" ht="13.5" hidden="false" customHeight="true" outlineLevel="0" collapsed="false">
      <c r="A190" s="229"/>
      <c r="B190" s="229"/>
      <c r="C190" s="229"/>
      <c r="D190" s="229"/>
      <c r="E190" s="229"/>
      <c r="F190" s="229"/>
      <c r="G190" s="229"/>
      <c r="H190" s="229"/>
      <c r="I190" s="229"/>
      <c r="J190" s="229"/>
      <c r="K190" s="229"/>
      <c r="L190" s="229"/>
      <c r="M190" s="229"/>
      <c r="N190" s="229"/>
      <c r="O190" s="229"/>
      <c r="P190" s="229"/>
      <c r="Q190" s="229"/>
      <c r="R190" s="229"/>
      <c r="S190" s="229"/>
      <c r="T190" s="229"/>
      <c r="U190" s="229"/>
      <c r="V190" s="229"/>
      <c r="W190" s="229"/>
      <c r="X190" s="229"/>
      <c r="Y190" s="229"/>
      <c r="Z190" s="229"/>
      <c r="AA190" s="229"/>
    </row>
    <row r="191" customFormat="false" ht="13.5" hidden="false" customHeight="true" outlineLevel="0" collapsed="false">
      <c r="A191" s="229"/>
      <c r="B191" s="229"/>
      <c r="C191" s="229"/>
      <c r="D191" s="229"/>
      <c r="E191" s="229"/>
      <c r="F191" s="229"/>
      <c r="G191" s="229"/>
      <c r="H191" s="229"/>
      <c r="I191" s="229"/>
      <c r="J191" s="229"/>
      <c r="K191" s="229"/>
      <c r="L191" s="229"/>
      <c r="M191" s="229"/>
      <c r="N191" s="229"/>
      <c r="O191" s="229"/>
      <c r="P191" s="229"/>
      <c r="Q191" s="229"/>
      <c r="R191" s="229"/>
      <c r="S191" s="229"/>
      <c r="T191" s="229"/>
      <c r="U191" s="229"/>
      <c r="V191" s="229"/>
      <c r="W191" s="229"/>
      <c r="X191" s="229"/>
      <c r="Y191" s="229"/>
      <c r="Z191" s="229"/>
      <c r="AA191" s="229"/>
    </row>
    <row r="192" customFormat="false" ht="13.5" hidden="false" customHeight="true" outlineLevel="0" collapsed="false">
      <c r="A192" s="229"/>
      <c r="B192" s="229"/>
      <c r="C192" s="229"/>
      <c r="D192" s="229"/>
      <c r="E192" s="229"/>
      <c r="F192" s="229"/>
      <c r="G192" s="229"/>
      <c r="H192" s="229"/>
      <c r="I192" s="229"/>
      <c r="J192" s="229"/>
      <c r="K192" s="229"/>
      <c r="L192" s="229"/>
      <c r="M192" s="229"/>
      <c r="N192" s="229"/>
      <c r="O192" s="229"/>
      <c r="P192" s="229"/>
      <c r="Q192" s="229"/>
      <c r="R192" s="229"/>
      <c r="S192" s="229"/>
      <c r="T192" s="229"/>
      <c r="U192" s="229"/>
      <c r="V192" s="229"/>
      <c r="W192" s="229"/>
      <c r="X192" s="229"/>
      <c r="Y192" s="229"/>
      <c r="Z192" s="229"/>
      <c r="AA192" s="229"/>
    </row>
    <row r="193" customFormat="false" ht="13.5" hidden="false" customHeight="true" outlineLevel="0" collapsed="false">
      <c r="A193" s="229"/>
      <c r="B193" s="229"/>
      <c r="C193" s="229"/>
      <c r="D193" s="229"/>
      <c r="E193" s="229"/>
      <c r="F193" s="229"/>
      <c r="G193" s="229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R193" s="229"/>
      <c r="S193" s="229"/>
      <c r="T193" s="229"/>
      <c r="U193" s="229"/>
      <c r="V193" s="229"/>
      <c r="W193" s="229"/>
      <c r="X193" s="229"/>
      <c r="Y193" s="229"/>
      <c r="Z193" s="229"/>
      <c r="AA193" s="229"/>
    </row>
    <row r="194" customFormat="false" ht="13.5" hidden="false" customHeight="true" outlineLevel="0" collapsed="false">
      <c r="A194" s="229"/>
      <c r="B194" s="229"/>
      <c r="C194" s="229"/>
      <c r="D194" s="229"/>
      <c r="E194" s="229"/>
      <c r="F194" s="229"/>
      <c r="G194" s="229"/>
      <c r="H194" s="229"/>
      <c r="I194" s="229"/>
      <c r="J194" s="229"/>
      <c r="K194" s="229"/>
      <c r="L194" s="229"/>
      <c r="M194" s="229"/>
      <c r="N194" s="229"/>
      <c r="O194" s="229"/>
      <c r="P194" s="229"/>
      <c r="Q194" s="229"/>
      <c r="R194" s="229"/>
      <c r="S194" s="229"/>
      <c r="T194" s="229"/>
      <c r="U194" s="229"/>
      <c r="V194" s="229"/>
      <c r="W194" s="229"/>
      <c r="X194" s="229"/>
      <c r="Y194" s="229"/>
      <c r="Z194" s="229"/>
      <c r="AA194" s="229"/>
    </row>
    <row r="195" customFormat="false" ht="13.5" hidden="false" customHeight="true" outlineLevel="0" collapsed="false">
      <c r="A195" s="229"/>
      <c r="B195" s="229"/>
      <c r="C195" s="229"/>
      <c r="D195" s="229"/>
      <c r="E195" s="229"/>
      <c r="F195" s="229"/>
      <c r="G195" s="229"/>
      <c r="H195" s="229"/>
      <c r="I195" s="229"/>
      <c r="J195" s="229"/>
      <c r="K195" s="229"/>
      <c r="L195" s="229"/>
      <c r="M195" s="229"/>
      <c r="N195" s="229"/>
      <c r="O195" s="229"/>
      <c r="P195" s="229"/>
      <c r="Q195" s="229"/>
      <c r="R195" s="229"/>
      <c r="S195" s="229"/>
      <c r="T195" s="229"/>
      <c r="U195" s="229"/>
      <c r="V195" s="229"/>
      <c r="W195" s="229"/>
      <c r="X195" s="229"/>
      <c r="Y195" s="229"/>
      <c r="Z195" s="229"/>
      <c r="AA195" s="229"/>
    </row>
    <row r="196" customFormat="false" ht="13.5" hidden="false" customHeight="true" outlineLevel="0" collapsed="false">
      <c r="A196" s="229"/>
      <c r="B196" s="229"/>
      <c r="C196" s="229"/>
      <c r="D196" s="229"/>
      <c r="E196" s="229"/>
      <c r="F196" s="229"/>
      <c r="G196" s="229"/>
      <c r="H196" s="229"/>
      <c r="I196" s="229"/>
      <c r="J196" s="229"/>
      <c r="K196" s="229"/>
      <c r="L196" s="229"/>
      <c r="M196" s="229"/>
      <c r="N196" s="229"/>
      <c r="O196" s="229"/>
      <c r="P196" s="229"/>
      <c r="Q196" s="229"/>
      <c r="R196" s="229"/>
      <c r="S196" s="229"/>
      <c r="T196" s="229"/>
      <c r="U196" s="229"/>
      <c r="V196" s="229"/>
      <c r="W196" s="229"/>
      <c r="X196" s="229"/>
      <c r="Y196" s="229"/>
      <c r="Z196" s="229"/>
      <c r="AA196" s="229"/>
    </row>
    <row r="197" customFormat="false" ht="13.5" hidden="false" customHeight="true" outlineLevel="0" collapsed="false">
      <c r="A197" s="229"/>
      <c r="B197" s="229"/>
      <c r="C197" s="229"/>
      <c r="D197" s="229"/>
      <c r="E197" s="229"/>
      <c r="F197" s="229"/>
      <c r="G197" s="229"/>
      <c r="H197" s="229"/>
      <c r="I197" s="229"/>
      <c r="J197" s="229"/>
      <c r="K197" s="229"/>
      <c r="L197" s="229"/>
      <c r="M197" s="229"/>
      <c r="N197" s="229"/>
      <c r="O197" s="229"/>
      <c r="P197" s="229"/>
      <c r="Q197" s="229"/>
      <c r="R197" s="229"/>
      <c r="S197" s="229"/>
      <c r="T197" s="229"/>
      <c r="U197" s="229"/>
      <c r="V197" s="229"/>
      <c r="W197" s="229"/>
      <c r="X197" s="229"/>
      <c r="Y197" s="229"/>
      <c r="Z197" s="229"/>
      <c r="AA197" s="229"/>
    </row>
    <row r="198" customFormat="false" ht="13.5" hidden="false" customHeight="true" outlineLevel="0" collapsed="false">
      <c r="A198" s="229"/>
      <c r="B198" s="229"/>
      <c r="C198" s="229"/>
      <c r="D198" s="229"/>
      <c r="E198" s="229"/>
      <c r="F198" s="229"/>
      <c r="G198" s="229"/>
      <c r="H198" s="229"/>
      <c r="I198" s="229"/>
      <c r="J198" s="229"/>
      <c r="K198" s="229"/>
      <c r="L198" s="229"/>
      <c r="M198" s="229"/>
      <c r="N198" s="229"/>
      <c r="O198" s="229"/>
      <c r="P198" s="229"/>
      <c r="Q198" s="229"/>
      <c r="R198" s="229"/>
      <c r="S198" s="229"/>
      <c r="T198" s="229"/>
      <c r="U198" s="229"/>
      <c r="V198" s="229"/>
      <c r="W198" s="229"/>
      <c r="X198" s="229"/>
      <c r="Y198" s="229"/>
      <c r="Z198" s="229"/>
      <c r="AA198" s="229"/>
    </row>
    <row r="199" customFormat="false" ht="13.5" hidden="false" customHeight="true" outlineLevel="0" collapsed="false">
      <c r="A199" s="229"/>
      <c r="B199" s="229"/>
      <c r="C199" s="229"/>
      <c r="D199" s="229"/>
      <c r="E199" s="229"/>
      <c r="F199" s="229"/>
      <c r="G199" s="229"/>
      <c r="H199" s="229"/>
      <c r="I199" s="229"/>
      <c r="J199" s="229"/>
      <c r="K199" s="229"/>
      <c r="L199" s="229"/>
      <c r="M199" s="229"/>
      <c r="N199" s="229"/>
      <c r="O199" s="229"/>
      <c r="P199" s="229"/>
      <c r="Q199" s="229"/>
      <c r="R199" s="229"/>
      <c r="S199" s="229"/>
      <c r="T199" s="229"/>
      <c r="U199" s="229"/>
      <c r="V199" s="229"/>
      <c r="W199" s="229"/>
      <c r="X199" s="229"/>
      <c r="Y199" s="229"/>
      <c r="Z199" s="229"/>
      <c r="AA199" s="229"/>
    </row>
    <row r="200" customFormat="false" ht="13.5" hidden="false" customHeight="true" outlineLevel="0" collapsed="false">
      <c r="A200" s="229"/>
      <c r="B200" s="229"/>
      <c r="C200" s="229"/>
      <c r="D200" s="229"/>
      <c r="E200" s="229"/>
      <c r="F200" s="229"/>
      <c r="G200" s="229"/>
      <c r="H200" s="229"/>
      <c r="I200" s="229"/>
      <c r="J200" s="229"/>
      <c r="K200" s="229"/>
      <c r="L200" s="229"/>
      <c r="M200" s="229"/>
      <c r="N200" s="229"/>
      <c r="O200" s="229"/>
      <c r="P200" s="229"/>
      <c r="Q200" s="229"/>
      <c r="R200" s="229"/>
      <c r="S200" s="229"/>
      <c r="T200" s="229"/>
      <c r="U200" s="229"/>
      <c r="V200" s="229"/>
      <c r="W200" s="229"/>
      <c r="X200" s="229"/>
      <c r="Y200" s="229"/>
      <c r="Z200" s="229"/>
      <c r="AA200" s="229"/>
    </row>
    <row r="201" customFormat="false" ht="13.5" hidden="false" customHeight="true" outlineLevel="0" collapsed="false">
      <c r="A201" s="229"/>
      <c r="B201" s="229"/>
      <c r="C201" s="229"/>
      <c r="D201" s="229"/>
      <c r="E201" s="229"/>
      <c r="F201" s="229"/>
      <c r="G201" s="229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R201" s="229"/>
      <c r="S201" s="229"/>
      <c r="T201" s="229"/>
      <c r="U201" s="229"/>
      <c r="V201" s="229"/>
      <c r="W201" s="229"/>
      <c r="X201" s="229"/>
      <c r="Y201" s="229"/>
      <c r="Z201" s="229"/>
      <c r="AA201" s="229"/>
    </row>
    <row r="202" customFormat="false" ht="13.5" hidden="false" customHeight="true" outlineLevel="0" collapsed="false">
      <c r="A202" s="229"/>
      <c r="B202" s="229"/>
      <c r="C202" s="229"/>
      <c r="D202" s="229"/>
      <c r="E202" s="229"/>
      <c r="F202" s="229"/>
      <c r="G202" s="229"/>
      <c r="H202" s="229"/>
      <c r="I202" s="229"/>
      <c r="J202" s="229"/>
      <c r="K202" s="229"/>
      <c r="L202" s="229"/>
      <c r="M202" s="229"/>
      <c r="N202" s="229"/>
      <c r="O202" s="229"/>
      <c r="P202" s="229"/>
      <c r="Q202" s="229"/>
      <c r="R202" s="229"/>
      <c r="S202" s="229"/>
      <c r="T202" s="229"/>
      <c r="U202" s="229"/>
      <c r="V202" s="229"/>
      <c r="W202" s="229"/>
      <c r="X202" s="229"/>
      <c r="Y202" s="229"/>
      <c r="Z202" s="229"/>
      <c r="AA202" s="229"/>
    </row>
    <row r="203" customFormat="false" ht="13.5" hidden="false" customHeight="true" outlineLevel="0" collapsed="false">
      <c r="A203" s="229"/>
      <c r="B203" s="229"/>
      <c r="C203" s="229"/>
      <c r="D203" s="229"/>
      <c r="E203" s="229"/>
      <c r="F203" s="229"/>
      <c r="G203" s="229"/>
      <c r="H203" s="229"/>
      <c r="I203" s="229"/>
      <c r="J203" s="229"/>
      <c r="K203" s="229"/>
      <c r="L203" s="229"/>
      <c r="M203" s="229"/>
      <c r="N203" s="229"/>
      <c r="O203" s="229"/>
      <c r="P203" s="229"/>
      <c r="Q203" s="229"/>
      <c r="R203" s="229"/>
      <c r="S203" s="229"/>
      <c r="T203" s="229"/>
      <c r="U203" s="229"/>
      <c r="V203" s="229"/>
      <c r="W203" s="229"/>
      <c r="X203" s="229"/>
      <c r="Y203" s="229"/>
      <c r="Z203" s="229"/>
      <c r="AA203" s="229"/>
    </row>
    <row r="204" customFormat="false" ht="13.5" hidden="false" customHeight="true" outlineLevel="0" collapsed="false">
      <c r="A204" s="229"/>
      <c r="B204" s="229"/>
      <c r="C204" s="229"/>
      <c r="D204" s="229"/>
      <c r="E204" s="229"/>
      <c r="F204" s="229"/>
      <c r="G204" s="229"/>
      <c r="H204" s="229"/>
      <c r="I204" s="229"/>
      <c r="J204" s="229"/>
      <c r="K204" s="229"/>
      <c r="L204" s="229"/>
      <c r="M204" s="229"/>
      <c r="N204" s="229"/>
      <c r="O204" s="229"/>
      <c r="P204" s="229"/>
      <c r="Q204" s="229"/>
      <c r="R204" s="229"/>
      <c r="S204" s="229"/>
      <c r="T204" s="229"/>
      <c r="U204" s="229"/>
      <c r="V204" s="229"/>
      <c r="W204" s="229"/>
      <c r="X204" s="229"/>
      <c r="Y204" s="229"/>
      <c r="Z204" s="229"/>
      <c r="AA204" s="229"/>
    </row>
    <row r="205" customFormat="false" ht="13.5" hidden="false" customHeight="true" outlineLevel="0" collapsed="false">
      <c r="A205" s="229"/>
      <c r="B205" s="229"/>
      <c r="C205" s="229"/>
      <c r="D205" s="229"/>
      <c r="E205" s="229"/>
      <c r="F205" s="229"/>
      <c r="G205" s="229"/>
      <c r="H205" s="229"/>
      <c r="I205" s="229"/>
      <c r="J205" s="229"/>
      <c r="K205" s="229"/>
      <c r="L205" s="229"/>
      <c r="M205" s="229"/>
      <c r="N205" s="229"/>
      <c r="O205" s="229"/>
      <c r="P205" s="229"/>
      <c r="Q205" s="229"/>
      <c r="R205" s="229"/>
      <c r="S205" s="229"/>
      <c r="T205" s="229"/>
      <c r="U205" s="229"/>
      <c r="V205" s="229"/>
      <c r="W205" s="229"/>
      <c r="X205" s="229"/>
      <c r="Y205" s="229"/>
      <c r="Z205" s="229"/>
      <c r="AA205" s="229"/>
    </row>
    <row r="206" customFormat="false" ht="13.5" hidden="false" customHeight="true" outlineLevel="0" collapsed="false">
      <c r="A206" s="229"/>
      <c r="B206" s="229"/>
      <c r="C206" s="229"/>
      <c r="D206" s="229"/>
      <c r="E206" s="229"/>
      <c r="F206" s="229"/>
      <c r="G206" s="229"/>
      <c r="H206" s="229"/>
      <c r="I206" s="229"/>
      <c r="J206" s="229"/>
      <c r="K206" s="229"/>
      <c r="L206" s="229"/>
      <c r="M206" s="229"/>
      <c r="N206" s="229"/>
      <c r="O206" s="229"/>
      <c r="P206" s="229"/>
      <c r="Q206" s="229"/>
      <c r="R206" s="229"/>
      <c r="S206" s="229"/>
      <c r="T206" s="229"/>
      <c r="U206" s="229"/>
      <c r="V206" s="229"/>
      <c r="W206" s="229"/>
      <c r="X206" s="229"/>
      <c r="Y206" s="229"/>
      <c r="Z206" s="229"/>
      <c r="AA206" s="229"/>
    </row>
    <row r="207" customFormat="false" ht="13.5" hidden="false" customHeight="true" outlineLevel="0" collapsed="false">
      <c r="A207" s="229"/>
      <c r="B207" s="229"/>
      <c r="C207" s="229"/>
      <c r="D207" s="229"/>
      <c r="E207" s="229"/>
      <c r="F207" s="229"/>
      <c r="G207" s="229"/>
      <c r="H207" s="229"/>
      <c r="I207" s="229"/>
      <c r="J207" s="229"/>
      <c r="K207" s="229"/>
      <c r="L207" s="229"/>
      <c r="M207" s="229"/>
      <c r="N207" s="229"/>
      <c r="O207" s="229"/>
      <c r="P207" s="229"/>
      <c r="Q207" s="229"/>
      <c r="R207" s="229"/>
      <c r="S207" s="229"/>
      <c r="T207" s="229"/>
      <c r="U207" s="229"/>
      <c r="V207" s="229"/>
      <c r="W207" s="229"/>
      <c r="X207" s="229"/>
      <c r="Y207" s="229"/>
      <c r="Z207" s="229"/>
      <c r="AA207" s="229"/>
    </row>
    <row r="208" customFormat="false" ht="13.5" hidden="false" customHeight="true" outlineLevel="0" collapsed="false">
      <c r="A208" s="229"/>
      <c r="B208" s="229"/>
      <c r="C208" s="229"/>
      <c r="D208" s="229"/>
      <c r="E208" s="229"/>
      <c r="F208" s="229"/>
      <c r="G208" s="229"/>
      <c r="H208" s="229"/>
      <c r="I208" s="229"/>
      <c r="J208" s="229"/>
      <c r="K208" s="229"/>
      <c r="L208" s="229"/>
      <c r="M208" s="229"/>
      <c r="N208" s="229"/>
      <c r="O208" s="229"/>
      <c r="P208" s="229"/>
      <c r="Q208" s="229"/>
      <c r="R208" s="229"/>
      <c r="S208" s="229"/>
      <c r="T208" s="229"/>
      <c r="U208" s="229"/>
      <c r="V208" s="229"/>
      <c r="W208" s="229"/>
      <c r="X208" s="229"/>
      <c r="Y208" s="229"/>
      <c r="Z208" s="229"/>
      <c r="AA208" s="229"/>
    </row>
    <row r="209" customFormat="false" ht="13.5" hidden="false" customHeight="true" outlineLevel="0" collapsed="false">
      <c r="A209" s="229"/>
      <c r="B209" s="229"/>
      <c r="C209" s="229"/>
      <c r="D209" s="229"/>
      <c r="E209" s="229"/>
      <c r="F209" s="229"/>
      <c r="G209" s="229"/>
      <c r="H209" s="229"/>
      <c r="I209" s="229"/>
      <c r="J209" s="229"/>
      <c r="K209" s="229"/>
      <c r="L209" s="229"/>
      <c r="M209" s="229"/>
      <c r="N209" s="229"/>
      <c r="O209" s="229"/>
      <c r="P209" s="229"/>
      <c r="Q209" s="229"/>
      <c r="R209" s="229"/>
      <c r="S209" s="229"/>
      <c r="T209" s="229"/>
      <c r="U209" s="229"/>
      <c r="V209" s="229"/>
      <c r="W209" s="229"/>
      <c r="X209" s="229"/>
      <c r="Y209" s="229"/>
      <c r="Z209" s="229"/>
      <c r="AA209" s="229"/>
    </row>
    <row r="210" customFormat="false" ht="13.5" hidden="false" customHeight="true" outlineLevel="0" collapsed="false">
      <c r="A210" s="229"/>
      <c r="B210" s="229"/>
      <c r="C210" s="229"/>
      <c r="D210" s="229"/>
      <c r="E210" s="229"/>
      <c r="F210" s="229"/>
      <c r="G210" s="229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R210" s="229"/>
      <c r="S210" s="229"/>
      <c r="T210" s="229"/>
      <c r="U210" s="229"/>
      <c r="V210" s="229"/>
      <c r="W210" s="229"/>
      <c r="X210" s="229"/>
      <c r="Y210" s="229"/>
      <c r="Z210" s="229"/>
      <c r="AA210" s="229"/>
    </row>
    <row r="211" customFormat="false" ht="13.5" hidden="false" customHeight="true" outlineLevel="0" collapsed="false">
      <c r="A211" s="229"/>
      <c r="B211" s="229"/>
      <c r="C211" s="229"/>
      <c r="D211" s="229"/>
      <c r="E211" s="229"/>
      <c r="F211" s="229"/>
      <c r="G211" s="229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R211" s="229"/>
      <c r="S211" s="229"/>
      <c r="T211" s="229"/>
      <c r="U211" s="229"/>
      <c r="V211" s="229"/>
      <c r="W211" s="229"/>
      <c r="X211" s="229"/>
      <c r="Y211" s="229"/>
      <c r="Z211" s="229"/>
      <c r="AA211" s="229"/>
    </row>
    <row r="212" customFormat="false" ht="13.5" hidden="false" customHeight="true" outlineLevel="0" collapsed="false">
      <c r="A212" s="229"/>
      <c r="B212" s="229"/>
      <c r="C212" s="229"/>
      <c r="D212" s="229"/>
      <c r="E212" s="229"/>
      <c r="F212" s="229"/>
      <c r="G212" s="229"/>
      <c r="H212" s="229"/>
      <c r="I212" s="229"/>
      <c r="J212" s="229"/>
      <c r="K212" s="229"/>
      <c r="L212" s="229"/>
      <c r="M212" s="229"/>
      <c r="N212" s="229"/>
      <c r="O212" s="229"/>
      <c r="P212" s="229"/>
      <c r="Q212" s="229"/>
      <c r="R212" s="229"/>
      <c r="S212" s="229"/>
      <c r="T212" s="229"/>
      <c r="U212" s="229"/>
      <c r="V212" s="229"/>
      <c r="W212" s="229"/>
      <c r="X212" s="229"/>
      <c r="Y212" s="229"/>
      <c r="Z212" s="229"/>
      <c r="AA212" s="229"/>
    </row>
    <row r="213" customFormat="false" ht="13.5" hidden="false" customHeight="true" outlineLevel="0" collapsed="false">
      <c r="A213" s="229"/>
      <c r="B213" s="229"/>
      <c r="C213" s="229"/>
      <c r="D213" s="229"/>
      <c r="E213" s="229"/>
      <c r="F213" s="229"/>
      <c r="G213" s="229"/>
      <c r="H213" s="229"/>
      <c r="I213" s="229"/>
      <c r="J213" s="229"/>
      <c r="K213" s="229"/>
      <c r="L213" s="229"/>
      <c r="M213" s="229"/>
      <c r="N213" s="229"/>
      <c r="O213" s="229"/>
      <c r="P213" s="229"/>
      <c r="Q213" s="229"/>
      <c r="R213" s="229"/>
      <c r="S213" s="229"/>
      <c r="T213" s="229"/>
      <c r="U213" s="229"/>
      <c r="V213" s="229"/>
      <c r="W213" s="229"/>
      <c r="X213" s="229"/>
      <c r="Y213" s="229"/>
      <c r="Z213" s="229"/>
      <c r="AA213" s="229"/>
    </row>
    <row r="214" customFormat="false" ht="13.5" hidden="false" customHeight="true" outlineLevel="0" collapsed="false">
      <c r="A214" s="229"/>
      <c r="B214" s="229"/>
      <c r="C214" s="229"/>
      <c r="D214" s="229"/>
      <c r="E214" s="229"/>
      <c r="F214" s="229"/>
      <c r="G214" s="229"/>
      <c r="H214" s="229"/>
      <c r="I214" s="229"/>
      <c r="J214" s="229"/>
      <c r="K214" s="229"/>
      <c r="L214" s="229"/>
      <c r="M214" s="229"/>
      <c r="N214" s="229"/>
      <c r="O214" s="229"/>
      <c r="P214" s="229"/>
      <c r="Q214" s="229"/>
      <c r="R214" s="229"/>
      <c r="S214" s="229"/>
      <c r="T214" s="229"/>
      <c r="U214" s="229"/>
      <c r="V214" s="229"/>
      <c r="W214" s="229"/>
      <c r="X214" s="229"/>
      <c r="Y214" s="229"/>
      <c r="Z214" s="229"/>
      <c r="AA214" s="229"/>
    </row>
    <row r="215" customFormat="false" ht="13.5" hidden="false" customHeight="true" outlineLevel="0" collapsed="false">
      <c r="A215" s="229"/>
      <c r="B215" s="229"/>
      <c r="C215" s="229"/>
      <c r="D215" s="229"/>
      <c r="E215" s="229"/>
      <c r="F215" s="229"/>
      <c r="G215" s="229"/>
      <c r="H215" s="229"/>
      <c r="I215" s="229"/>
      <c r="J215" s="229"/>
      <c r="K215" s="229"/>
      <c r="L215" s="229"/>
      <c r="M215" s="229"/>
      <c r="N215" s="229"/>
      <c r="O215" s="229"/>
      <c r="P215" s="229"/>
      <c r="Q215" s="229"/>
      <c r="R215" s="229"/>
      <c r="S215" s="229"/>
      <c r="T215" s="229"/>
      <c r="U215" s="229"/>
      <c r="V215" s="229"/>
      <c r="W215" s="229"/>
      <c r="X215" s="229"/>
      <c r="Y215" s="229"/>
      <c r="Z215" s="229"/>
      <c r="AA215" s="229"/>
    </row>
    <row r="216" customFormat="false" ht="13.5" hidden="false" customHeight="true" outlineLevel="0" collapsed="false">
      <c r="A216" s="229"/>
      <c r="B216" s="229"/>
      <c r="C216" s="229"/>
      <c r="D216" s="229"/>
      <c r="E216" s="229"/>
      <c r="F216" s="229"/>
      <c r="G216" s="229"/>
      <c r="H216" s="229"/>
      <c r="I216" s="229"/>
      <c r="J216" s="229"/>
      <c r="K216" s="229"/>
      <c r="L216" s="229"/>
      <c r="M216" s="229"/>
      <c r="N216" s="229"/>
      <c r="O216" s="229"/>
      <c r="P216" s="229"/>
      <c r="Q216" s="229"/>
      <c r="R216" s="229"/>
      <c r="S216" s="229"/>
      <c r="T216" s="229"/>
      <c r="U216" s="229"/>
      <c r="V216" s="229"/>
      <c r="W216" s="229"/>
      <c r="X216" s="229"/>
      <c r="Y216" s="229"/>
      <c r="Z216" s="229"/>
      <c r="AA216" s="229"/>
    </row>
    <row r="217" customFormat="false" ht="13.5" hidden="false" customHeight="true" outlineLevel="0" collapsed="false">
      <c r="A217" s="229"/>
      <c r="B217" s="229"/>
      <c r="C217" s="229"/>
      <c r="D217" s="229"/>
      <c r="E217" s="229"/>
      <c r="F217" s="229"/>
      <c r="G217" s="229"/>
      <c r="H217" s="229"/>
      <c r="I217" s="229"/>
      <c r="J217" s="229"/>
      <c r="K217" s="229"/>
      <c r="L217" s="229"/>
      <c r="M217" s="229"/>
      <c r="N217" s="229"/>
      <c r="O217" s="229"/>
      <c r="P217" s="229"/>
      <c r="Q217" s="229"/>
      <c r="R217" s="229"/>
      <c r="S217" s="229"/>
      <c r="T217" s="229"/>
      <c r="U217" s="229"/>
      <c r="V217" s="229"/>
      <c r="W217" s="229"/>
      <c r="X217" s="229"/>
      <c r="Y217" s="229"/>
      <c r="Z217" s="229"/>
      <c r="AA217" s="229"/>
    </row>
    <row r="218" customFormat="false" ht="13.5" hidden="false" customHeight="true" outlineLevel="0" collapsed="false">
      <c r="A218" s="229"/>
      <c r="B218" s="229"/>
      <c r="C218" s="229"/>
      <c r="D218" s="229"/>
      <c r="E218" s="229"/>
      <c r="F218" s="229"/>
      <c r="G218" s="229"/>
      <c r="H218" s="229"/>
      <c r="I218" s="229"/>
      <c r="J218" s="229"/>
      <c r="K218" s="229"/>
      <c r="L218" s="229"/>
      <c r="M218" s="229"/>
      <c r="N218" s="229"/>
      <c r="O218" s="229"/>
      <c r="P218" s="229"/>
      <c r="Q218" s="229"/>
      <c r="R218" s="229"/>
      <c r="S218" s="229"/>
      <c r="T218" s="229"/>
      <c r="U218" s="229"/>
      <c r="V218" s="229"/>
      <c r="W218" s="229"/>
      <c r="X218" s="229"/>
      <c r="Y218" s="229"/>
      <c r="Z218" s="229"/>
      <c r="AA218" s="229"/>
    </row>
    <row r="219" customFormat="false" ht="13.5" hidden="false" customHeight="true" outlineLevel="0" collapsed="false">
      <c r="A219" s="229"/>
      <c r="B219" s="229"/>
      <c r="C219" s="229"/>
      <c r="D219" s="229"/>
      <c r="E219" s="229"/>
      <c r="F219" s="229"/>
      <c r="G219" s="229"/>
      <c r="H219" s="229"/>
      <c r="I219" s="229"/>
      <c r="J219" s="229"/>
      <c r="K219" s="229"/>
      <c r="L219" s="229"/>
      <c r="M219" s="229"/>
      <c r="N219" s="229"/>
      <c r="O219" s="229"/>
      <c r="P219" s="229"/>
      <c r="Q219" s="229"/>
      <c r="R219" s="229"/>
      <c r="S219" s="229"/>
      <c r="T219" s="229"/>
      <c r="U219" s="229"/>
      <c r="V219" s="229"/>
      <c r="W219" s="229"/>
      <c r="X219" s="229"/>
      <c r="Y219" s="229"/>
      <c r="Z219" s="229"/>
      <c r="AA219" s="229"/>
    </row>
    <row r="220" customFormat="false" ht="13.5" hidden="false" customHeight="true" outlineLevel="0" collapsed="false">
      <c r="A220" s="229"/>
      <c r="B220" s="229"/>
      <c r="C220" s="229"/>
      <c r="D220" s="229"/>
      <c r="E220" s="229"/>
      <c r="F220" s="229"/>
      <c r="G220" s="229"/>
      <c r="H220" s="229"/>
      <c r="I220" s="229"/>
      <c r="J220" s="229"/>
      <c r="K220" s="229"/>
      <c r="L220" s="229"/>
      <c r="M220" s="229"/>
      <c r="N220" s="229"/>
      <c r="O220" s="229"/>
      <c r="P220" s="229"/>
      <c r="Q220" s="229"/>
      <c r="R220" s="229"/>
      <c r="S220" s="229"/>
      <c r="T220" s="229"/>
      <c r="U220" s="229"/>
      <c r="V220" s="229"/>
      <c r="W220" s="229"/>
      <c r="X220" s="229"/>
      <c r="Y220" s="229"/>
      <c r="Z220" s="229"/>
      <c r="AA220" s="229"/>
    </row>
    <row r="221" customFormat="false" ht="13.5" hidden="false" customHeight="true" outlineLevel="0" collapsed="false">
      <c r="A221" s="229"/>
      <c r="B221" s="229"/>
      <c r="C221" s="229"/>
      <c r="D221" s="229"/>
      <c r="E221" s="229"/>
      <c r="F221" s="229"/>
      <c r="G221" s="229"/>
      <c r="H221" s="229"/>
      <c r="I221" s="229"/>
      <c r="J221" s="229"/>
      <c r="K221" s="229"/>
      <c r="L221" s="229"/>
      <c r="M221" s="229"/>
      <c r="N221" s="229"/>
      <c r="O221" s="229"/>
      <c r="P221" s="229"/>
      <c r="Q221" s="229"/>
      <c r="R221" s="229"/>
      <c r="S221" s="229"/>
      <c r="T221" s="229"/>
      <c r="U221" s="229"/>
      <c r="V221" s="229"/>
      <c r="W221" s="229"/>
      <c r="X221" s="229"/>
      <c r="Y221" s="229"/>
      <c r="Z221" s="229"/>
      <c r="AA221" s="229"/>
    </row>
    <row r="222" customFormat="false" ht="13.5" hidden="false" customHeight="true" outlineLevel="0" collapsed="false">
      <c r="A222" s="229"/>
      <c r="B222" s="229"/>
      <c r="C222" s="229"/>
      <c r="D222" s="229"/>
      <c r="E222" s="229"/>
      <c r="F222" s="229"/>
      <c r="G222" s="229"/>
      <c r="H222" s="229"/>
      <c r="I222" s="229"/>
      <c r="J222" s="229"/>
      <c r="K222" s="229"/>
      <c r="L222" s="229"/>
      <c r="M222" s="229"/>
      <c r="N222" s="229"/>
      <c r="O222" s="229"/>
      <c r="P222" s="229"/>
      <c r="Q222" s="229"/>
      <c r="R222" s="229"/>
      <c r="S222" s="229"/>
      <c r="T222" s="229"/>
      <c r="U222" s="229"/>
      <c r="V222" s="229"/>
      <c r="W222" s="229"/>
      <c r="X222" s="229"/>
      <c r="Y222" s="229"/>
      <c r="Z222" s="229"/>
      <c r="AA222" s="229"/>
    </row>
    <row r="223" customFormat="false" ht="13.5" hidden="false" customHeight="true" outlineLevel="0" collapsed="false">
      <c r="A223" s="229"/>
      <c r="B223" s="229"/>
      <c r="C223" s="229"/>
      <c r="D223" s="229"/>
      <c r="E223" s="229"/>
      <c r="F223" s="229"/>
      <c r="G223" s="229"/>
      <c r="H223" s="229"/>
      <c r="I223" s="229"/>
      <c r="J223" s="229"/>
      <c r="K223" s="229"/>
      <c r="L223" s="229"/>
      <c r="M223" s="229"/>
      <c r="N223" s="229"/>
      <c r="O223" s="229"/>
      <c r="P223" s="229"/>
      <c r="Q223" s="229"/>
      <c r="R223" s="229"/>
      <c r="S223" s="229"/>
      <c r="T223" s="229"/>
      <c r="U223" s="229"/>
      <c r="V223" s="229"/>
      <c r="W223" s="229"/>
      <c r="X223" s="229"/>
      <c r="Y223" s="229"/>
      <c r="Z223" s="229"/>
      <c r="AA223" s="229"/>
    </row>
    <row r="224" customFormat="false" ht="13.5" hidden="false" customHeight="true" outlineLevel="0" collapsed="false">
      <c r="A224" s="229"/>
      <c r="B224" s="229"/>
      <c r="C224" s="229"/>
      <c r="D224" s="229"/>
      <c r="E224" s="229"/>
      <c r="F224" s="229"/>
      <c r="G224" s="229"/>
      <c r="H224" s="229"/>
      <c r="I224" s="229"/>
      <c r="J224" s="229"/>
      <c r="K224" s="229"/>
      <c r="L224" s="229"/>
      <c r="M224" s="229"/>
      <c r="N224" s="229"/>
      <c r="O224" s="229"/>
      <c r="P224" s="229"/>
      <c r="Q224" s="229"/>
      <c r="R224" s="229"/>
      <c r="S224" s="229"/>
      <c r="T224" s="229"/>
      <c r="U224" s="229"/>
      <c r="V224" s="229"/>
      <c r="W224" s="229"/>
      <c r="X224" s="229"/>
      <c r="Y224" s="229"/>
      <c r="Z224" s="229"/>
      <c r="AA224" s="229"/>
    </row>
    <row r="225" customFormat="false" ht="13.5" hidden="false" customHeight="true" outlineLevel="0" collapsed="false">
      <c r="A225" s="229"/>
      <c r="B225" s="229"/>
      <c r="C225" s="229"/>
      <c r="D225" s="229"/>
      <c r="E225" s="229"/>
      <c r="F225" s="229"/>
      <c r="G225" s="229"/>
      <c r="H225" s="229"/>
      <c r="I225" s="229"/>
      <c r="J225" s="229"/>
      <c r="K225" s="229"/>
      <c r="L225" s="229"/>
      <c r="M225" s="229"/>
      <c r="N225" s="229"/>
      <c r="O225" s="229"/>
      <c r="P225" s="229"/>
      <c r="Q225" s="229"/>
      <c r="R225" s="229"/>
      <c r="S225" s="229"/>
      <c r="T225" s="229"/>
      <c r="U225" s="229"/>
      <c r="V225" s="229"/>
      <c r="W225" s="229"/>
      <c r="X225" s="229"/>
      <c r="Y225" s="229"/>
      <c r="Z225" s="229"/>
      <c r="AA225" s="229"/>
    </row>
    <row r="226" customFormat="false" ht="13.5" hidden="false" customHeight="true" outlineLevel="0" collapsed="false">
      <c r="A226" s="229"/>
      <c r="B226" s="229"/>
      <c r="C226" s="229"/>
      <c r="D226" s="229"/>
      <c r="E226" s="229"/>
      <c r="F226" s="229"/>
      <c r="G226" s="229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R226" s="229"/>
      <c r="S226" s="229"/>
      <c r="T226" s="229"/>
      <c r="U226" s="229"/>
      <c r="V226" s="229"/>
      <c r="W226" s="229"/>
      <c r="X226" s="229"/>
      <c r="Y226" s="229"/>
      <c r="Z226" s="229"/>
      <c r="AA226" s="229"/>
    </row>
    <row r="227" customFormat="false" ht="13.5" hidden="false" customHeight="true" outlineLevel="0" collapsed="false">
      <c r="A227" s="229"/>
      <c r="B227" s="229"/>
      <c r="C227" s="229"/>
      <c r="D227" s="229"/>
      <c r="E227" s="229"/>
      <c r="F227" s="229"/>
      <c r="G227" s="229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R227" s="229"/>
      <c r="S227" s="229"/>
      <c r="T227" s="229"/>
      <c r="U227" s="229"/>
      <c r="V227" s="229"/>
      <c r="W227" s="229"/>
      <c r="X227" s="229"/>
      <c r="Y227" s="229"/>
      <c r="Z227" s="229"/>
      <c r="AA227" s="229"/>
    </row>
    <row r="228" customFormat="false" ht="13.5" hidden="false" customHeight="true" outlineLevel="0" collapsed="false">
      <c r="A228" s="229"/>
      <c r="B228" s="229"/>
      <c r="C228" s="229"/>
      <c r="D228" s="229"/>
      <c r="E228" s="229"/>
      <c r="F228" s="229"/>
      <c r="G228" s="229"/>
      <c r="H228" s="229"/>
      <c r="I228" s="229"/>
      <c r="J228" s="229"/>
      <c r="K228" s="229"/>
      <c r="L228" s="229"/>
      <c r="M228" s="229"/>
      <c r="N228" s="229"/>
      <c r="O228" s="229"/>
      <c r="P228" s="229"/>
      <c r="Q228" s="229"/>
      <c r="R228" s="229"/>
      <c r="S228" s="229"/>
      <c r="T228" s="229"/>
      <c r="U228" s="229"/>
      <c r="V228" s="229"/>
      <c r="W228" s="229"/>
      <c r="X228" s="229"/>
      <c r="Y228" s="229"/>
      <c r="Z228" s="229"/>
      <c r="AA228" s="229"/>
    </row>
    <row r="229" customFormat="false" ht="13.5" hidden="false" customHeight="true" outlineLevel="0" collapsed="false">
      <c r="A229" s="229"/>
      <c r="B229" s="229"/>
      <c r="C229" s="229"/>
      <c r="D229" s="229"/>
      <c r="E229" s="229"/>
      <c r="F229" s="229"/>
      <c r="G229" s="229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R229" s="229"/>
      <c r="S229" s="229"/>
      <c r="T229" s="229"/>
      <c r="U229" s="229"/>
      <c r="V229" s="229"/>
      <c r="W229" s="229"/>
      <c r="X229" s="229"/>
      <c r="Y229" s="229"/>
      <c r="Z229" s="229"/>
      <c r="AA229" s="229"/>
    </row>
    <row r="230" customFormat="false" ht="13.5" hidden="false" customHeight="true" outlineLevel="0" collapsed="false">
      <c r="A230" s="229"/>
      <c r="B230" s="229"/>
      <c r="C230" s="229"/>
      <c r="D230" s="229"/>
      <c r="E230" s="229"/>
      <c r="F230" s="229"/>
      <c r="G230" s="229"/>
      <c r="H230" s="229"/>
      <c r="I230" s="229"/>
      <c r="J230" s="229"/>
      <c r="K230" s="229"/>
      <c r="L230" s="229"/>
      <c r="M230" s="229"/>
      <c r="N230" s="229"/>
      <c r="O230" s="229"/>
      <c r="P230" s="229"/>
      <c r="Q230" s="229"/>
      <c r="R230" s="229"/>
      <c r="S230" s="229"/>
      <c r="T230" s="229"/>
      <c r="U230" s="229"/>
      <c r="V230" s="229"/>
      <c r="W230" s="229"/>
      <c r="X230" s="229"/>
      <c r="Y230" s="229"/>
      <c r="Z230" s="229"/>
      <c r="AA230" s="229"/>
    </row>
    <row r="231" customFormat="false" ht="13.5" hidden="false" customHeight="true" outlineLevel="0" collapsed="false">
      <c r="A231" s="229"/>
      <c r="B231" s="229"/>
      <c r="C231" s="229"/>
      <c r="D231" s="229"/>
      <c r="E231" s="229"/>
      <c r="F231" s="229"/>
      <c r="G231" s="229"/>
      <c r="H231" s="229"/>
      <c r="I231" s="229"/>
      <c r="J231" s="229"/>
      <c r="K231" s="229"/>
      <c r="L231" s="229"/>
      <c r="M231" s="229"/>
      <c r="N231" s="229"/>
      <c r="O231" s="229"/>
      <c r="P231" s="229"/>
      <c r="Q231" s="229"/>
      <c r="R231" s="229"/>
      <c r="S231" s="229"/>
      <c r="T231" s="229"/>
      <c r="U231" s="229"/>
      <c r="V231" s="229"/>
      <c r="W231" s="229"/>
      <c r="X231" s="229"/>
      <c r="Y231" s="229"/>
      <c r="Z231" s="229"/>
      <c r="AA231" s="229"/>
    </row>
    <row r="232" customFormat="false" ht="13.5" hidden="false" customHeight="true" outlineLevel="0" collapsed="false">
      <c r="A232" s="229"/>
      <c r="B232" s="229"/>
      <c r="C232" s="229"/>
      <c r="D232" s="229"/>
      <c r="E232" s="229"/>
      <c r="F232" s="229"/>
      <c r="G232" s="229"/>
      <c r="H232" s="229"/>
      <c r="I232" s="229"/>
      <c r="J232" s="229"/>
      <c r="K232" s="229"/>
      <c r="L232" s="229"/>
      <c r="M232" s="229"/>
      <c r="N232" s="229"/>
      <c r="O232" s="229"/>
      <c r="P232" s="229"/>
      <c r="Q232" s="229"/>
      <c r="R232" s="229"/>
      <c r="S232" s="229"/>
      <c r="T232" s="229"/>
      <c r="U232" s="229"/>
      <c r="V232" s="229"/>
      <c r="W232" s="229"/>
      <c r="X232" s="229"/>
      <c r="Y232" s="229"/>
      <c r="Z232" s="229"/>
      <c r="AA232" s="229"/>
    </row>
    <row r="233" customFormat="false" ht="13.5" hidden="false" customHeight="true" outlineLevel="0" collapsed="false">
      <c r="A233" s="229"/>
      <c r="B233" s="229"/>
      <c r="C233" s="229"/>
      <c r="D233" s="229"/>
      <c r="E233" s="229"/>
      <c r="F233" s="229"/>
      <c r="G233" s="229"/>
      <c r="H233" s="229"/>
      <c r="I233" s="229"/>
      <c r="J233" s="229"/>
      <c r="K233" s="229"/>
      <c r="L233" s="229"/>
      <c r="M233" s="229"/>
      <c r="N233" s="229"/>
      <c r="O233" s="229"/>
      <c r="P233" s="229"/>
      <c r="Q233" s="229"/>
      <c r="R233" s="229"/>
      <c r="S233" s="229"/>
      <c r="T233" s="229"/>
      <c r="U233" s="229"/>
      <c r="V233" s="229"/>
      <c r="W233" s="229"/>
      <c r="X233" s="229"/>
      <c r="Y233" s="229"/>
      <c r="Z233" s="229"/>
      <c r="AA233" s="229"/>
    </row>
    <row r="234" customFormat="false" ht="13.5" hidden="false" customHeight="true" outlineLevel="0" collapsed="false">
      <c r="A234" s="229"/>
      <c r="B234" s="229"/>
      <c r="C234" s="229"/>
      <c r="D234" s="229"/>
      <c r="E234" s="229"/>
      <c r="F234" s="229"/>
      <c r="G234" s="229"/>
      <c r="H234" s="229"/>
      <c r="I234" s="229"/>
      <c r="J234" s="229"/>
      <c r="K234" s="229"/>
      <c r="L234" s="229"/>
      <c r="M234" s="229"/>
      <c r="N234" s="229"/>
      <c r="O234" s="229"/>
      <c r="P234" s="229"/>
      <c r="Q234" s="229"/>
      <c r="R234" s="229"/>
      <c r="S234" s="229"/>
      <c r="T234" s="229"/>
      <c r="U234" s="229"/>
      <c r="V234" s="229"/>
      <c r="W234" s="229"/>
      <c r="X234" s="229"/>
      <c r="Y234" s="229"/>
      <c r="Z234" s="229"/>
      <c r="AA234" s="229"/>
    </row>
    <row r="235" customFormat="false" ht="13.5" hidden="false" customHeight="true" outlineLevel="0" collapsed="false">
      <c r="A235" s="229"/>
      <c r="B235" s="229"/>
      <c r="C235" s="229"/>
      <c r="D235" s="229"/>
      <c r="E235" s="229"/>
      <c r="F235" s="229"/>
      <c r="G235" s="229"/>
      <c r="H235" s="229"/>
      <c r="I235" s="229"/>
      <c r="J235" s="229"/>
      <c r="K235" s="229"/>
      <c r="L235" s="229"/>
      <c r="M235" s="229"/>
      <c r="N235" s="229"/>
      <c r="O235" s="229"/>
      <c r="P235" s="229"/>
      <c r="Q235" s="229"/>
      <c r="R235" s="229"/>
      <c r="S235" s="229"/>
      <c r="T235" s="229"/>
      <c r="U235" s="229"/>
      <c r="V235" s="229"/>
      <c r="W235" s="229"/>
      <c r="X235" s="229"/>
      <c r="Y235" s="229"/>
      <c r="Z235" s="229"/>
      <c r="AA235" s="229"/>
    </row>
    <row r="236" customFormat="false" ht="13.5" hidden="false" customHeight="true" outlineLevel="0" collapsed="false">
      <c r="A236" s="229"/>
      <c r="B236" s="229"/>
      <c r="C236" s="229"/>
      <c r="D236" s="229"/>
      <c r="E236" s="229"/>
      <c r="F236" s="229"/>
      <c r="G236" s="229"/>
      <c r="H236" s="229"/>
      <c r="I236" s="229"/>
      <c r="J236" s="229"/>
      <c r="K236" s="229"/>
      <c r="L236" s="229"/>
      <c r="M236" s="229"/>
      <c r="N236" s="229"/>
      <c r="O236" s="229"/>
      <c r="P236" s="229"/>
      <c r="Q236" s="229"/>
      <c r="R236" s="229"/>
      <c r="S236" s="229"/>
      <c r="T236" s="229"/>
      <c r="U236" s="229"/>
      <c r="V236" s="229"/>
      <c r="W236" s="229"/>
      <c r="X236" s="229"/>
      <c r="Y236" s="229"/>
      <c r="Z236" s="229"/>
      <c r="AA236" s="229"/>
    </row>
    <row r="237" customFormat="false" ht="13.5" hidden="false" customHeight="true" outlineLevel="0" collapsed="false">
      <c r="A237" s="229"/>
      <c r="B237" s="229"/>
      <c r="C237" s="229"/>
      <c r="D237" s="229"/>
      <c r="E237" s="229"/>
      <c r="F237" s="229"/>
      <c r="G237" s="229"/>
      <c r="H237" s="229"/>
      <c r="I237" s="229"/>
      <c r="J237" s="229"/>
      <c r="K237" s="229"/>
      <c r="L237" s="229"/>
      <c r="M237" s="229"/>
      <c r="N237" s="229"/>
      <c r="O237" s="229"/>
      <c r="P237" s="229"/>
      <c r="Q237" s="229"/>
      <c r="R237" s="229"/>
      <c r="S237" s="229"/>
      <c r="T237" s="229"/>
      <c r="U237" s="229"/>
      <c r="V237" s="229"/>
      <c r="W237" s="229"/>
      <c r="X237" s="229"/>
      <c r="Y237" s="229"/>
      <c r="Z237" s="229"/>
      <c r="AA237" s="229"/>
    </row>
    <row r="238" customFormat="false" ht="13.5" hidden="false" customHeight="true" outlineLevel="0" collapsed="false">
      <c r="A238" s="229"/>
      <c r="B238" s="229"/>
      <c r="C238" s="229"/>
      <c r="D238" s="229"/>
      <c r="E238" s="229"/>
      <c r="F238" s="229"/>
      <c r="G238" s="229"/>
      <c r="H238" s="229"/>
      <c r="I238" s="229"/>
      <c r="J238" s="229"/>
      <c r="K238" s="229"/>
      <c r="L238" s="229"/>
      <c r="M238" s="229"/>
      <c r="N238" s="229"/>
      <c r="O238" s="229"/>
      <c r="P238" s="229"/>
      <c r="Q238" s="229"/>
      <c r="R238" s="229"/>
      <c r="S238" s="229"/>
      <c r="T238" s="229"/>
      <c r="U238" s="229"/>
      <c r="V238" s="229"/>
      <c r="W238" s="229"/>
      <c r="X238" s="229"/>
      <c r="Y238" s="229"/>
      <c r="Z238" s="229"/>
      <c r="AA238" s="229"/>
    </row>
    <row r="239" customFormat="false" ht="13.5" hidden="false" customHeight="true" outlineLevel="0" collapsed="false">
      <c r="A239" s="229"/>
      <c r="B239" s="229"/>
      <c r="C239" s="229"/>
      <c r="D239" s="229"/>
      <c r="E239" s="229"/>
      <c r="F239" s="229"/>
      <c r="G239" s="229"/>
      <c r="H239" s="229"/>
      <c r="I239" s="229"/>
      <c r="J239" s="229"/>
      <c r="K239" s="229"/>
      <c r="L239" s="229"/>
      <c r="M239" s="229"/>
      <c r="N239" s="229"/>
      <c r="O239" s="229"/>
      <c r="P239" s="229"/>
      <c r="Q239" s="229"/>
      <c r="R239" s="229"/>
      <c r="S239" s="229"/>
      <c r="T239" s="229"/>
      <c r="U239" s="229"/>
      <c r="V239" s="229"/>
      <c r="W239" s="229"/>
      <c r="X239" s="229"/>
      <c r="Y239" s="229"/>
      <c r="Z239" s="229"/>
      <c r="AA239" s="229"/>
    </row>
    <row r="240" customFormat="false" ht="13.5" hidden="false" customHeight="true" outlineLevel="0" collapsed="false">
      <c r="A240" s="229"/>
      <c r="B240" s="229"/>
      <c r="C240" s="229"/>
      <c r="D240" s="229"/>
      <c r="E240" s="229"/>
      <c r="F240" s="229"/>
      <c r="G240" s="229"/>
      <c r="H240" s="229"/>
      <c r="I240" s="229"/>
      <c r="J240" s="229"/>
      <c r="K240" s="229"/>
      <c r="L240" s="229"/>
      <c r="M240" s="229"/>
      <c r="N240" s="229"/>
      <c r="O240" s="229"/>
      <c r="P240" s="229"/>
      <c r="Q240" s="229"/>
      <c r="R240" s="229"/>
      <c r="S240" s="229"/>
      <c r="T240" s="229"/>
      <c r="U240" s="229"/>
      <c r="V240" s="229"/>
      <c r="W240" s="229"/>
      <c r="X240" s="229"/>
      <c r="Y240" s="229"/>
      <c r="Z240" s="229"/>
      <c r="AA240" s="229"/>
    </row>
    <row r="241" customFormat="false" ht="13.5" hidden="false" customHeight="true" outlineLevel="0" collapsed="false">
      <c r="A241" s="229"/>
      <c r="B241" s="229"/>
      <c r="C241" s="229"/>
      <c r="D241" s="229"/>
      <c r="E241" s="229"/>
      <c r="F241" s="229"/>
      <c r="G241" s="229"/>
      <c r="H241" s="229"/>
      <c r="I241" s="229"/>
      <c r="J241" s="229"/>
      <c r="K241" s="229"/>
      <c r="L241" s="229"/>
      <c r="M241" s="229"/>
      <c r="N241" s="229"/>
      <c r="O241" s="229"/>
      <c r="P241" s="229"/>
      <c r="Q241" s="229"/>
      <c r="R241" s="229"/>
      <c r="S241" s="229"/>
      <c r="T241" s="229"/>
      <c r="U241" s="229"/>
      <c r="V241" s="229"/>
      <c r="W241" s="229"/>
      <c r="X241" s="229"/>
      <c r="Y241" s="229"/>
      <c r="Z241" s="229"/>
      <c r="AA241" s="229"/>
    </row>
    <row r="242" customFormat="false" ht="13.5" hidden="false" customHeight="true" outlineLevel="0" collapsed="false">
      <c r="A242" s="229"/>
      <c r="B242" s="229"/>
      <c r="C242" s="229"/>
      <c r="D242" s="229"/>
      <c r="E242" s="229"/>
      <c r="F242" s="229"/>
      <c r="G242" s="229"/>
      <c r="H242" s="229"/>
      <c r="I242" s="229"/>
      <c r="J242" s="229"/>
      <c r="K242" s="229"/>
      <c r="L242" s="229"/>
      <c r="M242" s="229"/>
      <c r="N242" s="229"/>
      <c r="O242" s="229"/>
      <c r="P242" s="229"/>
      <c r="Q242" s="229"/>
      <c r="R242" s="229"/>
      <c r="S242" s="229"/>
      <c r="T242" s="229"/>
      <c r="U242" s="229"/>
      <c r="V242" s="229"/>
      <c r="W242" s="229"/>
      <c r="X242" s="229"/>
      <c r="Y242" s="229"/>
      <c r="Z242" s="229"/>
      <c r="AA242" s="229"/>
    </row>
    <row r="243" customFormat="false" ht="13.5" hidden="false" customHeight="true" outlineLevel="0" collapsed="false">
      <c r="A243" s="229"/>
      <c r="B243" s="229"/>
      <c r="C243" s="229"/>
      <c r="D243" s="229"/>
      <c r="E243" s="229"/>
      <c r="F243" s="229"/>
      <c r="G243" s="229"/>
      <c r="H243" s="229"/>
      <c r="I243" s="229"/>
      <c r="J243" s="229"/>
      <c r="K243" s="229"/>
      <c r="L243" s="229"/>
      <c r="M243" s="229"/>
      <c r="N243" s="229"/>
      <c r="O243" s="229"/>
      <c r="P243" s="229"/>
      <c r="Q243" s="229"/>
      <c r="R243" s="229"/>
      <c r="S243" s="229"/>
      <c r="T243" s="229"/>
      <c r="U243" s="229"/>
      <c r="V243" s="229"/>
      <c r="W243" s="229"/>
      <c r="X243" s="229"/>
      <c r="Y243" s="229"/>
      <c r="Z243" s="229"/>
      <c r="AA243" s="229"/>
    </row>
    <row r="244" customFormat="false" ht="13.5" hidden="false" customHeight="true" outlineLevel="0" collapsed="false">
      <c r="A244" s="229"/>
      <c r="B244" s="229"/>
      <c r="C244" s="229"/>
      <c r="D244" s="229"/>
      <c r="E244" s="229"/>
      <c r="F244" s="229"/>
      <c r="G244" s="229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R244" s="229"/>
      <c r="S244" s="229"/>
      <c r="T244" s="229"/>
      <c r="U244" s="229"/>
      <c r="V244" s="229"/>
      <c r="W244" s="229"/>
      <c r="X244" s="229"/>
      <c r="Y244" s="229"/>
      <c r="Z244" s="229"/>
      <c r="AA244" s="229"/>
    </row>
    <row r="245" customFormat="false" ht="13.5" hidden="false" customHeight="true" outlineLevel="0" collapsed="false">
      <c r="A245" s="229"/>
      <c r="B245" s="229"/>
      <c r="C245" s="229"/>
      <c r="D245" s="229"/>
      <c r="E245" s="229"/>
      <c r="F245" s="229"/>
      <c r="G245" s="229"/>
      <c r="H245" s="229"/>
      <c r="I245" s="229"/>
      <c r="J245" s="229"/>
      <c r="K245" s="229"/>
      <c r="L245" s="229"/>
      <c r="M245" s="229"/>
      <c r="N245" s="229"/>
      <c r="O245" s="229"/>
      <c r="P245" s="229"/>
      <c r="Q245" s="229"/>
      <c r="R245" s="229"/>
      <c r="S245" s="229"/>
      <c r="T245" s="229"/>
      <c r="U245" s="229"/>
      <c r="V245" s="229"/>
      <c r="W245" s="229"/>
      <c r="X245" s="229"/>
      <c r="Y245" s="229"/>
      <c r="Z245" s="229"/>
      <c r="AA245" s="229"/>
    </row>
    <row r="246" customFormat="false" ht="13.5" hidden="false" customHeight="true" outlineLevel="0" collapsed="false">
      <c r="A246" s="229"/>
      <c r="B246" s="229"/>
      <c r="C246" s="229"/>
      <c r="D246" s="229"/>
      <c r="E246" s="229"/>
      <c r="F246" s="229"/>
      <c r="G246" s="229"/>
      <c r="H246" s="229"/>
      <c r="I246" s="229"/>
      <c r="J246" s="229"/>
      <c r="K246" s="229"/>
      <c r="L246" s="229"/>
      <c r="M246" s="229"/>
      <c r="N246" s="229"/>
      <c r="O246" s="229"/>
      <c r="P246" s="229"/>
      <c r="Q246" s="229"/>
      <c r="R246" s="229"/>
      <c r="S246" s="229"/>
      <c r="T246" s="229"/>
      <c r="U246" s="229"/>
      <c r="V246" s="229"/>
      <c r="W246" s="229"/>
      <c r="X246" s="229"/>
      <c r="Y246" s="229"/>
      <c r="Z246" s="229"/>
      <c r="AA246" s="229"/>
    </row>
    <row r="247" customFormat="false" ht="13.5" hidden="false" customHeight="true" outlineLevel="0" collapsed="false">
      <c r="A247" s="229"/>
      <c r="B247" s="229"/>
      <c r="C247" s="229"/>
      <c r="D247" s="229"/>
      <c r="E247" s="229"/>
      <c r="F247" s="229"/>
      <c r="G247" s="229"/>
      <c r="H247" s="229"/>
      <c r="I247" s="229"/>
      <c r="J247" s="229"/>
      <c r="K247" s="229"/>
      <c r="L247" s="229"/>
      <c r="M247" s="229"/>
      <c r="N247" s="229"/>
      <c r="O247" s="229"/>
      <c r="P247" s="229"/>
      <c r="Q247" s="229"/>
      <c r="R247" s="229"/>
      <c r="S247" s="229"/>
      <c r="T247" s="229"/>
      <c r="U247" s="229"/>
      <c r="V247" s="229"/>
      <c r="W247" s="229"/>
      <c r="X247" s="229"/>
      <c r="Y247" s="229"/>
      <c r="Z247" s="229"/>
      <c r="AA247" s="229"/>
    </row>
    <row r="248" customFormat="false" ht="13.5" hidden="false" customHeight="true" outlineLevel="0" collapsed="false">
      <c r="A248" s="229"/>
      <c r="B248" s="229"/>
      <c r="C248" s="229"/>
      <c r="D248" s="229"/>
      <c r="E248" s="229"/>
      <c r="F248" s="229"/>
      <c r="G248" s="229"/>
      <c r="H248" s="229"/>
      <c r="I248" s="229"/>
      <c r="J248" s="229"/>
      <c r="K248" s="229"/>
      <c r="L248" s="229"/>
      <c r="M248" s="229"/>
      <c r="N248" s="229"/>
      <c r="O248" s="229"/>
      <c r="P248" s="229"/>
      <c r="Q248" s="229"/>
      <c r="R248" s="229"/>
      <c r="S248" s="229"/>
      <c r="T248" s="229"/>
      <c r="U248" s="229"/>
      <c r="V248" s="229"/>
      <c r="W248" s="229"/>
      <c r="X248" s="229"/>
      <c r="Y248" s="229"/>
      <c r="Z248" s="229"/>
      <c r="AA248" s="229"/>
    </row>
    <row r="249" customFormat="false" ht="13.5" hidden="false" customHeight="true" outlineLevel="0" collapsed="false">
      <c r="A249" s="229"/>
      <c r="B249" s="229"/>
      <c r="C249" s="229"/>
      <c r="D249" s="229"/>
      <c r="E249" s="229"/>
      <c r="F249" s="229"/>
      <c r="G249" s="229"/>
      <c r="H249" s="229"/>
      <c r="I249" s="229"/>
      <c r="J249" s="229"/>
      <c r="K249" s="229"/>
      <c r="L249" s="229"/>
      <c r="M249" s="229"/>
      <c r="N249" s="229"/>
      <c r="O249" s="229"/>
      <c r="P249" s="229"/>
      <c r="Q249" s="229"/>
      <c r="R249" s="229"/>
      <c r="S249" s="229"/>
      <c r="T249" s="229"/>
      <c r="U249" s="229"/>
      <c r="V249" s="229"/>
      <c r="W249" s="229"/>
      <c r="X249" s="229"/>
      <c r="Y249" s="229"/>
      <c r="Z249" s="229"/>
      <c r="AA249" s="229"/>
    </row>
    <row r="250" customFormat="false" ht="13.5" hidden="false" customHeight="true" outlineLevel="0" collapsed="false">
      <c r="A250" s="229"/>
      <c r="B250" s="229"/>
      <c r="C250" s="229"/>
      <c r="D250" s="229"/>
      <c r="E250" s="229"/>
      <c r="F250" s="229"/>
      <c r="G250" s="229"/>
      <c r="H250" s="229"/>
      <c r="I250" s="229"/>
      <c r="J250" s="229"/>
      <c r="K250" s="229"/>
      <c r="L250" s="229"/>
      <c r="M250" s="229"/>
      <c r="N250" s="229"/>
      <c r="O250" s="229"/>
      <c r="P250" s="229"/>
      <c r="Q250" s="229"/>
      <c r="R250" s="229"/>
      <c r="S250" s="229"/>
      <c r="T250" s="229"/>
      <c r="U250" s="229"/>
      <c r="V250" s="229"/>
      <c r="W250" s="229"/>
      <c r="X250" s="229"/>
      <c r="Y250" s="229"/>
      <c r="Z250" s="229"/>
      <c r="AA250" s="229"/>
    </row>
    <row r="251" customFormat="false" ht="13.5" hidden="false" customHeight="true" outlineLevel="0" collapsed="false">
      <c r="A251" s="229"/>
      <c r="B251" s="229"/>
      <c r="C251" s="229"/>
      <c r="D251" s="229"/>
      <c r="E251" s="229"/>
      <c r="F251" s="229"/>
      <c r="G251" s="229"/>
      <c r="H251" s="229"/>
      <c r="I251" s="229"/>
      <c r="J251" s="229"/>
      <c r="K251" s="229"/>
      <c r="L251" s="229"/>
      <c r="M251" s="229"/>
      <c r="N251" s="229"/>
      <c r="O251" s="229"/>
      <c r="P251" s="229"/>
      <c r="Q251" s="229"/>
      <c r="R251" s="229"/>
      <c r="S251" s="229"/>
      <c r="T251" s="229"/>
      <c r="U251" s="229"/>
      <c r="V251" s="229"/>
      <c r="W251" s="229"/>
      <c r="X251" s="229"/>
      <c r="Y251" s="229"/>
      <c r="Z251" s="229"/>
      <c r="AA251" s="229"/>
    </row>
    <row r="252" customFormat="false" ht="13.5" hidden="false" customHeight="true" outlineLevel="0" collapsed="false">
      <c r="A252" s="229"/>
      <c r="B252" s="229"/>
      <c r="C252" s="229"/>
      <c r="D252" s="229"/>
      <c r="E252" s="229"/>
      <c r="F252" s="229"/>
      <c r="G252" s="229"/>
      <c r="H252" s="229"/>
      <c r="I252" s="229"/>
      <c r="J252" s="229"/>
      <c r="K252" s="229"/>
      <c r="L252" s="229"/>
      <c r="M252" s="229"/>
      <c r="N252" s="229"/>
      <c r="O252" s="229"/>
      <c r="P252" s="229"/>
      <c r="Q252" s="229"/>
      <c r="R252" s="229"/>
      <c r="S252" s="229"/>
      <c r="T252" s="229"/>
      <c r="U252" s="229"/>
      <c r="V252" s="229"/>
      <c r="W252" s="229"/>
      <c r="X252" s="229"/>
      <c r="Y252" s="229"/>
      <c r="Z252" s="229"/>
      <c r="AA252" s="229"/>
    </row>
    <row r="253" customFormat="false" ht="13.5" hidden="false" customHeight="true" outlineLevel="0" collapsed="false">
      <c r="A253" s="229"/>
      <c r="B253" s="229"/>
      <c r="C253" s="229"/>
      <c r="D253" s="229"/>
      <c r="E253" s="229"/>
      <c r="F253" s="229"/>
      <c r="G253" s="229"/>
      <c r="H253" s="229"/>
      <c r="I253" s="229"/>
      <c r="J253" s="229"/>
      <c r="K253" s="229"/>
      <c r="L253" s="229"/>
      <c r="M253" s="229"/>
      <c r="N253" s="229"/>
      <c r="O253" s="229"/>
      <c r="P253" s="229"/>
      <c r="Q253" s="229"/>
      <c r="R253" s="229"/>
      <c r="S253" s="229"/>
      <c r="T253" s="229"/>
      <c r="U253" s="229"/>
      <c r="V253" s="229"/>
      <c r="W253" s="229"/>
      <c r="X253" s="229"/>
      <c r="Y253" s="229"/>
      <c r="Z253" s="229"/>
      <c r="AA253" s="229"/>
    </row>
    <row r="254" customFormat="false" ht="13.5" hidden="false" customHeight="true" outlineLevel="0" collapsed="false">
      <c r="A254" s="229"/>
      <c r="B254" s="229"/>
      <c r="C254" s="229"/>
      <c r="D254" s="229"/>
      <c r="E254" s="229"/>
      <c r="F254" s="229"/>
      <c r="G254" s="229"/>
      <c r="H254" s="229"/>
      <c r="I254" s="229"/>
      <c r="J254" s="229"/>
      <c r="K254" s="229"/>
      <c r="L254" s="229"/>
      <c r="M254" s="229"/>
      <c r="N254" s="229"/>
      <c r="O254" s="229"/>
      <c r="P254" s="229"/>
      <c r="Q254" s="229"/>
      <c r="R254" s="229"/>
      <c r="S254" s="229"/>
      <c r="T254" s="229"/>
      <c r="U254" s="229"/>
      <c r="V254" s="229"/>
      <c r="W254" s="229"/>
      <c r="X254" s="229"/>
      <c r="Y254" s="229"/>
      <c r="Z254" s="229"/>
      <c r="AA254" s="229"/>
    </row>
    <row r="255" customFormat="false" ht="13.5" hidden="false" customHeight="true" outlineLevel="0" collapsed="false">
      <c r="A255" s="229"/>
      <c r="B255" s="229"/>
      <c r="C255" s="229"/>
      <c r="D255" s="229"/>
      <c r="E255" s="229"/>
      <c r="F255" s="229"/>
      <c r="G255" s="229"/>
      <c r="H255" s="229"/>
      <c r="I255" s="229"/>
      <c r="J255" s="229"/>
      <c r="K255" s="229"/>
      <c r="L255" s="229"/>
      <c r="M255" s="229"/>
      <c r="N255" s="229"/>
      <c r="O255" s="229"/>
      <c r="P255" s="229"/>
      <c r="Q255" s="229"/>
      <c r="R255" s="229"/>
      <c r="S255" s="229"/>
      <c r="T255" s="229"/>
      <c r="U255" s="229"/>
      <c r="V255" s="229"/>
      <c r="W255" s="229"/>
      <c r="X255" s="229"/>
      <c r="Y255" s="229"/>
      <c r="Z255" s="229"/>
      <c r="AA255" s="229"/>
    </row>
    <row r="256" customFormat="false" ht="13.5" hidden="false" customHeight="true" outlineLevel="0" collapsed="false">
      <c r="A256" s="229"/>
      <c r="B256" s="229"/>
      <c r="C256" s="229"/>
      <c r="D256" s="229"/>
      <c r="E256" s="229"/>
      <c r="F256" s="229"/>
      <c r="G256" s="229"/>
      <c r="H256" s="229"/>
      <c r="I256" s="229"/>
      <c r="J256" s="229"/>
      <c r="K256" s="229"/>
      <c r="L256" s="229"/>
      <c r="M256" s="229"/>
      <c r="N256" s="229"/>
      <c r="O256" s="229"/>
      <c r="P256" s="229"/>
      <c r="Q256" s="229"/>
      <c r="R256" s="229"/>
      <c r="S256" s="229"/>
      <c r="T256" s="229"/>
      <c r="U256" s="229"/>
      <c r="V256" s="229"/>
      <c r="W256" s="229"/>
      <c r="X256" s="229"/>
      <c r="Y256" s="229"/>
      <c r="Z256" s="229"/>
      <c r="AA256" s="229"/>
    </row>
    <row r="257" customFormat="false" ht="13.5" hidden="false" customHeight="true" outlineLevel="0" collapsed="false">
      <c r="A257" s="229"/>
      <c r="B257" s="229"/>
      <c r="C257" s="229"/>
      <c r="D257" s="229"/>
      <c r="E257" s="229"/>
      <c r="F257" s="229"/>
      <c r="G257" s="229"/>
      <c r="H257" s="229"/>
      <c r="I257" s="229"/>
      <c r="J257" s="229"/>
      <c r="K257" s="229"/>
      <c r="L257" s="229"/>
      <c r="M257" s="229"/>
      <c r="N257" s="229"/>
      <c r="O257" s="229"/>
      <c r="P257" s="229"/>
      <c r="Q257" s="229"/>
      <c r="R257" s="229"/>
      <c r="S257" s="229"/>
      <c r="T257" s="229"/>
      <c r="U257" s="229"/>
      <c r="V257" s="229"/>
      <c r="W257" s="229"/>
      <c r="X257" s="229"/>
      <c r="Y257" s="229"/>
      <c r="Z257" s="229"/>
      <c r="AA257" s="229"/>
    </row>
    <row r="258" customFormat="false" ht="13.5" hidden="false" customHeight="true" outlineLevel="0" collapsed="false">
      <c r="A258" s="229"/>
      <c r="B258" s="229"/>
      <c r="C258" s="229"/>
      <c r="D258" s="229"/>
      <c r="E258" s="229"/>
      <c r="F258" s="229"/>
      <c r="G258" s="229"/>
      <c r="H258" s="229"/>
      <c r="I258" s="229"/>
      <c r="J258" s="229"/>
      <c r="K258" s="229"/>
      <c r="L258" s="229"/>
      <c r="M258" s="229"/>
      <c r="N258" s="229"/>
      <c r="O258" s="229"/>
      <c r="P258" s="229"/>
      <c r="Q258" s="229"/>
      <c r="R258" s="229"/>
      <c r="S258" s="229"/>
      <c r="T258" s="229"/>
      <c r="U258" s="229"/>
      <c r="V258" s="229"/>
      <c r="W258" s="229"/>
      <c r="X258" s="229"/>
      <c r="Y258" s="229"/>
      <c r="Z258" s="229"/>
      <c r="AA258" s="229"/>
    </row>
    <row r="259" customFormat="false" ht="13.5" hidden="false" customHeight="true" outlineLevel="0" collapsed="false">
      <c r="A259" s="229"/>
      <c r="B259" s="229"/>
      <c r="C259" s="229"/>
      <c r="D259" s="229"/>
      <c r="E259" s="229"/>
      <c r="F259" s="229"/>
      <c r="G259" s="229"/>
      <c r="H259" s="229"/>
      <c r="I259" s="229"/>
      <c r="J259" s="229"/>
      <c r="K259" s="229"/>
      <c r="L259" s="229"/>
      <c r="M259" s="229"/>
      <c r="N259" s="229"/>
      <c r="O259" s="229"/>
      <c r="P259" s="229"/>
      <c r="Q259" s="229"/>
      <c r="R259" s="229"/>
      <c r="S259" s="229"/>
      <c r="T259" s="229"/>
      <c r="U259" s="229"/>
      <c r="V259" s="229"/>
      <c r="W259" s="229"/>
      <c r="X259" s="229"/>
      <c r="Y259" s="229"/>
      <c r="Z259" s="229"/>
      <c r="AA259" s="229"/>
    </row>
    <row r="260" customFormat="false" ht="13.5" hidden="false" customHeight="true" outlineLevel="0" collapsed="false">
      <c r="A260" s="229"/>
      <c r="B260" s="229"/>
      <c r="C260" s="229"/>
      <c r="D260" s="229"/>
      <c r="E260" s="229"/>
      <c r="F260" s="229"/>
      <c r="G260" s="229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229"/>
      <c r="S260" s="229"/>
      <c r="T260" s="229"/>
      <c r="U260" s="229"/>
      <c r="V260" s="229"/>
      <c r="W260" s="229"/>
      <c r="X260" s="229"/>
      <c r="Y260" s="229"/>
      <c r="Z260" s="229"/>
      <c r="AA260" s="229"/>
    </row>
    <row r="261" customFormat="false" ht="13.5" hidden="false" customHeight="true" outlineLevel="0" collapsed="false">
      <c r="A261" s="229"/>
      <c r="B261" s="229"/>
      <c r="C261" s="229"/>
      <c r="D261" s="229"/>
      <c r="E261" s="229"/>
      <c r="F261" s="229"/>
      <c r="G261" s="229"/>
      <c r="H261" s="229"/>
      <c r="I261" s="229"/>
      <c r="J261" s="229"/>
      <c r="K261" s="229"/>
      <c r="L261" s="229"/>
      <c r="M261" s="229"/>
      <c r="N261" s="229"/>
      <c r="O261" s="229"/>
      <c r="P261" s="229"/>
      <c r="Q261" s="229"/>
      <c r="R261" s="229"/>
      <c r="S261" s="229"/>
      <c r="T261" s="229"/>
      <c r="U261" s="229"/>
      <c r="V261" s="229"/>
      <c r="W261" s="229"/>
      <c r="X261" s="229"/>
      <c r="Y261" s="229"/>
      <c r="Z261" s="229"/>
      <c r="AA261" s="229"/>
    </row>
    <row r="262" customFormat="false" ht="13.5" hidden="false" customHeight="true" outlineLevel="0" collapsed="false">
      <c r="A262" s="229"/>
      <c r="B262" s="229"/>
      <c r="C262" s="229"/>
      <c r="D262" s="229"/>
      <c r="E262" s="229"/>
      <c r="F262" s="229"/>
      <c r="G262" s="229"/>
      <c r="H262" s="229"/>
      <c r="I262" s="229"/>
      <c r="J262" s="229"/>
      <c r="K262" s="229"/>
      <c r="L262" s="229"/>
      <c r="M262" s="229"/>
      <c r="N262" s="229"/>
      <c r="O262" s="229"/>
      <c r="P262" s="229"/>
      <c r="Q262" s="229"/>
      <c r="R262" s="229"/>
      <c r="S262" s="229"/>
      <c r="T262" s="229"/>
      <c r="U262" s="229"/>
      <c r="V262" s="229"/>
      <c r="W262" s="229"/>
      <c r="X262" s="229"/>
      <c r="Y262" s="229"/>
      <c r="Z262" s="229"/>
      <c r="AA262" s="229"/>
    </row>
    <row r="263" customFormat="false" ht="13.5" hidden="false" customHeight="true" outlineLevel="0" collapsed="false">
      <c r="A263" s="229"/>
      <c r="B263" s="229"/>
      <c r="C263" s="229"/>
      <c r="D263" s="229"/>
      <c r="E263" s="229"/>
      <c r="F263" s="229"/>
      <c r="G263" s="229"/>
      <c r="H263" s="229"/>
      <c r="I263" s="229"/>
      <c r="J263" s="229"/>
      <c r="K263" s="229"/>
      <c r="L263" s="229"/>
      <c r="M263" s="229"/>
      <c r="N263" s="229"/>
      <c r="O263" s="229"/>
      <c r="P263" s="229"/>
      <c r="Q263" s="229"/>
      <c r="R263" s="229"/>
      <c r="S263" s="229"/>
      <c r="T263" s="229"/>
      <c r="U263" s="229"/>
      <c r="V263" s="229"/>
      <c r="W263" s="229"/>
      <c r="X263" s="229"/>
      <c r="Y263" s="229"/>
      <c r="Z263" s="229"/>
      <c r="AA263" s="229"/>
    </row>
    <row r="264" customFormat="false" ht="13.5" hidden="false" customHeight="true" outlineLevel="0" collapsed="false">
      <c r="A264" s="229"/>
      <c r="B264" s="229"/>
      <c r="C264" s="229"/>
      <c r="D264" s="229"/>
      <c r="E264" s="229"/>
      <c r="F264" s="229"/>
      <c r="G264" s="229"/>
      <c r="H264" s="229"/>
      <c r="I264" s="229"/>
      <c r="J264" s="229"/>
      <c r="K264" s="229"/>
      <c r="L264" s="229"/>
      <c r="M264" s="229"/>
      <c r="N264" s="229"/>
      <c r="O264" s="229"/>
      <c r="P264" s="229"/>
      <c r="Q264" s="229"/>
      <c r="R264" s="229"/>
      <c r="S264" s="229"/>
      <c r="T264" s="229"/>
      <c r="U264" s="229"/>
      <c r="V264" s="229"/>
      <c r="W264" s="229"/>
      <c r="X264" s="229"/>
      <c r="Y264" s="229"/>
      <c r="Z264" s="229"/>
      <c r="AA264" s="229"/>
    </row>
    <row r="265" customFormat="false" ht="13.5" hidden="false" customHeight="true" outlineLevel="0" collapsed="false">
      <c r="A265" s="229"/>
      <c r="B265" s="229"/>
      <c r="C265" s="229"/>
      <c r="D265" s="229"/>
      <c r="E265" s="229"/>
      <c r="F265" s="229"/>
      <c r="G265" s="229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229"/>
      <c r="S265" s="229"/>
      <c r="T265" s="229"/>
      <c r="U265" s="229"/>
      <c r="V265" s="229"/>
      <c r="W265" s="229"/>
      <c r="X265" s="229"/>
      <c r="Y265" s="229"/>
      <c r="Z265" s="229"/>
      <c r="AA265" s="229"/>
    </row>
    <row r="266" customFormat="false" ht="13.5" hidden="false" customHeight="true" outlineLevel="0" collapsed="false">
      <c r="A266" s="229"/>
      <c r="B266" s="229"/>
      <c r="C266" s="229"/>
      <c r="D266" s="229"/>
      <c r="E266" s="229"/>
      <c r="F266" s="229"/>
      <c r="G266" s="229"/>
      <c r="H266" s="229"/>
      <c r="I266" s="229"/>
      <c r="J266" s="229"/>
      <c r="K266" s="229"/>
      <c r="L266" s="229"/>
      <c r="M266" s="229"/>
      <c r="N266" s="229"/>
      <c r="O266" s="229"/>
      <c r="P266" s="229"/>
      <c r="Q266" s="229"/>
      <c r="R266" s="229"/>
      <c r="S266" s="229"/>
      <c r="T266" s="229"/>
      <c r="U266" s="229"/>
      <c r="V266" s="229"/>
      <c r="W266" s="229"/>
      <c r="X266" s="229"/>
      <c r="Y266" s="229"/>
      <c r="Z266" s="229"/>
      <c r="AA266" s="229"/>
    </row>
    <row r="267" customFormat="false" ht="13.5" hidden="false" customHeight="true" outlineLevel="0" collapsed="false">
      <c r="A267" s="229"/>
      <c r="B267" s="229"/>
      <c r="C267" s="229"/>
      <c r="D267" s="229"/>
      <c r="E267" s="229"/>
      <c r="F267" s="229"/>
      <c r="G267" s="229"/>
      <c r="H267" s="229"/>
      <c r="I267" s="229"/>
      <c r="J267" s="229"/>
      <c r="K267" s="229"/>
      <c r="L267" s="229"/>
      <c r="M267" s="229"/>
      <c r="N267" s="229"/>
      <c r="O267" s="229"/>
      <c r="P267" s="229"/>
      <c r="Q267" s="229"/>
      <c r="R267" s="229"/>
      <c r="S267" s="229"/>
      <c r="T267" s="229"/>
      <c r="U267" s="229"/>
      <c r="V267" s="229"/>
      <c r="W267" s="229"/>
      <c r="X267" s="229"/>
      <c r="Y267" s="229"/>
      <c r="Z267" s="229"/>
      <c r="AA267" s="229"/>
    </row>
    <row r="268" customFormat="false" ht="13.5" hidden="false" customHeight="true" outlineLevel="0" collapsed="false">
      <c r="A268" s="229"/>
      <c r="B268" s="229"/>
      <c r="C268" s="229"/>
      <c r="D268" s="229"/>
      <c r="E268" s="229"/>
      <c r="F268" s="229"/>
      <c r="G268" s="229"/>
      <c r="H268" s="229"/>
      <c r="I268" s="229"/>
      <c r="J268" s="229"/>
      <c r="K268" s="229"/>
      <c r="L268" s="229"/>
      <c r="M268" s="229"/>
      <c r="N268" s="229"/>
      <c r="O268" s="229"/>
      <c r="P268" s="229"/>
      <c r="Q268" s="229"/>
      <c r="R268" s="229"/>
      <c r="S268" s="229"/>
      <c r="T268" s="229"/>
      <c r="U268" s="229"/>
      <c r="V268" s="229"/>
      <c r="W268" s="229"/>
      <c r="X268" s="229"/>
      <c r="Y268" s="229"/>
      <c r="Z268" s="229"/>
      <c r="AA268" s="229"/>
    </row>
    <row r="269" customFormat="false" ht="13.5" hidden="false" customHeight="true" outlineLevel="0" collapsed="false">
      <c r="A269" s="229"/>
      <c r="B269" s="229"/>
      <c r="C269" s="229"/>
      <c r="D269" s="229"/>
      <c r="E269" s="229"/>
      <c r="F269" s="229"/>
      <c r="G269" s="229"/>
      <c r="H269" s="229"/>
      <c r="I269" s="229"/>
      <c r="J269" s="229"/>
      <c r="K269" s="229"/>
      <c r="L269" s="229"/>
      <c r="M269" s="229"/>
      <c r="N269" s="229"/>
      <c r="O269" s="229"/>
      <c r="P269" s="229"/>
      <c r="Q269" s="229"/>
      <c r="R269" s="229"/>
      <c r="S269" s="229"/>
      <c r="T269" s="229"/>
      <c r="U269" s="229"/>
      <c r="V269" s="229"/>
      <c r="W269" s="229"/>
      <c r="X269" s="229"/>
      <c r="Y269" s="229"/>
      <c r="Z269" s="229"/>
      <c r="AA269" s="229"/>
    </row>
    <row r="270" customFormat="false" ht="13.5" hidden="false" customHeight="true" outlineLevel="0" collapsed="false">
      <c r="A270" s="229"/>
      <c r="B270" s="229"/>
      <c r="C270" s="229"/>
      <c r="D270" s="229"/>
      <c r="E270" s="229"/>
      <c r="F270" s="229"/>
      <c r="G270" s="229"/>
      <c r="H270" s="229"/>
      <c r="I270" s="229"/>
      <c r="J270" s="229"/>
      <c r="K270" s="229"/>
      <c r="L270" s="229"/>
      <c r="M270" s="229"/>
      <c r="N270" s="229"/>
      <c r="O270" s="229"/>
      <c r="P270" s="229"/>
      <c r="Q270" s="229"/>
      <c r="R270" s="229"/>
      <c r="S270" s="229"/>
      <c r="T270" s="229"/>
      <c r="U270" s="229"/>
      <c r="V270" s="229"/>
      <c r="W270" s="229"/>
      <c r="X270" s="229"/>
      <c r="Y270" s="229"/>
      <c r="Z270" s="229"/>
      <c r="AA270" s="229"/>
    </row>
    <row r="271" customFormat="false" ht="13.5" hidden="false" customHeight="true" outlineLevel="0" collapsed="false">
      <c r="A271" s="229"/>
      <c r="B271" s="229"/>
      <c r="C271" s="229"/>
      <c r="D271" s="229"/>
      <c r="E271" s="229"/>
      <c r="F271" s="229"/>
      <c r="G271" s="229"/>
      <c r="H271" s="229"/>
      <c r="I271" s="229"/>
      <c r="J271" s="229"/>
      <c r="K271" s="229"/>
      <c r="L271" s="229"/>
      <c r="M271" s="229"/>
      <c r="N271" s="229"/>
      <c r="O271" s="229"/>
      <c r="P271" s="229"/>
      <c r="Q271" s="229"/>
      <c r="R271" s="229"/>
      <c r="S271" s="229"/>
      <c r="T271" s="229"/>
      <c r="U271" s="229"/>
      <c r="V271" s="229"/>
      <c r="W271" s="229"/>
      <c r="X271" s="229"/>
      <c r="Y271" s="229"/>
      <c r="Z271" s="229"/>
      <c r="AA271" s="229"/>
    </row>
    <row r="272" customFormat="false" ht="13.5" hidden="false" customHeight="true" outlineLevel="0" collapsed="false">
      <c r="A272" s="229"/>
      <c r="B272" s="229"/>
      <c r="C272" s="229"/>
      <c r="D272" s="229"/>
      <c r="E272" s="229"/>
      <c r="F272" s="229"/>
      <c r="G272" s="229"/>
      <c r="H272" s="229"/>
      <c r="I272" s="229"/>
      <c r="J272" s="229"/>
      <c r="K272" s="229"/>
      <c r="L272" s="229"/>
      <c r="M272" s="229"/>
      <c r="N272" s="229"/>
      <c r="O272" s="229"/>
      <c r="P272" s="229"/>
      <c r="Q272" s="229"/>
      <c r="R272" s="229"/>
      <c r="S272" s="229"/>
      <c r="T272" s="229"/>
      <c r="U272" s="229"/>
      <c r="V272" s="229"/>
      <c r="W272" s="229"/>
      <c r="X272" s="229"/>
      <c r="Y272" s="229"/>
      <c r="Z272" s="229"/>
      <c r="AA272" s="229"/>
    </row>
    <row r="273" customFormat="false" ht="13.5" hidden="false" customHeight="true" outlineLevel="0" collapsed="false">
      <c r="A273" s="229"/>
      <c r="B273" s="229"/>
      <c r="C273" s="229"/>
      <c r="D273" s="229"/>
      <c r="E273" s="229"/>
      <c r="F273" s="229"/>
      <c r="G273" s="229"/>
      <c r="H273" s="229"/>
      <c r="I273" s="229"/>
      <c r="J273" s="229"/>
      <c r="K273" s="229"/>
      <c r="L273" s="229"/>
      <c r="M273" s="229"/>
      <c r="N273" s="229"/>
      <c r="O273" s="229"/>
      <c r="P273" s="229"/>
      <c r="Q273" s="229"/>
      <c r="R273" s="229"/>
      <c r="S273" s="229"/>
      <c r="T273" s="229"/>
      <c r="U273" s="229"/>
      <c r="V273" s="229"/>
      <c r="W273" s="229"/>
      <c r="X273" s="229"/>
      <c r="Y273" s="229"/>
      <c r="Z273" s="229"/>
      <c r="AA273" s="229"/>
    </row>
    <row r="274" customFormat="false" ht="13.5" hidden="false" customHeight="true" outlineLevel="0" collapsed="false">
      <c r="A274" s="229"/>
      <c r="B274" s="229"/>
      <c r="C274" s="229"/>
      <c r="D274" s="229"/>
      <c r="E274" s="229"/>
      <c r="F274" s="229"/>
      <c r="G274" s="229"/>
      <c r="H274" s="229"/>
      <c r="I274" s="229"/>
      <c r="J274" s="229"/>
      <c r="K274" s="229"/>
      <c r="L274" s="229"/>
      <c r="M274" s="229"/>
      <c r="N274" s="229"/>
      <c r="O274" s="229"/>
      <c r="P274" s="229"/>
      <c r="Q274" s="229"/>
      <c r="R274" s="229"/>
      <c r="S274" s="229"/>
      <c r="T274" s="229"/>
      <c r="U274" s="229"/>
      <c r="V274" s="229"/>
      <c r="W274" s="229"/>
      <c r="X274" s="229"/>
      <c r="Y274" s="229"/>
      <c r="Z274" s="229"/>
      <c r="AA274" s="229"/>
    </row>
    <row r="275" customFormat="false" ht="13.5" hidden="false" customHeight="true" outlineLevel="0" collapsed="false">
      <c r="A275" s="229"/>
      <c r="B275" s="229"/>
      <c r="C275" s="229"/>
      <c r="D275" s="229"/>
      <c r="E275" s="229"/>
      <c r="F275" s="229"/>
      <c r="G275" s="229"/>
      <c r="H275" s="229"/>
      <c r="I275" s="229"/>
      <c r="J275" s="229"/>
      <c r="K275" s="229"/>
      <c r="L275" s="229"/>
      <c r="M275" s="229"/>
      <c r="N275" s="229"/>
      <c r="O275" s="229"/>
      <c r="P275" s="229"/>
      <c r="Q275" s="229"/>
      <c r="R275" s="229"/>
      <c r="S275" s="229"/>
      <c r="T275" s="229"/>
      <c r="U275" s="229"/>
      <c r="V275" s="229"/>
      <c r="W275" s="229"/>
      <c r="X275" s="229"/>
      <c r="Y275" s="229"/>
      <c r="Z275" s="229"/>
      <c r="AA275" s="229"/>
    </row>
    <row r="276" customFormat="false" ht="13.5" hidden="false" customHeight="true" outlineLevel="0" collapsed="false">
      <c r="A276" s="229"/>
      <c r="B276" s="229"/>
      <c r="C276" s="229"/>
      <c r="D276" s="229"/>
      <c r="E276" s="229"/>
      <c r="F276" s="229"/>
      <c r="G276" s="229"/>
      <c r="H276" s="229"/>
      <c r="I276" s="229"/>
      <c r="J276" s="229"/>
      <c r="K276" s="229"/>
      <c r="L276" s="229"/>
      <c r="M276" s="229"/>
      <c r="N276" s="229"/>
      <c r="O276" s="229"/>
      <c r="P276" s="229"/>
      <c r="Q276" s="229"/>
      <c r="R276" s="229"/>
      <c r="S276" s="229"/>
      <c r="T276" s="229"/>
      <c r="U276" s="229"/>
      <c r="V276" s="229"/>
      <c r="W276" s="229"/>
      <c r="X276" s="229"/>
      <c r="Y276" s="229"/>
      <c r="Z276" s="229"/>
      <c r="AA276" s="229"/>
    </row>
    <row r="277" customFormat="false" ht="13.5" hidden="false" customHeight="true" outlineLevel="0" collapsed="false">
      <c r="A277" s="229"/>
      <c r="B277" s="229"/>
      <c r="C277" s="229"/>
      <c r="D277" s="229"/>
      <c r="E277" s="229"/>
      <c r="F277" s="229"/>
      <c r="G277" s="229"/>
      <c r="H277" s="229"/>
      <c r="I277" s="229"/>
      <c r="J277" s="229"/>
      <c r="K277" s="229"/>
      <c r="L277" s="229"/>
      <c r="M277" s="229"/>
      <c r="N277" s="229"/>
      <c r="O277" s="229"/>
      <c r="P277" s="229"/>
      <c r="Q277" s="229"/>
      <c r="R277" s="229"/>
      <c r="S277" s="229"/>
      <c r="T277" s="229"/>
      <c r="U277" s="229"/>
      <c r="V277" s="229"/>
      <c r="W277" s="229"/>
      <c r="X277" s="229"/>
      <c r="Y277" s="229"/>
      <c r="Z277" s="229"/>
      <c r="AA277" s="229"/>
    </row>
    <row r="278" customFormat="false" ht="13.5" hidden="false" customHeight="true" outlineLevel="0" collapsed="false">
      <c r="A278" s="229"/>
      <c r="B278" s="229"/>
      <c r="C278" s="229"/>
      <c r="D278" s="229"/>
      <c r="E278" s="229"/>
      <c r="F278" s="229"/>
      <c r="G278" s="229"/>
      <c r="H278" s="229"/>
      <c r="I278" s="229"/>
      <c r="J278" s="229"/>
      <c r="K278" s="229"/>
      <c r="L278" s="229"/>
      <c r="M278" s="229"/>
      <c r="N278" s="229"/>
      <c r="O278" s="229"/>
      <c r="P278" s="229"/>
      <c r="Q278" s="229"/>
      <c r="R278" s="229"/>
      <c r="S278" s="229"/>
      <c r="T278" s="229"/>
      <c r="U278" s="229"/>
      <c r="V278" s="229"/>
      <c r="W278" s="229"/>
      <c r="X278" s="229"/>
      <c r="Y278" s="229"/>
      <c r="Z278" s="229"/>
      <c r="AA278" s="229"/>
    </row>
    <row r="279" customFormat="false" ht="13.5" hidden="false" customHeight="true" outlineLevel="0" collapsed="false">
      <c r="A279" s="229"/>
      <c r="B279" s="229"/>
      <c r="C279" s="229"/>
      <c r="D279" s="229"/>
      <c r="E279" s="229"/>
      <c r="F279" s="229"/>
      <c r="G279" s="229"/>
      <c r="H279" s="229"/>
      <c r="I279" s="229"/>
      <c r="J279" s="229"/>
      <c r="K279" s="229"/>
      <c r="L279" s="229"/>
      <c r="M279" s="229"/>
      <c r="N279" s="229"/>
      <c r="O279" s="229"/>
      <c r="P279" s="229"/>
      <c r="Q279" s="229"/>
      <c r="R279" s="229"/>
      <c r="S279" s="229"/>
      <c r="T279" s="229"/>
      <c r="U279" s="229"/>
      <c r="V279" s="229"/>
      <c r="W279" s="229"/>
      <c r="X279" s="229"/>
      <c r="Y279" s="229"/>
      <c r="Z279" s="229"/>
      <c r="AA279" s="229"/>
    </row>
    <row r="280" customFormat="false" ht="13.5" hidden="false" customHeight="true" outlineLevel="0" collapsed="false">
      <c r="A280" s="229"/>
      <c r="B280" s="229"/>
      <c r="C280" s="229"/>
      <c r="D280" s="229"/>
      <c r="E280" s="229"/>
      <c r="F280" s="229"/>
      <c r="G280" s="229"/>
      <c r="H280" s="229"/>
      <c r="I280" s="229"/>
      <c r="J280" s="229"/>
      <c r="K280" s="229"/>
      <c r="L280" s="229"/>
      <c r="M280" s="229"/>
      <c r="N280" s="229"/>
      <c r="O280" s="229"/>
      <c r="P280" s="229"/>
      <c r="Q280" s="229"/>
      <c r="R280" s="229"/>
      <c r="S280" s="229"/>
      <c r="T280" s="229"/>
      <c r="U280" s="229"/>
      <c r="V280" s="229"/>
      <c r="W280" s="229"/>
      <c r="X280" s="229"/>
      <c r="Y280" s="229"/>
      <c r="Z280" s="229"/>
      <c r="AA280" s="229"/>
    </row>
    <row r="281" customFormat="false" ht="13.5" hidden="false" customHeight="true" outlineLevel="0" collapsed="false">
      <c r="A281" s="229"/>
      <c r="B281" s="229"/>
      <c r="C281" s="229"/>
      <c r="D281" s="229"/>
      <c r="E281" s="229"/>
      <c r="F281" s="229"/>
      <c r="G281" s="229"/>
      <c r="H281" s="229"/>
      <c r="I281" s="229"/>
      <c r="J281" s="229"/>
      <c r="K281" s="229"/>
      <c r="L281" s="229"/>
      <c r="M281" s="229"/>
      <c r="N281" s="229"/>
      <c r="O281" s="229"/>
      <c r="P281" s="229"/>
      <c r="Q281" s="229"/>
      <c r="R281" s="229"/>
      <c r="S281" s="229"/>
      <c r="T281" s="229"/>
      <c r="U281" s="229"/>
      <c r="V281" s="229"/>
      <c r="W281" s="229"/>
      <c r="X281" s="229"/>
      <c r="Y281" s="229"/>
      <c r="Z281" s="229"/>
      <c r="AA281" s="229"/>
    </row>
    <row r="282" customFormat="false" ht="13.5" hidden="false" customHeight="true" outlineLevel="0" collapsed="false">
      <c r="A282" s="229"/>
      <c r="B282" s="229"/>
      <c r="C282" s="229"/>
      <c r="D282" s="229"/>
      <c r="E282" s="229"/>
      <c r="F282" s="229"/>
      <c r="G282" s="229"/>
      <c r="H282" s="229"/>
      <c r="I282" s="229"/>
      <c r="J282" s="229"/>
      <c r="K282" s="229"/>
      <c r="L282" s="229"/>
      <c r="M282" s="229"/>
      <c r="N282" s="229"/>
      <c r="O282" s="229"/>
      <c r="P282" s="229"/>
      <c r="Q282" s="229"/>
      <c r="R282" s="229"/>
      <c r="S282" s="229"/>
      <c r="T282" s="229"/>
      <c r="U282" s="229"/>
      <c r="V282" s="229"/>
      <c r="W282" s="229"/>
      <c r="X282" s="229"/>
      <c r="Y282" s="229"/>
      <c r="Z282" s="229"/>
      <c r="AA282" s="229"/>
    </row>
    <row r="283" customFormat="false" ht="13.5" hidden="false" customHeight="true" outlineLevel="0" collapsed="false">
      <c r="A283" s="229"/>
      <c r="B283" s="229"/>
      <c r="C283" s="229"/>
      <c r="D283" s="229"/>
      <c r="E283" s="229"/>
      <c r="F283" s="229"/>
      <c r="G283" s="229"/>
      <c r="H283" s="229"/>
      <c r="I283" s="229"/>
      <c r="J283" s="229"/>
      <c r="K283" s="229"/>
      <c r="L283" s="229"/>
      <c r="M283" s="229"/>
      <c r="N283" s="229"/>
      <c r="O283" s="229"/>
      <c r="P283" s="229"/>
      <c r="Q283" s="229"/>
      <c r="R283" s="229"/>
      <c r="S283" s="229"/>
      <c r="T283" s="229"/>
      <c r="U283" s="229"/>
      <c r="V283" s="229"/>
      <c r="W283" s="229"/>
      <c r="X283" s="229"/>
      <c r="Y283" s="229"/>
      <c r="Z283" s="229"/>
      <c r="AA283" s="229"/>
    </row>
    <row r="284" customFormat="false" ht="13.5" hidden="false" customHeight="true" outlineLevel="0" collapsed="false">
      <c r="A284" s="229"/>
      <c r="B284" s="229"/>
      <c r="C284" s="229"/>
      <c r="D284" s="229"/>
      <c r="E284" s="229"/>
      <c r="F284" s="229"/>
      <c r="G284" s="229"/>
      <c r="H284" s="229"/>
      <c r="I284" s="229"/>
      <c r="J284" s="229"/>
      <c r="K284" s="229"/>
      <c r="L284" s="229"/>
      <c r="M284" s="229"/>
      <c r="N284" s="229"/>
      <c r="O284" s="229"/>
      <c r="P284" s="229"/>
      <c r="Q284" s="229"/>
      <c r="R284" s="229"/>
      <c r="S284" s="229"/>
      <c r="T284" s="229"/>
      <c r="U284" s="229"/>
      <c r="V284" s="229"/>
      <c r="W284" s="229"/>
      <c r="X284" s="229"/>
      <c r="Y284" s="229"/>
      <c r="Z284" s="229"/>
      <c r="AA284" s="229"/>
    </row>
    <row r="285" customFormat="false" ht="13.5" hidden="false" customHeight="true" outlineLevel="0" collapsed="false">
      <c r="A285" s="229"/>
      <c r="B285" s="229"/>
      <c r="C285" s="229"/>
      <c r="D285" s="229"/>
      <c r="E285" s="229"/>
      <c r="F285" s="229"/>
      <c r="G285" s="229"/>
      <c r="H285" s="229"/>
      <c r="I285" s="229"/>
      <c r="J285" s="229"/>
      <c r="K285" s="229"/>
      <c r="L285" s="229"/>
      <c r="M285" s="229"/>
      <c r="N285" s="229"/>
      <c r="O285" s="229"/>
      <c r="P285" s="229"/>
      <c r="Q285" s="229"/>
      <c r="R285" s="229"/>
      <c r="S285" s="229"/>
      <c r="T285" s="229"/>
      <c r="U285" s="229"/>
      <c r="V285" s="229"/>
      <c r="W285" s="229"/>
      <c r="X285" s="229"/>
      <c r="Y285" s="229"/>
      <c r="Z285" s="229"/>
      <c r="AA285" s="229"/>
    </row>
    <row r="286" customFormat="false" ht="13.5" hidden="false" customHeight="true" outlineLevel="0" collapsed="false">
      <c r="A286" s="229"/>
      <c r="B286" s="229"/>
      <c r="C286" s="229"/>
      <c r="D286" s="229"/>
      <c r="E286" s="229"/>
      <c r="F286" s="229"/>
      <c r="G286" s="229"/>
      <c r="H286" s="229"/>
      <c r="I286" s="229"/>
      <c r="J286" s="229"/>
      <c r="K286" s="229"/>
      <c r="L286" s="229"/>
      <c r="M286" s="229"/>
      <c r="N286" s="229"/>
      <c r="O286" s="229"/>
      <c r="P286" s="229"/>
      <c r="Q286" s="229"/>
      <c r="R286" s="229"/>
      <c r="S286" s="229"/>
      <c r="T286" s="229"/>
      <c r="U286" s="229"/>
      <c r="V286" s="229"/>
      <c r="W286" s="229"/>
      <c r="X286" s="229"/>
      <c r="Y286" s="229"/>
      <c r="Z286" s="229"/>
      <c r="AA286" s="229"/>
    </row>
    <row r="287" customFormat="false" ht="13.5" hidden="false" customHeight="true" outlineLevel="0" collapsed="false">
      <c r="A287" s="229"/>
      <c r="B287" s="229"/>
      <c r="C287" s="229"/>
      <c r="D287" s="229"/>
      <c r="E287" s="229"/>
      <c r="F287" s="229"/>
      <c r="G287" s="229"/>
      <c r="H287" s="229"/>
      <c r="I287" s="229"/>
      <c r="J287" s="229"/>
      <c r="K287" s="229"/>
      <c r="L287" s="229"/>
      <c r="M287" s="229"/>
      <c r="N287" s="229"/>
      <c r="O287" s="229"/>
      <c r="P287" s="229"/>
      <c r="Q287" s="229"/>
      <c r="R287" s="229"/>
      <c r="S287" s="229"/>
      <c r="T287" s="229"/>
      <c r="U287" s="229"/>
      <c r="V287" s="229"/>
      <c r="W287" s="229"/>
      <c r="X287" s="229"/>
      <c r="Y287" s="229"/>
      <c r="Z287" s="229"/>
      <c r="AA287" s="229"/>
    </row>
    <row r="288" customFormat="false" ht="13.5" hidden="false" customHeight="true" outlineLevel="0" collapsed="false">
      <c r="A288" s="229"/>
      <c r="B288" s="229"/>
      <c r="C288" s="229"/>
      <c r="D288" s="229"/>
      <c r="E288" s="229"/>
      <c r="F288" s="229"/>
      <c r="G288" s="229"/>
      <c r="H288" s="229"/>
      <c r="I288" s="229"/>
      <c r="J288" s="229"/>
      <c r="K288" s="229"/>
      <c r="L288" s="229"/>
      <c r="M288" s="229"/>
      <c r="N288" s="229"/>
      <c r="O288" s="229"/>
      <c r="P288" s="229"/>
      <c r="Q288" s="229"/>
      <c r="R288" s="229"/>
      <c r="S288" s="229"/>
      <c r="T288" s="229"/>
      <c r="U288" s="229"/>
      <c r="V288" s="229"/>
      <c r="W288" s="229"/>
      <c r="X288" s="229"/>
      <c r="Y288" s="229"/>
      <c r="Z288" s="229"/>
      <c r="AA288" s="229"/>
    </row>
    <row r="289" customFormat="false" ht="13.5" hidden="false" customHeight="true" outlineLevel="0" collapsed="false">
      <c r="A289" s="229"/>
      <c r="B289" s="229"/>
      <c r="C289" s="229"/>
      <c r="D289" s="229"/>
      <c r="E289" s="229"/>
      <c r="F289" s="229"/>
      <c r="G289" s="229"/>
      <c r="H289" s="229"/>
      <c r="I289" s="229"/>
      <c r="J289" s="229"/>
      <c r="K289" s="229"/>
      <c r="L289" s="229"/>
      <c r="M289" s="229"/>
      <c r="N289" s="229"/>
      <c r="O289" s="229"/>
      <c r="P289" s="229"/>
      <c r="Q289" s="229"/>
      <c r="R289" s="229"/>
      <c r="S289" s="229"/>
      <c r="T289" s="229"/>
      <c r="U289" s="229"/>
      <c r="V289" s="229"/>
      <c r="W289" s="229"/>
      <c r="X289" s="229"/>
      <c r="Y289" s="229"/>
      <c r="Z289" s="229"/>
      <c r="AA289" s="229"/>
    </row>
    <row r="290" customFormat="false" ht="13.5" hidden="false" customHeight="true" outlineLevel="0" collapsed="false">
      <c r="A290" s="229"/>
      <c r="B290" s="229"/>
      <c r="C290" s="229"/>
      <c r="D290" s="229"/>
      <c r="E290" s="229"/>
      <c r="F290" s="229"/>
      <c r="G290" s="229"/>
      <c r="H290" s="229"/>
      <c r="I290" s="229"/>
      <c r="J290" s="229"/>
      <c r="K290" s="229"/>
      <c r="L290" s="229"/>
      <c r="M290" s="229"/>
      <c r="N290" s="229"/>
      <c r="O290" s="229"/>
      <c r="P290" s="229"/>
      <c r="Q290" s="229"/>
      <c r="R290" s="229"/>
      <c r="S290" s="229"/>
      <c r="T290" s="229"/>
      <c r="U290" s="229"/>
      <c r="V290" s="229"/>
      <c r="W290" s="229"/>
      <c r="X290" s="229"/>
      <c r="Y290" s="229"/>
      <c r="Z290" s="229"/>
      <c r="AA290" s="229"/>
    </row>
    <row r="291" customFormat="false" ht="13.5" hidden="false" customHeight="true" outlineLevel="0" collapsed="false">
      <c r="A291" s="229"/>
      <c r="B291" s="229"/>
      <c r="C291" s="229"/>
      <c r="D291" s="229"/>
      <c r="E291" s="229"/>
      <c r="F291" s="229"/>
      <c r="G291" s="229"/>
      <c r="H291" s="229"/>
      <c r="I291" s="229"/>
      <c r="J291" s="229"/>
      <c r="K291" s="229"/>
      <c r="L291" s="229"/>
      <c r="M291" s="229"/>
      <c r="N291" s="229"/>
      <c r="O291" s="229"/>
      <c r="P291" s="229"/>
      <c r="Q291" s="229"/>
      <c r="R291" s="229"/>
      <c r="S291" s="229"/>
      <c r="T291" s="229"/>
      <c r="U291" s="229"/>
      <c r="V291" s="229"/>
      <c r="W291" s="229"/>
      <c r="X291" s="229"/>
      <c r="Y291" s="229"/>
      <c r="Z291" s="229"/>
      <c r="AA291" s="229"/>
    </row>
    <row r="292" customFormat="false" ht="13.5" hidden="false" customHeight="true" outlineLevel="0" collapsed="false">
      <c r="A292" s="229"/>
      <c r="B292" s="229"/>
      <c r="C292" s="229"/>
      <c r="D292" s="229"/>
      <c r="E292" s="229"/>
      <c r="F292" s="229"/>
      <c r="G292" s="229"/>
      <c r="H292" s="229"/>
      <c r="I292" s="229"/>
      <c r="J292" s="229"/>
      <c r="K292" s="229"/>
      <c r="L292" s="229"/>
      <c r="M292" s="229"/>
      <c r="N292" s="229"/>
      <c r="O292" s="229"/>
      <c r="P292" s="229"/>
      <c r="Q292" s="229"/>
      <c r="R292" s="229"/>
      <c r="S292" s="229"/>
      <c r="T292" s="229"/>
      <c r="U292" s="229"/>
      <c r="V292" s="229"/>
      <c r="W292" s="229"/>
      <c r="X292" s="229"/>
      <c r="Y292" s="229"/>
      <c r="Z292" s="229"/>
      <c r="AA292" s="229"/>
    </row>
    <row r="293" customFormat="false" ht="13.5" hidden="false" customHeight="true" outlineLevel="0" collapsed="false">
      <c r="A293" s="229"/>
      <c r="B293" s="229"/>
      <c r="C293" s="229"/>
      <c r="D293" s="229"/>
      <c r="E293" s="229"/>
      <c r="F293" s="229"/>
      <c r="G293" s="229"/>
      <c r="H293" s="229"/>
      <c r="I293" s="229"/>
      <c r="J293" s="229"/>
      <c r="K293" s="229"/>
      <c r="L293" s="229"/>
      <c r="M293" s="229"/>
      <c r="N293" s="229"/>
      <c r="O293" s="229"/>
      <c r="P293" s="229"/>
      <c r="Q293" s="229"/>
      <c r="R293" s="229"/>
      <c r="S293" s="229"/>
      <c r="T293" s="229"/>
      <c r="U293" s="229"/>
      <c r="V293" s="229"/>
      <c r="W293" s="229"/>
      <c r="X293" s="229"/>
      <c r="Y293" s="229"/>
      <c r="Z293" s="229"/>
      <c r="AA293" s="229"/>
    </row>
    <row r="294" customFormat="false" ht="13.5" hidden="false" customHeight="true" outlineLevel="0" collapsed="false">
      <c r="A294" s="229"/>
      <c r="B294" s="229"/>
      <c r="C294" s="229"/>
      <c r="D294" s="229"/>
      <c r="E294" s="229"/>
      <c r="F294" s="229"/>
      <c r="G294" s="229"/>
      <c r="H294" s="229"/>
      <c r="I294" s="229"/>
      <c r="J294" s="229"/>
      <c r="K294" s="229"/>
      <c r="L294" s="229"/>
      <c r="M294" s="229"/>
      <c r="N294" s="229"/>
      <c r="O294" s="229"/>
      <c r="P294" s="229"/>
      <c r="Q294" s="229"/>
      <c r="R294" s="229"/>
      <c r="S294" s="229"/>
      <c r="T294" s="229"/>
      <c r="U294" s="229"/>
      <c r="V294" s="229"/>
      <c r="W294" s="229"/>
      <c r="X294" s="229"/>
      <c r="Y294" s="229"/>
      <c r="Z294" s="229"/>
      <c r="AA294" s="229"/>
    </row>
    <row r="295" customFormat="false" ht="13.5" hidden="false" customHeight="true" outlineLevel="0" collapsed="false">
      <c r="A295" s="229"/>
      <c r="B295" s="229"/>
      <c r="C295" s="229"/>
      <c r="D295" s="229"/>
      <c r="E295" s="229"/>
      <c r="F295" s="229"/>
      <c r="G295" s="229"/>
      <c r="H295" s="229"/>
      <c r="I295" s="229"/>
      <c r="J295" s="229"/>
      <c r="K295" s="229"/>
      <c r="L295" s="229"/>
      <c r="M295" s="229"/>
      <c r="N295" s="229"/>
      <c r="O295" s="229"/>
      <c r="P295" s="229"/>
      <c r="Q295" s="229"/>
      <c r="R295" s="229"/>
      <c r="S295" s="229"/>
      <c r="T295" s="229"/>
      <c r="U295" s="229"/>
      <c r="V295" s="229"/>
      <c r="W295" s="229"/>
      <c r="X295" s="229"/>
      <c r="Y295" s="229"/>
      <c r="Z295" s="229"/>
      <c r="AA295" s="229"/>
    </row>
    <row r="296" customFormat="false" ht="13.5" hidden="false" customHeight="true" outlineLevel="0" collapsed="false">
      <c r="A296" s="229"/>
      <c r="B296" s="229"/>
      <c r="C296" s="229"/>
      <c r="D296" s="229"/>
      <c r="E296" s="229"/>
      <c r="F296" s="229"/>
      <c r="G296" s="229"/>
      <c r="H296" s="229"/>
      <c r="I296" s="229"/>
      <c r="J296" s="229"/>
      <c r="K296" s="229"/>
      <c r="L296" s="229"/>
      <c r="M296" s="229"/>
      <c r="N296" s="229"/>
      <c r="O296" s="229"/>
      <c r="P296" s="229"/>
      <c r="Q296" s="229"/>
      <c r="R296" s="229"/>
      <c r="S296" s="229"/>
      <c r="T296" s="229"/>
      <c r="U296" s="229"/>
      <c r="V296" s="229"/>
      <c r="W296" s="229"/>
      <c r="X296" s="229"/>
      <c r="Y296" s="229"/>
      <c r="Z296" s="229"/>
      <c r="AA296" s="229"/>
    </row>
    <row r="297" customFormat="false" ht="13.5" hidden="false" customHeight="true" outlineLevel="0" collapsed="false">
      <c r="A297" s="229"/>
      <c r="B297" s="229"/>
      <c r="C297" s="229"/>
      <c r="D297" s="229"/>
      <c r="E297" s="229"/>
      <c r="F297" s="229"/>
      <c r="G297" s="229"/>
      <c r="H297" s="229"/>
      <c r="I297" s="229"/>
      <c r="J297" s="229"/>
      <c r="K297" s="229"/>
      <c r="L297" s="229"/>
      <c r="M297" s="229"/>
      <c r="N297" s="229"/>
      <c r="O297" s="229"/>
      <c r="P297" s="229"/>
      <c r="Q297" s="229"/>
      <c r="R297" s="229"/>
      <c r="S297" s="229"/>
      <c r="T297" s="229"/>
      <c r="U297" s="229"/>
      <c r="V297" s="229"/>
      <c r="W297" s="229"/>
      <c r="X297" s="229"/>
      <c r="Y297" s="229"/>
      <c r="Z297" s="229"/>
      <c r="AA297" s="229"/>
    </row>
    <row r="298" customFormat="false" ht="13.5" hidden="false" customHeight="true" outlineLevel="0" collapsed="false">
      <c r="A298" s="229"/>
      <c r="B298" s="229"/>
      <c r="C298" s="229"/>
      <c r="D298" s="229"/>
      <c r="E298" s="229"/>
      <c r="F298" s="229"/>
      <c r="G298" s="229"/>
      <c r="H298" s="229"/>
      <c r="I298" s="229"/>
      <c r="J298" s="229"/>
      <c r="K298" s="229"/>
      <c r="L298" s="229"/>
      <c r="M298" s="229"/>
      <c r="N298" s="229"/>
      <c r="O298" s="229"/>
      <c r="P298" s="229"/>
      <c r="Q298" s="229"/>
      <c r="R298" s="229"/>
      <c r="S298" s="229"/>
      <c r="T298" s="229"/>
      <c r="U298" s="229"/>
      <c r="V298" s="229"/>
      <c r="W298" s="229"/>
      <c r="X298" s="229"/>
      <c r="Y298" s="229"/>
      <c r="Z298" s="229"/>
      <c r="AA298" s="229"/>
    </row>
    <row r="299" customFormat="false" ht="13.5" hidden="false" customHeight="true" outlineLevel="0" collapsed="false">
      <c r="A299" s="229"/>
      <c r="B299" s="229"/>
      <c r="C299" s="229"/>
      <c r="D299" s="229"/>
      <c r="E299" s="229"/>
      <c r="F299" s="229"/>
      <c r="G299" s="229"/>
      <c r="H299" s="229"/>
      <c r="I299" s="229"/>
      <c r="J299" s="229"/>
      <c r="K299" s="229"/>
      <c r="L299" s="229"/>
      <c r="M299" s="229"/>
      <c r="N299" s="229"/>
      <c r="O299" s="229"/>
      <c r="P299" s="229"/>
      <c r="Q299" s="229"/>
      <c r="R299" s="229"/>
      <c r="S299" s="229"/>
      <c r="T299" s="229"/>
      <c r="U299" s="229"/>
      <c r="V299" s="229"/>
      <c r="W299" s="229"/>
      <c r="X299" s="229"/>
      <c r="Y299" s="229"/>
      <c r="Z299" s="229"/>
      <c r="AA299" s="229"/>
    </row>
    <row r="300" customFormat="false" ht="13.5" hidden="false" customHeight="true" outlineLevel="0" collapsed="false">
      <c r="A300" s="229"/>
      <c r="B300" s="229"/>
      <c r="C300" s="229"/>
      <c r="D300" s="229"/>
      <c r="E300" s="229"/>
      <c r="F300" s="229"/>
      <c r="G300" s="229"/>
      <c r="H300" s="229"/>
      <c r="I300" s="229"/>
      <c r="J300" s="229"/>
      <c r="K300" s="229"/>
      <c r="L300" s="229"/>
      <c r="M300" s="229"/>
      <c r="N300" s="229"/>
      <c r="O300" s="229"/>
      <c r="P300" s="229"/>
      <c r="Q300" s="229"/>
      <c r="R300" s="229"/>
      <c r="S300" s="229"/>
      <c r="T300" s="229"/>
      <c r="U300" s="229"/>
      <c r="V300" s="229"/>
      <c r="W300" s="229"/>
      <c r="X300" s="229"/>
      <c r="Y300" s="229"/>
      <c r="Z300" s="229"/>
      <c r="AA300" s="229"/>
    </row>
    <row r="301" customFormat="false" ht="13.5" hidden="false" customHeight="true" outlineLevel="0" collapsed="false">
      <c r="A301" s="229"/>
      <c r="B301" s="229"/>
      <c r="C301" s="229"/>
      <c r="D301" s="229"/>
      <c r="E301" s="229"/>
      <c r="F301" s="229"/>
      <c r="G301" s="229"/>
      <c r="H301" s="229"/>
      <c r="I301" s="229"/>
      <c r="J301" s="229"/>
      <c r="K301" s="229"/>
      <c r="L301" s="229"/>
      <c r="M301" s="229"/>
      <c r="N301" s="229"/>
      <c r="O301" s="229"/>
      <c r="P301" s="229"/>
      <c r="Q301" s="229"/>
      <c r="R301" s="229"/>
      <c r="S301" s="229"/>
      <c r="T301" s="229"/>
      <c r="U301" s="229"/>
      <c r="V301" s="229"/>
      <c r="W301" s="229"/>
      <c r="X301" s="229"/>
      <c r="Y301" s="229"/>
      <c r="Z301" s="229"/>
      <c r="AA301" s="229"/>
    </row>
    <row r="302" customFormat="false" ht="13.5" hidden="false" customHeight="true" outlineLevel="0" collapsed="false">
      <c r="A302" s="229"/>
      <c r="B302" s="229"/>
      <c r="C302" s="229"/>
      <c r="D302" s="229"/>
      <c r="E302" s="229"/>
      <c r="F302" s="229"/>
      <c r="G302" s="229"/>
      <c r="H302" s="229"/>
      <c r="I302" s="229"/>
      <c r="J302" s="229"/>
      <c r="K302" s="229"/>
      <c r="L302" s="229"/>
      <c r="M302" s="229"/>
      <c r="N302" s="229"/>
      <c r="O302" s="229"/>
      <c r="P302" s="229"/>
      <c r="Q302" s="229"/>
      <c r="R302" s="229"/>
      <c r="S302" s="229"/>
      <c r="T302" s="229"/>
      <c r="U302" s="229"/>
      <c r="V302" s="229"/>
      <c r="W302" s="229"/>
      <c r="X302" s="229"/>
      <c r="Y302" s="229"/>
      <c r="Z302" s="229"/>
      <c r="AA302" s="229"/>
    </row>
    <row r="303" customFormat="false" ht="13.5" hidden="false" customHeight="true" outlineLevel="0" collapsed="false">
      <c r="A303" s="229"/>
      <c r="B303" s="229"/>
      <c r="C303" s="229"/>
      <c r="D303" s="229"/>
      <c r="E303" s="229"/>
      <c r="F303" s="229"/>
      <c r="G303" s="229"/>
      <c r="H303" s="229"/>
      <c r="I303" s="229"/>
      <c r="J303" s="229"/>
      <c r="K303" s="229"/>
      <c r="L303" s="229"/>
      <c r="M303" s="229"/>
      <c r="N303" s="229"/>
      <c r="O303" s="229"/>
      <c r="P303" s="229"/>
      <c r="Q303" s="229"/>
      <c r="R303" s="229"/>
      <c r="S303" s="229"/>
      <c r="T303" s="229"/>
      <c r="U303" s="229"/>
      <c r="V303" s="229"/>
      <c r="W303" s="229"/>
      <c r="X303" s="229"/>
      <c r="Y303" s="229"/>
      <c r="Z303" s="229"/>
      <c r="AA303" s="229"/>
    </row>
    <row r="304" customFormat="false" ht="13.5" hidden="false" customHeight="true" outlineLevel="0" collapsed="false">
      <c r="A304" s="229"/>
      <c r="B304" s="229"/>
      <c r="C304" s="229"/>
      <c r="D304" s="229"/>
      <c r="E304" s="229"/>
      <c r="F304" s="229"/>
      <c r="G304" s="229"/>
      <c r="H304" s="229"/>
      <c r="I304" s="229"/>
      <c r="J304" s="229"/>
      <c r="K304" s="229"/>
      <c r="L304" s="229"/>
      <c r="M304" s="229"/>
      <c r="N304" s="229"/>
      <c r="O304" s="229"/>
      <c r="P304" s="229"/>
      <c r="Q304" s="229"/>
      <c r="R304" s="229"/>
      <c r="S304" s="229"/>
      <c r="T304" s="229"/>
      <c r="U304" s="229"/>
      <c r="V304" s="229"/>
      <c r="W304" s="229"/>
      <c r="X304" s="229"/>
      <c r="Y304" s="229"/>
      <c r="Z304" s="229"/>
      <c r="AA304" s="229"/>
    </row>
    <row r="305" customFormat="false" ht="13.5" hidden="false" customHeight="true" outlineLevel="0" collapsed="false">
      <c r="A305" s="229"/>
      <c r="B305" s="229"/>
      <c r="C305" s="229"/>
      <c r="D305" s="229"/>
      <c r="E305" s="229"/>
      <c r="F305" s="229"/>
      <c r="G305" s="229"/>
      <c r="H305" s="229"/>
      <c r="I305" s="229"/>
      <c r="J305" s="229"/>
      <c r="K305" s="229"/>
      <c r="L305" s="229"/>
      <c r="M305" s="229"/>
      <c r="N305" s="229"/>
      <c r="O305" s="229"/>
      <c r="P305" s="229"/>
      <c r="Q305" s="229"/>
      <c r="R305" s="229"/>
      <c r="S305" s="229"/>
      <c r="T305" s="229"/>
      <c r="U305" s="229"/>
      <c r="V305" s="229"/>
      <c r="W305" s="229"/>
      <c r="X305" s="229"/>
      <c r="Y305" s="229"/>
      <c r="Z305" s="229"/>
      <c r="AA305" s="229"/>
    </row>
    <row r="306" customFormat="false" ht="13.5" hidden="false" customHeight="true" outlineLevel="0" collapsed="false">
      <c r="A306" s="229"/>
      <c r="B306" s="229"/>
      <c r="C306" s="229"/>
      <c r="D306" s="229"/>
      <c r="E306" s="229"/>
      <c r="F306" s="229"/>
      <c r="G306" s="229"/>
      <c r="H306" s="229"/>
      <c r="I306" s="229"/>
      <c r="J306" s="229"/>
      <c r="K306" s="229"/>
      <c r="L306" s="229"/>
      <c r="M306" s="229"/>
      <c r="N306" s="229"/>
      <c r="O306" s="229"/>
      <c r="P306" s="229"/>
      <c r="Q306" s="229"/>
      <c r="R306" s="229"/>
      <c r="S306" s="229"/>
      <c r="T306" s="229"/>
      <c r="U306" s="229"/>
      <c r="V306" s="229"/>
      <c r="W306" s="229"/>
      <c r="X306" s="229"/>
      <c r="Y306" s="229"/>
      <c r="Z306" s="229"/>
      <c r="AA306" s="229"/>
    </row>
    <row r="307" customFormat="false" ht="13.5" hidden="false" customHeight="true" outlineLevel="0" collapsed="false">
      <c r="A307" s="229"/>
      <c r="B307" s="229"/>
      <c r="C307" s="229"/>
      <c r="D307" s="229"/>
      <c r="E307" s="229"/>
      <c r="F307" s="229"/>
      <c r="G307" s="229"/>
      <c r="H307" s="229"/>
      <c r="I307" s="229"/>
      <c r="J307" s="229"/>
      <c r="K307" s="229"/>
      <c r="L307" s="229"/>
      <c r="M307" s="229"/>
      <c r="N307" s="229"/>
      <c r="O307" s="229"/>
      <c r="P307" s="229"/>
      <c r="Q307" s="229"/>
      <c r="R307" s="229"/>
      <c r="S307" s="229"/>
      <c r="T307" s="229"/>
      <c r="U307" s="229"/>
      <c r="V307" s="229"/>
      <c r="W307" s="229"/>
      <c r="X307" s="229"/>
      <c r="Y307" s="229"/>
      <c r="Z307" s="229"/>
      <c r="AA307" s="229"/>
    </row>
    <row r="308" customFormat="false" ht="13.5" hidden="false" customHeight="true" outlineLevel="0" collapsed="false">
      <c r="A308" s="229"/>
      <c r="B308" s="229"/>
      <c r="C308" s="229"/>
      <c r="D308" s="229"/>
      <c r="E308" s="229"/>
      <c r="F308" s="229"/>
      <c r="G308" s="229"/>
      <c r="H308" s="229"/>
      <c r="I308" s="229"/>
      <c r="J308" s="229"/>
      <c r="K308" s="229"/>
      <c r="L308" s="229"/>
      <c r="M308" s="229"/>
      <c r="N308" s="229"/>
      <c r="O308" s="229"/>
      <c r="P308" s="229"/>
      <c r="Q308" s="229"/>
      <c r="R308" s="229"/>
      <c r="S308" s="229"/>
      <c r="T308" s="229"/>
      <c r="U308" s="229"/>
      <c r="V308" s="229"/>
      <c r="W308" s="229"/>
      <c r="X308" s="229"/>
      <c r="Y308" s="229"/>
      <c r="Z308" s="229"/>
      <c r="AA308" s="229"/>
    </row>
    <row r="309" customFormat="false" ht="13.5" hidden="false" customHeight="true" outlineLevel="0" collapsed="false">
      <c r="A309" s="229"/>
      <c r="B309" s="229"/>
      <c r="C309" s="229"/>
      <c r="D309" s="229"/>
      <c r="E309" s="229"/>
      <c r="F309" s="229"/>
      <c r="G309" s="229"/>
      <c r="H309" s="229"/>
      <c r="I309" s="229"/>
      <c r="J309" s="229"/>
      <c r="K309" s="229"/>
      <c r="L309" s="229"/>
      <c r="M309" s="229"/>
      <c r="N309" s="229"/>
      <c r="O309" s="229"/>
      <c r="P309" s="229"/>
      <c r="Q309" s="229"/>
      <c r="R309" s="229"/>
      <c r="S309" s="229"/>
      <c r="T309" s="229"/>
      <c r="U309" s="229"/>
      <c r="V309" s="229"/>
      <c r="W309" s="229"/>
      <c r="X309" s="229"/>
      <c r="Y309" s="229"/>
      <c r="Z309" s="229"/>
      <c r="AA309" s="229"/>
    </row>
    <row r="310" customFormat="false" ht="13.5" hidden="false" customHeight="true" outlineLevel="0" collapsed="false">
      <c r="A310" s="229"/>
      <c r="B310" s="229"/>
      <c r="C310" s="229"/>
      <c r="D310" s="229"/>
      <c r="E310" s="229"/>
      <c r="F310" s="229"/>
      <c r="G310" s="229"/>
      <c r="H310" s="229"/>
      <c r="I310" s="229"/>
      <c r="J310" s="229"/>
      <c r="K310" s="229"/>
      <c r="L310" s="229"/>
      <c r="M310" s="229"/>
      <c r="N310" s="229"/>
      <c r="O310" s="229"/>
      <c r="P310" s="229"/>
      <c r="Q310" s="229"/>
      <c r="R310" s="229"/>
      <c r="S310" s="229"/>
      <c r="T310" s="229"/>
      <c r="U310" s="229"/>
      <c r="V310" s="229"/>
      <c r="W310" s="229"/>
      <c r="X310" s="229"/>
      <c r="Y310" s="229"/>
      <c r="Z310" s="229"/>
      <c r="AA310" s="229"/>
    </row>
    <row r="311" customFormat="false" ht="13.5" hidden="false" customHeight="true" outlineLevel="0" collapsed="false">
      <c r="A311" s="229"/>
      <c r="B311" s="229"/>
      <c r="C311" s="229"/>
      <c r="D311" s="229"/>
      <c r="E311" s="229"/>
      <c r="F311" s="229"/>
      <c r="G311" s="229"/>
      <c r="H311" s="229"/>
      <c r="I311" s="229"/>
      <c r="J311" s="229"/>
      <c r="K311" s="229"/>
      <c r="L311" s="229"/>
      <c r="M311" s="229"/>
      <c r="N311" s="229"/>
      <c r="O311" s="229"/>
      <c r="P311" s="229"/>
      <c r="Q311" s="229"/>
      <c r="R311" s="229"/>
      <c r="S311" s="229"/>
      <c r="T311" s="229"/>
      <c r="U311" s="229"/>
      <c r="V311" s="229"/>
      <c r="W311" s="229"/>
      <c r="X311" s="229"/>
      <c r="Y311" s="229"/>
      <c r="Z311" s="229"/>
      <c r="AA311" s="229"/>
    </row>
    <row r="312" customFormat="false" ht="13.5" hidden="false" customHeight="true" outlineLevel="0" collapsed="false">
      <c r="A312" s="229"/>
      <c r="B312" s="229"/>
      <c r="C312" s="229"/>
      <c r="D312" s="229"/>
      <c r="E312" s="229"/>
      <c r="F312" s="229"/>
      <c r="G312" s="229"/>
      <c r="H312" s="229"/>
      <c r="I312" s="229"/>
      <c r="J312" s="229"/>
      <c r="K312" s="229"/>
      <c r="L312" s="229"/>
      <c r="M312" s="229"/>
      <c r="N312" s="229"/>
      <c r="O312" s="229"/>
      <c r="P312" s="229"/>
      <c r="Q312" s="229"/>
      <c r="R312" s="229"/>
      <c r="S312" s="229"/>
      <c r="T312" s="229"/>
      <c r="U312" s="229"/>
      <c r="V312" s="229"/>
      <c r="W312" s="229"/>
      <c r="X312" s="229"/>
      <c r="Y312" s="229"/>
      <c r="Z312" s="229"/>
      <c r="AA312" s="229"/>
    </row>
    <row r="313" customFormat="false" ht="13.5" hidden="false" customHeight="true" outlineLevel="0" collapsed="false">
      <c r="A313" s="229"/>
      <c r="B313" s="229"/>
      <c r="C313" s="229"/>
      <c r="D313" s="229"/>
      <c r="E313" s="229"/>
      <c r="F313" s="229"/>
      <c r="G313" s="229"/>
      <c r="H313" s="229"/>
      <c r="I313" s="229"/>
      <c r="J313" s="229"/>
      <c r="K313" s="229"/>
      <c r="L313" s="229"/>
      <c r="M313" s="229"/>
      <c r="N313" s="229"/>
      <c r="O313" s="229"/>
      <c r="P313" s="229"/>
      <c r="Q313" s="229"/>
      <c r="R313" s="229"/>
      <c r="S313" s="229"/>
      <c r="T313" s="229"/>
      <c r="U313" s="229"/>
      <c r="V313" s="229"/>
      <c r="W313" s="229"/>
      <c r="X313" s="229"/>
      <c r="Y313" s="229"/>
      <c r="Z313" s="229"/>
      <c r="AA313" s="229"/>
    </row>
    <row r="314" customFormat="false" ht="13.5" hidden="false" customHeight="true" outlineLevel="0" collapsed="false">
      <c r="A314" s="229"/>
      <c r="B314" s="229"/>
      <c r="C314" s="229"/>
      <c r="D314" s="229"/>
      <c r="E314" s="229"/>
      <c r="F314" s="229"/>
      <c r="G314" s="229"/>
      <c r="H314" s="229"/>
      <c r="I314" s="229"/>
      <c r="J314" s="229"/>
      <c r="K314" s="229"/>
      <c r="L314" s="229"/>
      <c r="M314" s="229"/>
      <c r="N314" s="229"/>
      <c r="O314" s="229"/>
      <c r="P314" s="229"/>
      <c r="Q314" s="229"/>
      <c r="R314" s="229"/>
      <c r="S314" s="229"/>
      <c r="T314" s="229"/>
      <c r="U314" s="229"/>
      <c r="V314" s="229"/>
      <c r="W314" s="229"/>
      <c r="X314" s="229"/>
      <c r="Y314" s="229"/>
      <c r="Z314" s="229"/>
      <c r="AA314" s="229"/>
    </row>
    <row r="315" customFormat="false" ht="13.5" hidden="false" customHeight="true" outlineLevel="0" collapsed="false">
      <c r="A315" s="229"/>
      <c r="B315" s="229"/>
      <c r="C315" s="229"/>
      <c r="D315" s="229"/>
      <c r="E315" s="229"/>
      <c r="F315" s="229"/>
      <c r="G315" s="229"/>
      <c r="H315" s="229"/>
      <c r="I315" s="229"/>
      <c r="J315" s="229"/>
      <c r="K315" s="229"/>
      <c r="L315" s="229"/>
      <c r="M315" s="229"/>
      <c r="N315" s="229"/>
      <c r="O315" s="229"/>
      <c r="P315" s="229"/>
      <c r="Q315" s="229"/>
      <c r="R315" s="229"/>
      <c r="S315" s="229"/>
      <c r="T315" s="229"/>
      <c r="U315" s="229"/>
      <c r="V315" s="229"/>
      <c r="W315" s="229"/>
      <c r="X315" s="229"/>
      <c r="Y315" s="229"/>
      <c r="Z315" s="229"/>
      <c r="AA315" s="229"/>
    </row>
    <row r="316" customFormat="false" ht="13.5" hidden="false" customHeight="true" outlineLevel="0" collapsed="false">
      <c r="A316" s="229"/>
      <c r="B316" s="229"/>
      <c r="C316" s="229"/>
      <c r="D316" s="229"/>
      <c r="E316" s="229"/>
      <c r="F316" s="229"/>
      <c r="G316" s="229"/>
      <c r="H316" s="229"/>
      <c r="I316" s="229"/>
      <c r="J316" s="229"/>
      <c r="K316" s="229"/>
      <c r="L316" s="229"/>
      <c r="M316" s="229"/>
      <c r="N316" s="229"/>
      <c r="O316" s="229"/>
      <c r="P316" s="229"/>
      <c r="Q316" s="229"/>
      <c r="R316" s="229"/>
      <c r="S316" s="229"/>
      <c r="T316" s="229"/>
      <c r="U316" s="229"/>
      <c r="V316" s="229"/>
      <c r="W316" s="229"/>
      <c r="X316" s="229"/>
      <c r="Y316" s="229"/>
      <c r="Z316" s="229"/>
      <c r="AA316" s="229"/>
    </row>
    <row r="317" customFormat="false" ht="13.5" hidden="false" customHeight="true" outlineLevel="0" collapsed="false">
      <c r="A317" s="229"/>
      <c r="B317" s="229"/>
      <c r="C317" s="229"/>
      <c r="D317" s="229"/>
      <c r="E317" s="229"/>
      <c r="F317" s="229"/>
      <c r="G317" s="229"/>
      <c r="H317" s="229"/>
      <c r="I317" s="229"/>
      <c r="J317" s="229"/>
      <c r="K317" s="229"/>
      <c r="L317" s="229"/>
      <c r="M317" s="229"/>
      <c r="N317" s="229"/>
      <c r="O317" s="229"/>
      <c r="P317" s="229"/>
      <c r="Q317" s="229"/>
      <c r="R317" s="229"/>
      <c r="S317" s="229"/>
      <c r="T317" s="229"/>
      <c r="U317" s="229"/>
      <c r="V317" s="229"/>
      <c r="W317" s="229"/>
      <c r="X317" s="229"/>
      <c r="Y317" s="229"/>
      <c r="Z317" s="229"/>
      <c r="AA317" s="229"/>
    </row>
    <row r="318" customFormat="false" ht="13.5" hidden="false" customHeight="true" outlineLevel="0" collapsed="false">
      <c r="A318" s="229"/>
      <c r="B318" s="229"/>
      <c r="C318" s="229"/>
      <c r="D318" s="229"/>
      <c r="E318" s="229"/>
      <c r="F318" s="229"/>
      <c r="G318" s="229"/>
      <c r="H318" s="229"/>
      <c r="I318" s="229"/>
      <c r="J318" s="229"/>
      <c r="K318" s="229"/>
      <c r="L318" s="229"/>
      <c r="M318" s="229"/>
      <c r="N318" s="229"/>
      <c r="O318" s="229"/>
      <c r="P318" s="229"/>
      <c r="Q318" s="229"/>
      <c r="R318" s="229"/>
      <c r="S318" s="229"/>
      <c r="T318" s="229"/>
      <c r="U318" s="229"/>
      <c r="V318" s="229"/>
      <c r="W318" s="229"/>
      <c r="X318" s="229"/>
      <c r="Y318" s="229"/>
      <c r="Z318" s="229"/>
      <c r="AA318" s="229"/>
    </row>
    <row r="319" customFormat="false" ht="13.5" hidden="false" customHeight="true" outlineLevel="0" collapsed="false">
      <c r="A319" s="229"/>
      <c r="B319" s="229"/>
      <c r="C319" s="229"/>
      <c r="D319" s="229"/>
      <c r="E319" s="229"/>
      <c r="F319" s="229"/>
      <c r="G319" s="229"/>
      <c r="H319" s="229"/>
      <c r="I319" s="229"/>
      <c r="J319" s="229"/>
      <c r="K319" s="229"/>
      <c r="L319" s="229"/>
      <c r="M319" s="229"/>
      <c r="N319" s="229"/>
      <c r="O319" s="229"/>
      <c r="P319" s="229"/>
      <c r="Q319" s="229"/>
      <c r="R319" s="229"/>
      <c r="S319" s="229"/>
      <c r="T319" s="229"/>
      <c r="U319" s="229"/>
      <c r="V319" s="229"/>
      <c r="W319" s="229"/>
      <c r="X319" s="229"/>
      <c r="Y319" s="229"/>
      <c r="Z319" s="229"/>
      <c r="AA319" s="229"/>
    </row>
    <row r="320" customFormat="false" ht="13.5" hidden="false" customHeight="true" outlineLevel="0" collapsed="false">
      <c r="A320" s="229"/>
      <c r="B320" s="229"/>
      <c r="C320" s="229"/>
      <c r="D320" s="229"/>
      <c r="E320" s="229"/>
      <c r="F320" s="229"/>
      <c r="G320" s="229"/>
      <c r="H320" s="229"/>
      <c r="I320" s="229"/>
      <c r="J320" s="229"/>
      <c r="K320" s="229"/>
      <c r="L320" s="229"/>
      <c r="M320" s="229"/>
      <c r="N320" s="229"/>
      <c r="O320" s="229"/>
      <c r="P320" s="229"/>
      <c r="Q320" s="229"/>
      <c r="R320" s="229"/>
      <c r="S320" s="229"/>
      <c r="T320" s="229"/>
      <c r="U320" s="229"/>
      <c r="V320" s="229"/>
      <c r="W320" s="229"/>
      <c r="X320" s="229"/>
      <c r="Y320" s="229"/>
      <c r="Z320" s="229"/>
      <c r="AA320" s="229"/>
    </row>
    <row r="321" customFormat="false" ht="13.5" hidden="false" customHeight="true" outlineLevel="0" collapsed="false">
      <c r="A321" s="229"/>
      <c r="B321" s="229"/>
      <c r="C321" s="229"/>
      <c r="D321" s="229"/>
      <c r="E321" s="229"/>
      <c r="F321" s="229"/>
      <c r="G321" s="229"/>
      <c r="H321" s="229"/>
      <c r="I321" s="229"/>
      <c r="J321" s="229"/>
      <c r="K321" s="229"/>
      <c r="L321" s="229"/>
      <c r="M321" s="229"/>
      <c r="N321" s="229"/>
      <c r="O321" s="229"/>
      <c r="P321" s="229"/>
      <c r="Q321" s="229"/>
      <c r="R321" s="229"/>
      <c r="S321" s="229"/>
      <c r="T321" s="229"/>
      <c r="U321" s="229"/>
      <c r="V321" s="229"/>
      <c r="W321" s="229"/>
      <c r="X321" s="229"/>
      <c r="Y321" s="229"/>
      <c r="Z321" s="229"/>
      <c r="AA321" s="229"/>
    </row>
    <row r="322" customFormat="false" ht="13.5" hidden="false" customHeight="true" outlineLevel="0" collapsed="false">
      <c r="A322" s="229"/>
      <c r="B322" s="229"/>
      <c r="C322" s="229"/>
      <c r="D322" s="229"/>
      <c r="E322" s="229"/>
      <c r="F322" s="229"/>
      <c r="G322" s="229"/>
      <c r="H322" s="229"/>
      <c r="I322" s="229"/>
      <c r="J322" s="229"/>
      <c r="K322" s="229"/>
      <c r="L322" s="229"/>
      <c r="M322" s="229"/>
      <c r="N322" s="229"/>
      <c r="O322" s="229"/>
      <c r="P322" s="229"/>
      <c r="Q322" s="229"/>
      <c r="R322" s="229"/>
      <c r="S322" s="229"/>
      <c r="T322" s="229"/>
      <c r="U322" s="229"/>
      <c r="V322" s="229"/>
      <c r="W322" s="229"/>
      <c r="X322" s="229"/>
      <c r="Y322" s="229"/>
      <c r="Z322" s="229"/>
      <c r="AA322" s="229"/>
    </row>
    <row r="323" customFormat="false" ht="13.5" hidden="false" customHeight="true" outlineLevel="0" collapsed="false">
      <c r="A323" s="229"/>
      <c r="B323" s="229"/>
      <c r="C323" s="229"/>
      <c r="D323" s="229"/>
      <c r="E323" s="229"/>
      <c r="F323" s="229"/>
      <c r="G323" s="229"/>
      <c r="H323" s="229"/>
      <c r="I323" s="229"/>
      <c r="J323" s="229"/>
      <c r="K323" s="229"/>
      <c r="L323" s="229"/>
      <c r="M323" s="229"/>
      <c r="N323" s="229"/>
      <c r="O323" s="229"/>
      <c r="P323" s="229"/>
      <c r="Q323" s="229"/>
      <c r="R323" s="229"/>
      <c r="S323" s="229"/>
      <c r="T323" s="229"/>
      <c r="U323" s="229"/>
      <c r="V323" s="229"/>
      <c r="W323" s="229"/>
      <c r="X323" s="229"/>
      <c r="Y323" s="229"/>
      <c r="Z323" s="229"/>
      <c r="AA323" s="229"/>
    </row>
    <row r="324" customFormat="false" ht="13.5" hidden="false" customHeight="true" outlineLevel="0" collapsed="false">
      <c r="A324" s="229"/>
      <c r="B324" s="229"/>
      <c r="C324" s="229"/>
      <c r="D324" s="229"/>
      <c r="E324" s="229"/>
      <c r="F324" s="229"/>
      <c r="G324" s="229"/>
      <c r="H324" s="229"/>
      <c r="I324" s="229"/>
      <c r="J324" s="229"/>
      <c r="K324" s="229"/>
      <c r="L324" s="229"/>
      <c r="M324" s="229"/>
      <c r="N324" s="229"/>
      <c r="O324" s="229"/>
      <c r="P324" s="229"/>
      <c r="Q324" s="229"/>
      <c r="R324" s="229"/>
      <c r="S324" s="229"/>
      <c r="T324" s="229"/>
      <c r="U324" s="229"/>
      <c r="V324" s="229"/>
      <c r="W324" s="229"/>
      <c r="X324" s="229"/>
      <c r="Y324" s="229"/>
      <c r="Z324" s="229"/>
      <c r="AA324" s="229"/>
    </row>
    <row r="325" customFormat="false" ht="13.5" hidden="false" customHeight="true" outlineLevel="0" collapsed="false">
      <c r="A325" s="229"/>
      <c r="B325" s="229"/>
      <c r="C325" s="229"/>
      <c r="D325" s="229"/>
      <c r="E325" s="229"/>
      <c r="F325" s="229"/>
      <c r="G325" s="229"/>
      <c r="H325" s="229"/>
      <c r="I325" s="229"/>
      <c r="J325" s="229"/>
      <c r="K325" s="229"/>
      <c r="L325" s="229"/>
      <c r="M325" s="229"/>
      <c r="N325" s="229"/>
      <c r="O325" s="229"/>
      <c r="P325" s="229"/>
      <c r="Q325" s="229"/>
      <c r="R325" s="229"/>
      <c r="S325" s="229"/>
      <c r="T325" s="229"/>
      <c r="U325" s="229"/>
      <c r="V325" s="229"/>
      <c r="W325" s="229"/>
      <c r="X325" s="229"/>
      <c r="Y325" s="229"/>
      <c r="Z325" s="229"/>
      <c r="AA325" s="229"/>
    </row>
    <row r="326" customFormat="false" ht="13.5" hidden="false" customHeight="true" outlineLevel="0" collapsed="false">
      <c r="A326" s="229"/>
      <c r="B326" s="229"/>
      <c r="C326" s="229"/>
      <c r="D326" s="229"/>
      <c r="E326" s="229"/>
      <c r="F326" s="229"/>
      <c r="G326" s="229"/>
      <c r="H326" s="229"/>
      <c r="I326" s="229"/>
      <c r="J326" s="229"/>
      <c r="K326" s="229"/>
      <c r="L326" s="229"/>
      <c r="M326" s="229"/>
      <c r="N326" s="229"/>
      <c r="O326" s="229"/>
      <c r="P326" s="229"/>
      <c r="Q326" s="229"/>
      <c r="R326" s="229"/>
      <c r="S326" s="229"/>
      <c r="T326" s="229"/>
      <c r="U326" s="229"/>
      <c r="V326" s="229"/>
      <c r="W326" s="229"/>
      <c r="X326" s="229"/>
      <c r="Y326" s="229"/>
      <c r="Z326" s="229"/>
      <c r="AA326" s="229"/>
    </row>
    <row r="327" customFormat="false" ht="13.5" hidden="false" customHeight="true" outlineLevel="0" collapsed="false">
      <c r="A327" s="229"/>
      <c r="B327" s="229"/>
      <c r="C327" s="229"/>
      <c r="D327" s="229"/>
      <c r="E327" s="229"/>
      <c r="F327" s="229"/>
      <c r="G327" s="229"/>
      <c r="H327" s="229"/>
      <c r="I327" s="229"/>
      <c r="J327" s="229"/>
      <c r="K327" s="229"/>
      <c r="L327" s="229"/>
      <c r="M327" s="229"/>
      <c r="N327" s="229"/>
      <c r="O327" s="229"/>
      <c r="P327" s="229"/>
      <c r="Q327" s="229"/>
      <c r="R327" s="229"/>
      <c r="S327" s="229"/>
      <c r="T327" s="229"/>
      <c r="U327" s="229"/>
      <c r="V327" s="229"/>
      <c r="W327" s="229"/>
      <c r="X327" s="229"/>
      <c r="Y327" s="229"/>
      <c r="Z327" s="229"/>
      <c r="AA327" s="229"/>
    </row>
    <row r="328" customFormat="false" ht="13.5" hidden="false" customHeight="true" outlineLevel="0" collapsed="false">
      <c r="A328" s="229"/>
      <c r="B328" s="229"/>
      <c r="C328" s="229"/>
      <c r="D328" s="229"/>
      <c r="E328" s="229"/>
      <c r="F328" s="229"/>
      <c r="G328" s="229"/>
      <c r="H328" s="229"/>
      <c r="I328" s="229"/>
      <c r="J328" s="229"/>
      <c r="K328" s="229"/>
      <c r="L328" s="229"/>
      <c r="M328" s="229"/>
      <c r="N328" s="229"/>
      <c r="O328" s="229"/>
      <c r="P328" s="229"/>
      <c r="Q328" s="229"/>
      <c r="R328" s="229"/>
      <c r="S328" s="229"/>
      <c r="T328" s="229"/>
      <c r="U328" s="229"/>
      <c r="V328" s="229"/>
      <c r="W328" s="229"/>
      <c r="X328" s="229"/>
      <c r="Y328" s="229"/>
      <c r="Z328" s="229"/>
      <c r="AA328" s="229"/>
    </row>
    <row r="329" customFormat="false" ht="13.5" hidden="false" customHeight="true" outlineLevel="0" collapsed="false">
      <c r="A329" s="229"/>
      <c r="B329" s="229"/>
      <c r="C329" s="229"/>
      <c r="D329" s="229"/>
      <c r="E329" s="229"/>
      <c r="F329" s="229"/>
      <c r="G329" s="229"/>
      <c r="H329" s="229"/>
      <c r="I329" s="229"/>
      <c r="J329" s="229"/>
      <c r="K329" s="229"/>
      <c r="L329" s="229"/>
      <c r="M329" s="229"/>
      <c r="N329" s="229"/>
      <c r="O329" s="229"/>
      <c r="P329" s="229"/>
      <c r="Q329" s="229"/>
      <c r="R329" s="229"/>
      <c r="S329" s="229"/>
      <c r="T329" s="229"/>
      <c r="U329" s="229"/>
      <c r="V329" s="229"/>
      <c r="W329" s="229"/>
      <c r="X329" s="229"/>
      <c r="Y329" s="229"/>
      <c r="Z329" s="229"/>
      <c r="AA329" s="229"/>
    </row>
    <row r="330" customFormat="false" ht="13.5" hidden="false" customHeight="true" outlineLevel="0" collapsed="false">
      <c r="A330" s="229"/>
      <c r="B330" s="229"/>
      <c r="C330" s="229"/>
      <c r="D330" s="229"/>
      <c r="E330" s="229"/>
      <c r="F330" s="229"/>
      <c r="G330" s="229"/>
      <c r="H330" s="229"/>
      <c r="I330" s="229"/>
      <c r="J330" s="229"/>
      <c r="K330" s="229"/>
      <c r="L330" s="229"/>
      <c r="M330" s="229"/>
      <c r="N330" s="229"/>
      <c r="O330" s="229"/>
      <c r="P330" s="229"/>
      <c r="Q330" s="229"/>
      <c r="R330" s="229"/>
      <c r="S330" s="229"/>
      <c r="T330" s="229"/>
      <c r="U330" s="229"/>
      <c r="V330" s="229"/>
      <c r="W330" s="229"/>
      <c r="X330" s="229"/>
      <c r="Y330" s="229"/>
      <c r="Z330" s="229"/>
      <c r="AA330" s="229"/>
    </row>
    <row r="331" customFormat="false" ht="13.5" hidden="false" customHeight="true" outlineLevel="0" collapsed="false">
      <c r="A331" s="229"/>
      <c r="B331" s="229"/>
      <c r="C331" s="229"/>
      <c r="D331" s="229"/>
      <c r="E331" s="229"/>
      <c r="F331" s="229"/>
      <c r="G331" s="229"/>
      <c r="H331" s="229"/>
      <c r="I331" s="229"/>
      <c r="J331" s="229"/>
      <c r="K331" s="229"/>
      <c r="L331" s="229"/>
      <c r="M331" s="229"/>
      <c r="N331" s="229"/>
      <c r="O331" s="229"/>
      <c r="P331" s="229"/>
      <c r="Q331" s="229"/>
      <c r="R331" s="229"/>
      <c r="S331" s="229"/>
      <c r="T331" s="229"/>
      <c r="U331" s="229"/>
      <c r="V331" s="229"/>
      <c r="W331" s="229"/>
      <c r="X331" s="229"/>
      <c r="Y331" s="229"/>
      <c r="Z331" s="229"/>
      <c r="AA331" s="229"/>
    </row>
    <row r="332" customFormat="false" ht="13.5" hidden="false" customHeight="true" outlineLevel="0" collapsed="false">
      <c r="A332" s="229"/>
      <c r="B332" s="229"/>
      <c r="C332" s="229"/>
      <c r="D332" s="229"/>
      <c r="E332" s="229"/>
      <c r="F332" s="229"/>
      <c r="G332" s="229"/>
      <c r="H332" s="229"/>
      <c r="I332" s="229"/>
      <c r="J332" s="229"/>
      <c r="K332" s="229"/>
      <c r="L332" s="229"/>
      <c r="M332" s="229"/>
      <c r="N332" s="229"/>
      <c r="O332" s="229"/>
      <c r="P332" s="229"/>
      <c r="Q332" s="229"/>
      <c r="R332" s="229"/>
      <c r="S332" s="229"/>
      <c r="T332" s="229"/>
      <c r="U332" s="229"/>
      <c r="V332" s="229"/>
      <c r="W332" s="229"/>
      <c r="X332" s="229"/>
      <c r="Y332" s="229"/>
      <c r="Z332" s="229"/>
      <c r="AA332" s="229"/>
    </row>
    <row r="333" customFormat="false" ht="13.5" hidden="false" customHeight="true" outlineLevel="0" collapsed="false">
      <c r="A333" s="229"/>
      <c r="B333" s="229"/>
      <c r="C333" s="229"/>
      <c r="D333" s="229"/>
      <c r="E333" s="229"/>
      <c r="F333" s="229"/>
      <c r="G333" s="229"/>
      <c r="H333" s="229"/>
      <c r="I333" s="229"/>
      <c r="J333" s="229"/>
      <c r="K333" s="229"/>
      <c r="L333" s="229"/>
      <c r="M333" s="229"/>
      <c r="N333" s="229"/>
      <c r="O333" s="229"/>
      <c r="P333" s="229"/>
      <c r="Q333" s="229"/>
      <c r="R333" s="229"/>
      <c r="S333" s="229"/>
      <c r="T333" s="229"/>
      <c r="U333" s="229"/>
      <c r="V333" s="229"/>
      <c r="W333" s="229"/>
      <c r="X333" s="229"/>
      <c r="Y333" s="229"/>
      <c r="Z333" s="229"/>
      <c r="AA333" s="229"/>
    </row>
    <row r="334" customFormat="false" ht="13.5" hidden="false" customHeight="true" outlineLevel="0" collapsed="false">
      <c r="A334" s="229"/>
      <c r="B334" s="229"/>
      <c r="C334" s="229"/>
      <c r="D334" s="229"/>
      <c r="E334" s="229"/>
      <c r="F334" s="229"/>
      <c r="G334" s="229"/>
      <c r="H334" s="229"/>
      <c r="I334" s="229"/>
      <c r="J334" s="229"/>
      <c r="K334" s="229"/>
      <c r="L334" s="229"/>
      <c r="M334" s="229"/>
      <c r="N334" s="229"/>
      <c r="O334" s="229"/>
      <c r="P334" s="229"/>
      <c r="Q334" s="229"/>
      <c r="R334" s="229"/>
      <c r="S334" s="229"/>
      <c r="T334" s="229"/>
      <c r="U334" s="229"/>
      <c r="V334" s="229"/>
      <c r="W334" s="229"/>
      <c r="X334" s="229"/>
      <c r="Y334" s="229"/>
      <c r="Z334" s="229"/>
      <c r="AA334" s="229"/>
    </row>
    <row r="335" customFormat="false" ht="13.5" hidden="false" customHeight="true" outlineLevel="0" collapsed="false">
      <c r="A335" s="229"/>
      <c r="B335" s="229"/>
      <c r="C335" s="229"/>
      <c r="D335" s="229"/>
      <c r="E335" s="229"/>
      <c r="F335" s="229"/>
      <c r="G335" s="229"/>
      <c r="H335" s="229"/>
      <c r="I335" s="229"/>
      <c r="J335" s="229"/>
      <c r="K335" s="229"/>
      <c r="L335" s="229"/>
      <c r="M335" s="229"/>
      <c r="N335" s="229"/>
      <c r="O335" s="229"/>
      <c r="P335" s="229"/>
      <c r="Q335" s="229"/>
      <c r="R335" s="229"/>
      <c r="S335" s="229"/>
      <c r="T335" s="229"/>
      <c r="U335" s="229"/>
      <c r="V335" s="229"/>
      <c r="W335" s="229"/>
      <c r="X335" s="229"/>
      <c r="Y335" s="229"/>
      <c r="Z335" s="229"/>
      <c r="AA335" s="229"/>
    </row>
    <row r="336" customFormat="false" ht="13.5" hidden="false" customHeight="true" outlineLevel="0" collapsed="false">
      <c r="A336" s="229"/>
      <c r="B336" s="229"/>
      <c r="C336" s="229"/>
      <c r="D336" s="229"/>
      <c r="E336" s="229"/>
      <c r="F336" s="229"/>
      <c r="G336" s="229"/>
      <c r="H336" s="229"/>
      <c r="I336" s="229"/>
      <c r="J336" s="229"/>
      <c r="K336" s="229"/>
      <c r="L336" s="229"/>
      <c r="M336" s="229"/>
      <c r="N336" s="229"/>
      <c r="O336" s="229"/>
      <c r="P336" s="229"/>
      <c r="Q336" s="229"/>
      <c r="R336" s="229"/>
      <c r="S336" s="229"/>
      <c r="T336" s="229"/>
      <c r="U336" s="229"/>
      <c r="V336" s="229"/>
      <c r="W336" s="229"/>
      <c r="X336" s="229"/>
      <c r="Y336" s="229"/>
      <c r="Z336" s="229"/>
      <c r="AA336" s="229"/>
    </row>
    <row r="337" customFormat="false" ht="13.5" hidden="false" customHeight="true" outlineLevel="0" collapsed="false">
      <c r="A337" s="229"/>
      <c r="B337" s="229"/>
      <c r="C337" s="229"/>
      <c r="D337" s="229"/>
      <c r="E337" s="229"/>
      <c r="F337" s="229"/>
      <c r="G337" s="229"/>
      <c r="H337" s="229"/>
      <c r="I337" s="229"/>
      <c r="J337" s="229"/>
      <c r="K337" s="229"/>
      <c r="L337" s="229"/>
      <c r="M337" s="229"/>
      <c r="N337" s="229"/>
      <c r="O337" s="229"/>
      <c r="P337" s="229"/>
      <c r="Q337" s="229"/>
      <c r="R337" s="229"/>
      <c r="S337" s="229"/>
      <c r="T337" s="229"/>
      <c r="U337" s="229"/>
      <c r="V337" s="229"/>
      <c r="W337" s="229"/>
      <c r="X337" s="229"/>
      <c r="Y337" s="229"/>
      <c r="Z337" s="229"/>
      <c r="AA337" s="229"/>
    </row>
    <row r="338" customFormat="false" ht="13.5" hidden="false" customHeight="true" outlineLevel="0" collapsed="false">
      <c r="A338" s="229"/>
      <c r="B338" s="229"/>
      <c r="C338" s="229"/>
      <c r="D338" s="229"/>
      <c r="E338" s="229"/>
      <c r="F338" s="229"/>
      <c r="G338" s="229"/>
      <c r="H338" s="229"/>
      <c r="I338" s="229"/>
      <c r="J338" s="229"/>
      <c r="K338" s="229"/>
      <c r="L338" s="229"/>
      <c r="M338" s="229"/>
      <c r="N338" s="229"/>
      <c r="O338" s="229"/>
      <c r="P338" s="229"/>
      <c r="Q338" s="229"/>
      <c r="R338" s="229"/>
      <c r="S338" s="229"/>
      <c r="T338" s="229"/>
      <c r="U338" s="229"/>
      <c r="V338" s="229"/>
      <c r="W338" s="229"/>
      <c r="X338" s="229"/>
      <c r="Y338" s="229"/>
      <c r="Z338" s="229"/>
      <c r="AA338" s="229"/>
    </row>
    <row r="339" customFormat="false" ht="13.5" hidden="false" customHeight="true" outlineLevel="0" collapsed="false">
      <c r="A339" s="229"/>
      <c r="B339" s="229"/>
      <c r="C339" s="229"/>
      <c r="D339" s="229"/>
      <c r="E339" s="229"/>
      <c r="F339" s="229"/>
      <c r="G339" s="229"/>
      <c r="H339" s="229"/>
      <c r="I339" s="229"/>
      <c r="J339" s="229"/>
      <c r="K339" s="229"/>
      <c r="L339" s="229"/>
      <c r="M339" s="229"/>
      <c r="N339" s="229"/>
      <c r="O339" s="229"/>
      <c r="P339" s="229"/>
      <c r="Q339" s="229"/>
      <c r="R339" s="229"/>
      <c r="S339" s="229"/>
      <c r="T339" s="229"/>
      <c r="U339" s="229"/>
      <c r="V339" s="229"/>
      <c r="W339" s="229"/>
      <c r="X339" s="229"/>
      <c r="Y339" s="229"/>
      <c r="Z339" s="229"/>
      <c r="AA339" s="229"/>
    </row>
    <row r="340" customFormat="false" ht="13.5" hidden="false" customHeight="true" outlineLevel="0" collapsed="false">
      <c r="A340" s="229"/>
      <c r="B340" s="229"/>
      <c r="C340" s="229"/>
      <c r="D340" s="229"/>
      <c r="E340" s="229"/>
      <c r="F340" s="229"/>
      <c r="G340" s="229"/>
      <c r="H340" s="229"/>
      <c r="I340" s="229"/>
      <c r="J340" s="229"/>
      <c r="K340" s="229"/>
      <c r="L340" s="229"/>
      <c r="M340" s="229"/>
      <c r="N340" s="229"/>
      <c r="O340" s="229"/>
      <c r="P340" s="229"/>
      <c r="Q340" s="229"/>
      <c r="R340" s="229"/>
      <c r="S340" s="229"/>
      <c r="T340" s="229"/>
      <c r="U340" s="229"/>
      <c r="V340" s="229"/>
      <c r="W340" s="229"/>
      <c r="X340" s="229"/>
      <c r="Y340" s="229"/>
      <c r="Z340" s="229"/>
      <c r="AA340" s="229"/>
    </row>
    <row r="341" customFormat="false" ht="13.5" hidden="false" customHeight="true" outlineLevel="0" collapsed="false">
      <c r="A341" s="229"/>
      <c r="B341" s="229"/>
      <c r="C341" s="229"/>
      <c r="D341" s="229"/>
      <c r="E341" s="229"/>
      <c r="F341" s="229"/>
      <c r="G341" s="229"/>
      <c r="H341" s="229"/>
      <c r="I341" s="229"/>
      <c r="J341" s="229"/>
      <c r="K341" s="229"/>
      <c r="L341" s="229"/>
      <c r="M341" s="229"/>
      <c r="N341" s="229"/>
      <c r="O341" s="229"/>
      <c r="P341" s="229"/>
      <c r="Q341" s="229"/>
      <c r="R341" s="229"/>
      <c r="S341" s="229"/>
      <c r="T341" s="229"/>
      <c r="U341" s="229"/>
      <c r="V341" s="229"/>
      <c r="W341" s="229"/>
      <c r="X341" s="229"/>
      <c r="Y341" s="229"/>
      <c r="Z341" s="229"/>
      <c r="AA341" s="229"/>
    </row>
    <row r="342" customFormat="false" ht="13.5" hidden="false" customHeight="true" outlineLevel="0" collapsed="false">
      <c r="A342" s="229"/>
      <c r="B342" s="229"/>
      <c r="C342" s="229"/>
      <c r="D342" s="229"/>
      <c r="E342" s="229"/>
      <c r="F342" s="229"/>
      <c r="G342" s="229"/>
      <c r="H342" s="229"/>
      <c r="I342" s="229"/>
      <c r="J342" s="229"/>
      <c r="K342" s="229"/>
      <c r="L342" s="229"/>
      <c r="M342" s="229"/>
      <c r="N342" s="229"/>
      <c r="O342" s="229"/>
      <c r="P342" s="229"/>
      <c r="Q342" s="229"/>
      <c r="R342" s="229"/>
      <c r="S342" s="229"/>
      <c r="T342" s="229"/>
      <c r="U342" s="229"/>
      <c r="V342" s="229"/>
      <c r="W342" s="229"/>
      <c r="X342" s="229"/>
      <c r="Y342" s="229"/>
      <c r="Z342" s="229"/>
      <c r="AA342" s="229"/>
    </row>
    <row r="343" customFormat="false" ht="13.5" hidden="false" customHeight="true" outlineLevel="0" collapsed="false">
      <c r="A343" s="229"/>
      <c r="B343" s="229"/>
      <c r="C343" s="229"/>
      <c r="D343" s="229"/>
      <c r="E343" s="229"/>
      <c r="F343" s="229"/>
      <c r="G343" s="229"/>
      <c r="H343" s="229"/>
      <c r="I343" s="229"/>
      <c r="J343" s="229"/>
      <c r="K343" s="229"/>
      <c r="L343" s="229"/>
      <c r="M343" s="229"/>
      <c r="N343" s="229"/>
      <c r="O343" s="229"/>
      <c r="P343" s="229"/>
      <c r="Q343" s="229"/>
      <c r="R343" s="229"/>
      <c r="S343" s="229"/>
      <c r="T343" s="229"/>
      <c r="U343" s="229"/>
      <c r="V343" s="229"/>
      <c r="W343" s="229"/>
      <c r="X343" s="229"/>
      <c r="Y343" s="229"/>
      <c r="Z343" s="229"/>
      <c r="AA343" s="229"/>
    </row>
    <row r="344" customFormat="false" ht="13.5" hidden="false" customHeight="true" outlineLevel="0" collapsed="false">
      <c r="A344" s="229"/>
      <c r="B344" s="229"/>
      <c r="C344" s="229"/>
      <c r="D344" s="229"/>
      <c r="E344" s="229"/>
      <c r="F344" s="229"/>
      <c r="G344" s="229"/>
      <c r="H344" s="229"/>
      <c r="I344" s="229"/>
      <c r="J344" s="229"/>
      <c r="K344" s="229"/>
      <c r="L344" s="229"/>
      <c r="M344" s="229"/>
      <c r="N344" s="229"/>
      <c r="O344" s="229"/>
      <c r="P344" s="229"/>
      <c r="Q344" s="229"/>
      <c r="R344" s="229"/>
      <c r="S344" s="229"/>
      <c r="T344" s="229"/>
      <c r="U344" s="229"/>
      <c r="V344" s="229"/>
      <c r="W344" s="229"/>
      <c r="X344" s="229"/>
      <c r="Y344" s="229"/>
      <c r="Z344" s="229"/>
      <c r="AA344" s="229"/>
    </row>
    <row r="345" customFormat="false" ht="13.5" hidden="false" customHeight="true" outlineLevel="0" collapsed="false">
      <c r="A345" s="229"/>
      <c r="B345" s="229"/>
      <c r="C345" s="229"/>
      <c r="D345" s="229"/>
      <c r="E345" s="229"/>
      <c r="F345" s="229"/>
      <c r="G345" s="229"/>
      <c r="H345" s="229"/>
      <c r="I345" s="229"/>
      <c r="J345" s="229"/>
      <c r="K345" s="229"/>
      <c r="L345" s="229"/>
      <c r="M345" s="229"/>
      <c r="N345" s="229"/>
      <c r="O345" s="229"/>
      <c r="P345" s="229"/>
      <c r="Q345" s="229"/>
      <c r="R345" s="229"/>
      <c r="S345" s="229"/>
      <c r="T345" s="229"/>
      <c r="U345" s="229"/>
      <c r="V345" s="229"/>
      <c r="W345" s="229"/>
      <c r="X345" s="229"/>
      <c r="Y345" s="229"/>
      <c r="Z345" s="229"/>
      <c r="AA345" s="229"/>
    </row>
    <row r="346" customFormat="false" ht="13.5" hidden="false" customHeight="true" outlineLevel="0" collapsed="false">
      <c r="A346" s="229"/>
      <c r="B346" s="229"/>
      <c r="C346" s="229"/>
      <c r="D346" s="229"/>
      <c r="E346" s="229"/>
      <c r="F346" s="229"/>
      <c r="G346" s="229"/>
      <c r="H346" s="229"/>
      <c r="I346" s="229"/>
      <c r="J346" s="229"/>
      <c r="K346" s="229"/>
      <c r="L346" s="229"/>
      <c r="M346" s="229"/>
      <c r="N346" s="229"/>
      <c r="O346" s="229"/>
      <c r="P346" s="229"/>
      <c r="Q346" s="229"/>
      <c r="R346" s="229"/>
      <c r="S346" s="229"/>
      <c r="T346" s="229"/>
      <c r="U346" s="229"/>
      <c r="V346" s="229"/>
      <c r="W346" s="229"/>
      <c r="X346" s="229"/>
      <c r="Y346" s="229"/>
      <c r="Z346" s="229"/>
      <c r="AA346" s="229"/>
    </row>
    <row r="347" customFormat="false" ht="13.5" hidden="false" customHeight="true" outlineLevel="0" collapsed="false">
      <c r="A347" s="229"/>
      <c r="B347" s="229"/>
      <c r="C347" s="229"/>
      <c r="D347" s="229"/>
      <c r="E347" s="229"/>
      <c r="F347" s="229"/>
      <c r="G347" s="229"/>
      <c r="H347" s="229"/>
      <c r="I347" s="229"/>
      <c r="J347" s="229"/>
      <c r="K347" s="229"/>
      <c r="L347" s="229"/>
      <c r="M347" s="229"/>
      <c r="N347" s="229"/>
      <c r="O347" s="229"/>
      <c r="P347" s="229"/>
      <c r="Q347" s="229"/>
      <c r="R347" s="229"/>
      <c r="S347" s="229"/>
      <c r="T347" s="229"/>
      <c r="U347" s="229"/>
      <c r="V347" s="229"/>
      <c r="W347" s="229"/>
      <c r="X347" s="229"/>
      <c r="Y347" s="229"/>
      <c r="Z347" s="229"/>
      <c r="AA347" s="229"/>
    </row>
    <row r="348" customFormat="false" ht="13.5" hidden="false" customHeight="true" outlineLevel="0" collapsed="false">
      <c r="A348" s="229"/>
      <c r="B348" s="229"/>
      <c r="C348" s="229"/>
      <c r="D348" s="229"/>
      <c r="E348" s="229"/>
      <c r="F348" s="229"/>
      <c r="G348" s="229"/>
      <c r="H348" s="229"/>
      <c r="I348" s="229"/>
      <c r="J348" s="229"/>
      <c r="K348" s="229"/>
      <c r="L348" s="229"/>
      <c r="M348" s="229"/>
      <c r="N348" s="229"/>
      <c r="O348" s="229"/>
      <c r="P348" s="229"/>
      <c r="Q348" s="229"/>
      <c r="R348" s="229"/>
      <c r="S348" s="229"/>
      <c r="T348" s="229"/>
      <c r="U348" s="229"/>
      <c r="V348" s="229"/>
      <c r="W348" s="229"/>
      <c r="X348" s="229"/>
      <c r="Y348" s="229"/>
      <c r="Z348" s="229"/>
      <c r="AA348" s="229"/>
    </row>
    <row r="349" customFormat="false" ht="13.5" hidden="false" customHeight="true" outlineLevel="0" collapsed="false">
      <c r="A349" s="229"/>
      <c r="B349" s="229"/>
      <c r="C349" s="229"/>
      <c r="D349" s="229"/>
      <c r="E349" s="229"/>
      <c r="F349" s="229"/>
      <c r="G349" s="229"/>
      <c r="H349" s="229"/>
      <c r="I349" s="229"/>
      <c r="J349" s="229"/>
      <c r="K349" s="229"/>
      <c r="L349" s="229"/>
      <c r="M349" s="229"/>
      <c r="N349" s="229"/>
      <c r="O349" s="229"/>
      <c r="P349" s="229"/>
      <c r="Q349" s="229"/>
      <c r="R349" s="229"/>
      <c r="S349" s="229"/>
      <c r="T349" s="229"/>
      <c r="U349" s="229"/>
      <c r="V349" s="229"/>
      <c r="W349" s="229"/>
      <c r="X349" s="229"/>
      <c r="Y349" s="229"/>
      <c r="Z349" s="229"/>
      <c r="AA349" s="229"/>
    </row>
    <row r="350" customFormat="false" ht="13.5" hidden="false" customHeight="true" outlineLevel="0" collapsed="false">
      <c r="A350" s="229"/>
      <c r="B350" s="229"/>
      <c r="C350" s="229"/>
      <c r="D350" s="229"/>
      <c r="E350" s="229"/>
      <c r="F350" s="229"/>
      <c r="G350" s="229"/>
      <c r="H350" s="229"/>
      <c r="I350" s="229"/>
      <c r="J350" s="229"/>
      <c r="K350" s="229"/>
      <c r="L350" s="229"/>
      <c r="M350" s="229"/>
      <c r="N350" s="229"/>
      <c r="O350" s="229"/>
      <c r="P350" s="229"/>
      <c r="Q350" s="229"/>
      <c r="R350" s="229"/>
      <c r="S350" s="229"/>
      <c r="T350" s="229"/>
      <c r="U350" s="229"/>
      <c r="V350" s="229"/>
      <c r="W350" s="229"/>
      <c r="X350" s="229"/>
      <c r="Y350" s="229"/>
      <c r="Z350" s="229"/>
      <c r="AA350" s="229"/>
    </row>
    <row r="351" customFormat="false" ht="13.5" hidden="false" customHeight="true" outlineLevel="0" collapsed="false">
      <c r="A351" s="229"/>
      <c r="B351" s="229"/>
      <c r="C351" s="229"/>
      <c r="D351" s="229"/>
      <c r="E351" s="229"/>
      <c r="F351" s="229"/>
      <c r="G351" s="229"/>
      <c r="H351" s="229"/>
      <c r="I351" s="229"/>
      <c r="J351" s="229"/>
      <c r="K351" s="229"/>
      <c r="L351" s="229"/>
      <c r="M351" s="229"/>
      <c r="N351" s="229"/>
      <c r="O351" s="229"/>
      <c r="P351" s="229"/>
      <c r="Q351" s="229"/>
      <c r="R351" s="229"/>
      <c r="S351" s="229"/>
      <c r="T351" s="229"/>
      <c r="U351" s="229"/>
      <c r="V351" s="229"/>
      <c r="W351" s="229"/>
      <c r="X351" s="229"/>
      <c r="Y351" s="229"/>
      <c r="Z351" s="229"/>
      <c r="AA351" s="229"/>
    </row>
    <row r="352" customFormat="false" ht="13.5" hidden="false" customHeight="true" outlineLevel="0" collapsed="false">
      <c r="A352" s="229"/>
      <c r="B352" s="229"/>
      <c r="C352" s="229"/>
      <c r="D352" s="229"/>
      <c r="E352" s="229"/>
      <c r="F352" s="229"/>
      <c r="G352" s="229"/>
      <c r="H352" s="229"/>
      <c r="I352" s="229"/>
      <c r="J352" s="229"/>
      <c r="K352" s="229"/>
      <c r="L352" s="229"/>
      <c r="M352" s="229"/>
      <c r="N352" s="229"/>
      <c r="O352" s="229"/>
      <c r="P352" s="229"/>
      <c r="Q352" s="229"/>
      <c r="R352" s="229"/>
      <c r="S352" s="229"/>
      <c r="T352" s="229"/>
      <c r="U352" s="229"/>
      <c r="V352" s="229"/>
      <c r="W352" s="229"/>
      <c r="X352" s="229"/>
      <c r="Y352" s="229"/>
      <c r="Z352" s="229"/>
      <c r="AA352" s="229"/>
    </row>
    <row r="353" customFormat="false" ht="13.5" hidden="false" customHeight="true" outlineLevel="0" collapsed="false">
      <c r="A353" s="229"/>
      <c r="B353" s="229"/>
      <c r="C353" s="229"/>
      <c r="D353" s="229"/>
      <c r="E353" s="229"/>
      <c r="F353" s="229"/>
      <c r="G353" s="229"/>
      <c r="H353" s="229"/>
      <c r="I353" s="229"/>
      <c r="J353" s="229"/>
      <c r="K353" s="229"/>
      <c r="L353" s="229"/>
      <c r="M353" s="229"/>
      <c r="N353" s="229"/>
      <c r="O353" s="229"/>
      <c r="P353" s="229"/>
      <c r="Q353" s="229"/>
      <c r="R353" s="229"/>
      <c r="S353" s="229"/>
      <c r="T353" s="229"/>
      <c r="U353" s="229"/>
      <c r="V353" s="229"/>
      <c r="W353" s="229"/>
      <c r="X353" s="229"/>
      <c r="Y353" s="229"/>
      <c r="Z353" s="229"/>
      <c r="AA353" s="229"/>
    </row>
    <row r="354" customFormat="false" ht="13.5" hidden="false" customHeight="true" outlineLevel="0" collapsed="false">
      <c r="A354" s="229"/>
      <c r="B354" s="229"/>
      <c r="C354" s="229"/>
      <c r="D354" s="229"/>
      <c r="E354" s="229"/>
      <c r="F354" s="229"/>
      <c r="G354" s="229"/>
      <c r="H354" s="229"/>
      <c r="I354" s="229"/>
      <c r="J354" s="229"/>
      <c r="K354" s="229"/>
      <c r="L354" s="229"/>
      <c r="M354" s="229"/>
      <c r="N354" s="229"/>
      <c r="O354" s="229"/>
      <c r="P354" s="229"/>
      <c r="Q354" s="229"/>
      <c r="R354" s="229"/>
      <c r="S354" s="229"/>
      <c r="T354" s="229"/>
      <c r="U354" s="229"/>
      <c r="V354" s="229"/>
      <c r="W354" s="229"/>
      <c r="X354" s="229"/>
      <c r="Y354" s="229"/>
      <c r="Z354" s="229"/>
      <c r="AA354" s="229"/>
    </row>
    <row r="355" customFormat="false" ht="13.5" hidden="false" customHeight="true" outlineLevel="0" collapsed="false">
      <c r="A355" s="229"/>
      <c r="B355" s="229"/>
      <c r="C355" s="229"/>
      <c r="D355" s="229"/>
      <c r="E355" s="229"/>
      <c r="F355" s="229"/>
      <c r="G355" s="229"/>
      <c r="H355" s="229"/>
      <c r="I355" s="229"/>
      <c r="J355" s="229"/>
      <c r="K355" s="229"/>
      <c r="L355" s="229"/>
      <c r="M355" s="229"/>
      <c r="N355" s="229"/>
      <c r="O355" s="229"/>
      <c r="P355" s="229"/>
      <c r="Q355" s="229"/>
      <c r="R355" s="229"/>
      <c r="S355" s="229"/>
      <c r="T355" s="229"/>
      <c r="U355" s="229"/>
      <c r="V355" s="229"/>
      <c r="W355" s="229"/>
      <c r="X355" s="229"/>
      <c r="Y355" s="229"/>
      <c r="Z355" s="229"/>
      <c r="AA355" s="229"/>
    </row>
    <row r="356" customFormat="false" ht="13.5" hidden="false" customHeight="true" outlineLevel="0" collapsed="false">
      <c r="A356" s="229"/>
      <c r="B356" s="229"/>
      <c r="C356" s="229"/>
      <c r="D356" s="229"/>
      <c r="E356" s="229"/>
      <c r="F356" s="229"/>
      <c r="G356" s="229"/>
      <c r="H356" s="229"/>
      <c r="I356" s="229"/>
      <c r="J356" s="229"/>
      <c r="K356" s="229"/>
      <c r="L356" s="229"/>
      <c r="M356" s="229"/>
      <c r="N356" s="229"/>
      <c r="O356" s="229"/>
      <c r="P356" s="229"/>
      <c r="Q356" s="229"/>
      <c r="R356" s="229"/>
      <c r="S356" s="229"/>
      <c r="T356" s="229"/>
      <c r="U356" s="229"/>
      <c r="V356" s="229"/>
      <c r="W356" s="229"/>
      <c r="X356" s="229"/>
      <c r="Y356" s="229"/>
      <c r="Z356" s="229"/>
      <c r="AA356" s="229"/>
    </row>
    <row r="357" customFormat="false" ht="13.5" hidden="false" customHeight="true" outlineLevel="0" collapsed="false">
      <c r="A357" s="229"/>
      <c r="B357" s="229"/>
      <c r="C357" s="229"/>
      <c r="D357" s="229"/>
      <c r="E357" s="229"/>
      <c r="F357" s="229"/>
      <c r="G357" s="229"/>
      <c r="H357" s="229"/>
      <c r="I357" s="229"/>
      <c r="J357" s="229"/>
      <c r="K357" s="229"/>
      <c r="L357" s="229"/>
      <c r="M357" s="229"/>
      <c r="N357" s="229"/>
      <c r="O357" s="229"/>
      <c r="P357" s="229"/>
      <c r="Q357" s="229"/>
      <c r="R357" s="229"/>
      <c r="S357" s="229"/>
      <c r="T357" s="229"/>
      <c r="U357" s="229"/>
      <c r="V357" s="229"/>
      <c r="W357" s="229"/>
      <c r="X357" s="229"/>
      <c r="Y357" s="229"/>
      <c r="Z357" s="229"/>
      <c r="AA357" s="229"/>
    </row>
    <row r="358" customFormat="false" ht="13.5" hidden="false" customHeight="true" outlineLevel="0" collapsed="false">
      <c r="A358" s="229"/>
      <c r="B358" s="229"/>
      <c r="C358" s="229"/>
      <c r="D358" s="229"/>
      <c r="E358" s="229"/>
      <c r="F358" s="229"/>
      <c r="G358" s="229"/>
      <c r="H358" s="229"/>
      <c r="I358" s="229"/>
      <c r="J358" s="229"/>
      <c r="K358" s="229"/>
      <c r="L358" s="229"/>
      <c r="M358" s="229"/>
      <c r="N358" s="229"/>
      <c r="O358" s="229"/>
      <c r="P358" s="229"/>
      <c r="Q358" s="229"/>
      <c r="R358" s="229"/>
      <c r="S358" s="229"/>
      <c r="T358" s="229"/>
      <c r="U358" s="229"/>
      <c r="V358" s="229"/>
      <c r="W358" s="229"/>
      <c r="X358" s="229"/>
      <c r="Y358" s="229"/>
      <c r="Z358" s="229"/>
      <c r="AA358" s="229"/>
    </row>
    <row r="359" customFormat="false" ht="13.5" hidden="false" customHeight="true" outlineLevel="0" collapsed="false">
      <c r="A359" s="229"/>
      <c r="B359" s="229"/>
      <c r="C359" s="229"/>
      <c r="D359" s="229"/>
      <c r="E359" s="229"/>
      <c r="F359" s="229"/>
      <c r="G359" s="229"/>
      <c r="H359" s="229"/>
      <c r="I359" s="229"/>
      <c r="J359" s="229"/>
      <c r="K359" s="229"/>
      <c r="L359" s="229"/>
      <c r="M359" s="229"/>
      <c r="N359" s="229"/>
      <c r="O359" s="229"/>
      <c r="P359" s="229"/>
      <c r="Q359" s="229"/>
      <c r="R359" s="229"/>
      <c r="S359" s="229"/>
      <c r="T359" s="229"/>
      <c r="U359" s="229"/>
      <c r="V359" s="229"/>
      <c r="W359" s="229"/>
      <c r="X359" s="229"/>
      <c r="Y359" s="229"/>
      <c r="Z359" s="229"/>
      <c r="AA359" s="229"/>
    </row>
    <row r="360" customFormat="false" ht="13.5" hidden="false" customHeight="true" outlineLevel="0" collapsed="false">
      <c r="A360" s="229"/>
      <c r="B360" s="229"/>
      <c r="C360" s="229"/>
      <c r="D360" s="229"/>
      <c r="E360" s="229"/>
      <c r="F360" s="229"/>
      <c r="G360" s="229"/>
      <c r="H360" s="229"/>
      <c r="I360" s="229"/>
      <c r="J360" s="229"/>
      <c r="K360" s="229"/>
      <c r="L360" s="229"/>
      <c r="M360" s="229"/>
      <c r="N360" s="229"/>
      <c r="O360" s="229"/>
      <c r="P360" s="229"/>
      <c r="Q360" s="229"/>
      <c r="R360" s="229"/>
      <c r="S360" s="229"/>
      <c r="T360" s="229"/>
      <c r="U360" s="229"/>
      <c r="V360" s="229"/>
      <c r="W360" s="229"/>
      <c r="X360" s="229"/>
      <c r="Y360" s="229"/>
      <c r="Z360" s="229"/>
      <c r="AA360" s="229"/>
    </row>
    <row r="361" customFormat="false" ht="13.5" hidden="false" customHeight="true" outlineLevel="0" collapsed="false">
      <c r="A361" s="229"/>
      <c r="B361" s="229"/>
      <c r="C361" s="229"/>
      <c r="D361" s="229"/>
      <c r="E361" s="229"/>
      <c r="F361" s="229"/>
      <c r="G361" s="229"/>
      <c r="H361" s="229"/>
      <c r="I361" s="229"/>
      <c r="J361" s="229"/>
      <c r="K361" s="229"/>
      <c r="L361" s="229"/>
      <c r="M361" s="229"/>
      <c r="N361" s="229"/>
      <c r="O361" s="229"/>
      <c r="P361" s="229"/>
      <c r="Q361" s="229"/>
      <c r="R361" s="229"/>
      <c r="S361" s="229"/>
      <c r="T361" s="229"/>
      <c r="U361" s="229"/>
      <c r="V361" s="229"/>
      <c r="W361" s="229"/>
      <c r="X361" s="229"/>
      <c r="Y361" s="229"/>
      <c r="Z361" s="229"/>
      <c r="AA361" s="229"/>
    </row>
    <row r="362" customFormat="false" ht="13.5" hidden="false" customHeight="true" outlineLevel="0" collapsed="false">
      <c r="A362" s="229"/>
      <c r="B362" s="229"/>
      <c r="C362" s="229"/>
      <c r="D362" s="229"/>
      <c r="E362" s="229"/>
      <c r="F362" s="229"/>
      <c r="G362" s="229"/>
      <c r="H362" s="229"/>
      <c r="I362" s="229"/>
      <c r="J362" s="229"/>
      <c r="K362" s="229"/>
      <c r="L362" s="229"/>
      <c r="M362" s="229"/>
      <c r="N362" s="229"/>
      <c r="O362" s="229"/>
      <c r="P362" s="229"/>
      <c r="Q362" s="229"/>
      <c r="R362" s="229"/>
      <c r="S362" s="229"/>
      <c r="T362" s="229"/>
      <c r="U362" s="229"/>
      <c r="V362" s="229"/>
      <c r="W362" s="229"/>
      <c r="X362" s="229"/>
      <c r="Y362" s="229"/>
      <c r="Z362" s="229"/>
      <c r="AA362" s="229"/>
    </row>
    <row r="363" customFormat="false" ht="13.5" hidden="false" customHeight="true" outlineLevel="0" collapsed="false">
      <c r="A363" s="229"/>
      <c r="B363" s="229"/>
      <c r="C363" s="229"/>
      <c r="D363" s="229"/>
      <c r="E363" s="229"/>
      <c r="F363" s="229"/>
      <c r="G363" s="229"/>
      <c r="H363" s="229"/>
      <c r="I363" s="229"/>
      <c r="J363" s="229"/>
      <c r="K363" s="229"/>
      <c r="L363" s="229"/>
      <c r="M363" s="229"/>
      <c r="N363" s="229"/>
      <c r="O363" s="229"/>
      <c r="P363" s="229"/>
      <c r="Q363" s="229"/>
      <c r="R363" s="229"/>
      <c r="S363" s="229"/>
      <c r="T363" s="229"/>
      <c r="U363" s="229"/>
      <c r="V363" s="229"/>
      <c r="W363" s="229"/>
      <c r="X363" s="229"/>
      <c r="Y363" s="229"/>
      <c r="Z363" s="229"/>
      <c r="AA363" s="229"/>
    </row>
    <row r="364" customFormat="false" ht="13.5" hidden="false" customHeight="true" outlineLevel="0" collapsed="false">
      <c r="A364" s="229"/>
      <c r="B364" s="229"/>
      <c r="C364" s="229"/>
      <c r="D364" s="229"/>
      <c r="E364" s="229"/>
      <c r="F364" s="229"/>
      <c r="G364" s="229"/>
      <c r="H364" s="229"/>
      <c r="I364" s="229"/>
      <c r="J364" s="229"/>
      <c r="K364" s="229"/>
      <c r="L364" s="229"/>
      <c r="M364" s="229"/>
      <c r="N364" s="229"/>
      <c r="O364" s="229"/>
      <c r="P364" s="229"/>
      <c r="Q364" s="229"/>
      <c r="R364" s="229"/>
      <c r="S364" s="229"/>
      <c r="T364" s="229"/>
      <c r="U364" s="229"/>
      <c r="V364" s="229"/>
      <c r="W364" s="229"/>
      <c r="X364" s="229"/>
      <c r="Y364" s="229"/>
      <c r="Z364" s="229"/>
      <c r="AA364" s="229"/>
    </row>
    <row r="365" customFormat="false" ht="13.5" hidden="false" customHeight="true" outlineLevel="0" collapsed="false">
      <c r="A365" s="229"/>
      <c r="B365" s="229"/>
      <c r="C365" s="229"/>
      <c r="D365" s="229"/>
      <c r="E365" s="229"/>
      <c r="F365" s="229"/>
      <c r="G365" s="229"/>
      <c r="H365" s="229"/>
      <c r="I365" s="229"/>
      <c r="J365" s="229"/>
      <c r="K365" s="229"/>
      <c r="L365" s="229"/>
      <c r="M365" s="229"/>
      <c r="N365" s="229"/>
      <c r="O365" s="229"/>
      <c r="P365" s="229"/>
      <c r="Q365" s="229"/>
      <c r="R365" s="229"/>
      <c r="S365" s="229"/>
      <c r="T365" s="229"/>
      <c r="U365" s="229"/>
      <c r="V365" s="229"/>
      <c r="W365" s="229"/>
      <c r="X365" s="229"/>
      <c r="Y365" s="229"/>
      <c r="Z365" s="229"/>
      <c r="AA365" s="229"/>
    </row>
    <row r="366" customFormat="false" ht="13.5" hidden="false" customHeight="true" outlineLevel="0" collapsed="false">
      <c r="A366" s="229"/>
      <c r="B366" s="229"/>
      <c r="C366" s="229"/>
      <c r="D366" s="229"/>
      <c r="E366" s="229"/>
      <c r="F366" s="229"/>
      <c r="G366" s="229"/>
      <c r="H366" s="229"/>
      <c r="I366" s="229"/>
      <c r="J366" s="229"/>
      <c r="K366" s="229"/>
      <c r="L366" s="229"/>
      <c r="M366" s="229"/>
      <c r="N366" s="229"/>
      <c r="O366" s="229"/>
      <c r="P366" s="229"/>
      <c r="Q366" s="229"/>
      <c r="R366" s="229"/>
      <c r="S366" s="229"/>
      <c r="T366" s="229"/>
      <c r="U366" s="229"/>
      <c r="V366" s="229"/>
      <c r="W366" s="229"/>
      <c r="X366" s="229"/>
      <c r="Y366" s="229"/>
      <c r="Z366" s="229"/>
      <c r="AA366" s="229"/>
    </row>
    <row r="367" customFormat="false" ht="13.5" hidden="false" customHeight="true" outlineLevel="0" collapsed="false">
      <c r="A367" s="229"/>
      <c r="B367" s="229"/>
      <c r="C367" s="229"/>
      <c r="D367" s="229"/>
      <c r="E367" s="229"/>
      <c r="F367" s="229"/>
      <c r="G367" s="229"/>
      <c r="H367" s="229"/>
      <c r="I367" s="229"/>
      <c r="J367" s="229"/>
      <c r="K367" s="229"/>
      <c r="L367" s="229"/>
      <c r="M367" s="229"/>
      <c r="N367" s="229"/>
      <c r="O367" s="229"/>
      <c r="P367" s="229"/>
      <c r="Q367" s="229"/>
      <c r="R367" s="229"/>
      <c r="S367" s="229"/>
      <c r="T367" s="229"/>
      <c r="U367" s="229"/>
      <c r="V367" s="229"/>
      <c r="W367" s="229"/>
      <c r="X367" s="229"/>
      <c r="Y367" s="229"/>
      <c r="Z367" s="229"/>
      <c r="AA367" s="229"/>
    </row>
    <row r="368" customFormat="false" ht="13.5" hidden="false" customHeight="true" outlineLevel="0" collapsed="false">
      <c r="A368" s="229"/>
      <c r="B368" s="229"/>
      <c r="C368" s="229"/>
      <c r="D368" s="229"/>
      <c r="E368" s="229"/>
      <c r="F368" s="229"/>
      <c r="G368" s="229"/>
      <c r="H368" s="229"/>
      <c r="I368" s="229"/>
      <c r="J368" s="229"/>
      <c r="K368" s="229"/>
      <c r="L368" s="229"/>
      <c r="M368" s="229"/>
      <c r="N368" s="229"/>
      <c r="O368" s="229"/>
      <c r="P368" s="229"/>
      <c r="Q368" s="229"/>
      <c r="R368" s="229"/>
      <c r="S368" s="229"/>
      <c r="T368" s="229"/>
      <c r="U368" s="229"/>
      <c r="V368" s="229"/>
      <c r="W368" s="229"/>
      <c r="X368" s="229"/>
      <c r="Y368" s="229"/>
      <c r="Z368" s="229"/>
      <c r="AA368" s="229"/>
    </row>
    <row r="369" customFormat="false" ht="13.5" hidden="false" customHeight="true" outlineLevel="0" collapsed="false">
      <c r="A369" s="229"/>
      <c r="B369" s="229"/>
      <c r="C369" s="229"/>
      <c r="D369" s="229"/>
      <c r="E369" s="229"/>
      <c r="F369" s="229"/>
      <c r="G369" s="229"/>
      <c r="H369" s="229"/>
      <c r="I369" s="229"/>
      <c r="J369" s="229"/>
      <c r="K369" s="229"/>
      <c r="L369" s="229"/>
      <c r="M369" s="229"/>
      <c r="N369" s="229"/>
      <c r="O369" s="229"/>
      <c r="P369" s="229"/>
      <c r="Q369" s="229"/>
      <c r="R369" s="229"/>
      <c r="S369" s="229"/>
      <c r="T369" s="229"/>
      <c r="U369" s="229"/>
      <c r="V369" s="229"/>
      <c r="W369" s="229"/>
      <c r="X369" s="229"/>
      <c r="Y369" s="229"/>
      <c r="Z369" s="229"/>
      <c r="AA369" s="229"/>
    </row>
    <row r="370" customFormat="false" ht="13.5" hidden="false" customHeight="true" outlineLevel="0" collapsed="false">
      <c r="A370" s="229"/>
      <c r="B370" s="229"/>
      <c r="C370" s="229"/>
      <c r="D370" s="229"/>
      <c r="E370" s="229"/>
      <c r="F370" s="229"/>
      <c r="G370" s="229"/>
      <c r="H370" s="229"/>
      <c r="I370" s="229"/>
      <c r="J370" s="229"/>
      <c r="K370" s="229"/>
      <c r="L370" s="229"/>
      <c r="M370" s="229"/>
      <c r="N370" s="229"/>
      <c r="O370" s="229"/>
      <c r="P370" s="229"/>
      <c r="Q370" s="229"/>
      <c r="R370" s="229"/>
      <c r="S370" s="229"/>
      <c r="T370" s="229"/>
      <c r="U370" s="229"/>
      <c r="V370" s="229"/>
      <c r="W370" s="229"/>
      <c r="X370" s="229"/>
      <c r="Y370" s="229"/>
      <c r="Z370" s="229"/>
      <c r="AA370" s="229"/>
    </row>
    <row r="371" customFormat="false" ht="13.5" hidden="false" customHeight="true" outlineLevel="0" collapsed="false">
      <c r="A371" s="229"/>
      <c r="B371" s="229"/>
      <c r="C371" s="229"/>
      <c r="D371" s="229"/>
      <c r="E371" s="229"/>
      <c r="F371" s="229"/>
      <c r="G371" s="229"/>
      <c r="H371" s="229"/>
      <c r="I371" s="229"/>
      <c r="J371" s="229"/>
      <c r="K371" s="229"/>
      <c r="L371" s="229"/>
      <c r="M371" s="229"/>
      <c r="N371" s="229"/>
      <c r="O371" s="229"/>
      <c r="P371" s="229"/>
      <c r="Q371" s="229"/>
      <c r="R371" s="229"/>
      <c r="S371" s="229"/>
      <c r="T371" s="229"/>
      <c r="U371" s="229"/>
      <c r="V371" s="229"/>
      <c r="W371" s="229"/>
      <c r="X371" s="229"/>
      <c r="Y371" s="229"/>
      <c r="Z371" s="229"/>
      <c r="AA371" s="229"/>
    </row>
    <row r="372" customFormat="false" ht="13.5" hidden="false" customHeight="true" outlineLevel="0" collapsed="false">
      <c r="A372" s="229"/>
      <c r="B372" s="229"/>
      <c r="C372" s="229"/>
      <c r="D372" s="229"/>
      <c r="E372" s="229"/>
      <c r="F372" s="229"/>
      <c r="G372" s="229"/>
      <c r="H372" s="229"/>
      <c r="I372" s="229"/>
      <c r="J372" s="229"/>
      <c r="K372" s="229"/>
      <c r="L372" s="229"/>
      <c r="M372" s="229"/>
      <c r="N372" s="229"/>
      <c r="O372" s="229"/>
      <c r="P372" s="229"/>
      <c r="Q372" s="229"/>
      <c r="R372" s="229"/>
      <c r="S372" s="229"/>
      <c r="T372" s="229"/>
      <c r="U372" s="229"/>
      <c r="V372" s="229"/>
      <c r="W372" s="229"/>
      <c r="X372" s="229"/>
      <c r="Y372" s="229"/>
      <c r="Z372" s="229"/>
      <c r="AA372" s="229"/>
    </row>
    <row r="373" customFormat="false" ht="13.5" hidden="false" customHeight="true" outlineLevel="0" collapsed="false">
      <c r="A373" s="229"/>
      <c r="B373" s="229"/>
      <c r="C373" s="229"/>
      <c r="D373" s="229"/>
      <c r="E373" s="229"/>
      <c r="F373" s="229"/>
      <c r="G373" s="229"/>
      <c r="H373" s="229"/>
      <c r="I373" s="229"/>
      <c r="J373" s="229"/>
      <c r="K373" s="229"/>
      <c r="L373" s="229"/>
      <c r="M373" s="229"/>
      <c r="N373" s="229"/>
      <c r="O373" s="229"/>
      <c r="P373" s="229"/>
      <c r="Q373" s="229"/>
      <c r="R373" s="229"/>
      <c r="S373" s="229"/>
      <c r="T373" s="229"/>
      <c r="U373" s="229"/>
      <c r="V373" s="229"/>
      <c r="W373" s="229"/>
      <c r="X373" s="229"/>
      <c r="Y373" s="229"/>
      <c r="Z373" s="229"/>
      <c r="AA373" s="229"/>
    </row>
    <row r="374" customFormat="false" ht="13.5" hidden="false" customHeight="true" outlineLevel="0" collapsed="false">
      <c r="A374" s="229"/>
      <c r="B374" s="229"/>
      <c r="C374" s="229"/>
      <c r="D374" s="229"/>
      <c r="E374" s="229"/>
      <c r="F374" s="229"/>
      <c r="G374" s="229"/>
      <c r="H374" s="229"/>
      <c r="I374" s="229"/>
      <c r="J374" s="229"/>
      <c r="K374" s="229"/>
      <c r="L374" s="229"/>
      <c r="M374" s="229"/>
      <c r="N374" s="229"/>
      <c r="O374" s="229"/>
      <c r="P374" s="229"/>
      <c r="Q374" s="229"/>
      <c r="R374" s="229"/>
      <c r="S374" s="229"/>
      <c r="T374" s="229"/>
      <c r="U374" s="229"/>
      <c r="V374" s="229"/>
      <c r="W374" s="229"/>
      <c r="X374" s="229"/>
      <c r="Y374" s="229"/>
      <c r="Z374" s="229"/>
      <c r="AA374" s="229"/>
    </row>
    <row r="375" customFormat="false" ht="13.5" hidden="false" customHeight="true" outlineLevel="0" collapsed="false">
      <c r="A375" s="229"/>
      <c r="B375" s="229"/>
      <c r="C375" s="229"/>
      <c r="D375" s="229"/>
      <c r="E375" s="229"/>
      <c r="F375" s="229"/>
      <c r="G375" s="229"/>
      <c r="H375" s="229"/>
      <c r="I375" s="229"/>
      <c r="J375" s="229"/>
      <c r="K375" s="229"/>
      <c r="L375" s="229"/>
      <c r="M375" s="229"/>
      <c r="N375" s="229"/>
      <c r="O375" s="229"/>
      <c r="P375" s="229"/>
      <c r="Q375" s="229"/>
      <c r="R375" s="229"/>
      <c r="S375" s="229"/>
      <c r="T375" s="229"/>
      <c r="U375" s="229"/>
      <c r="V375" s="229"/>
      <c r="W375" s="229"/>
      <c r="X375" s="229"/>
      <c r="Y375" s="229"/>
      <c r="Z375" s="229"/>
      <c r="AA375" s="229"/>
    </row>
    <row r="376" customFormat="false" ht="13.5" hidden="false" customHeight="true" outlineLevel="0" collapsed="false">
      <c r="A376" s="229"/>
      <c r="B376" s="229"/>
      <c r="C376" s="229"/>
      <c r="D376" s="229"/>
      <c r="E376" s="229"/>
      <c r="F376" s="229"/>
      <c r="G376" s="229"/>
      <c r="H376" s="229"/>
      <c r="I376" s="229"/>
      <c r="J376" s="229"/>
      <c r="K376" s="229"/>
      <c r="L376" s="229"/>
      <c r="M376" s="229"/>
      <c r="N376" s="229"/>
      <c r="O376" s="229"/>
      <c r="P376" s="229"/>
      <c r="Q376" s="229"/>
      <c r="R376" s="229"/>
      <c r="S376" s="229"/>
      <c r="T376" s="229"/>
      <c r="U376" s="229"/>
      <c r="V376" s="229"/>
      <c r="W376" s="229"/>
      <c r="X376" s="229"/>
      <c r="Y376" s="229"/>
      <c r="Z376" s="229"/>
      <c r="AA376" s="229"/>
    </row>
    <row r="377" customFormat="false" ht="13.5" hidden="false" customHeight="true" outlineLevel="0" collapsed="false">
      <c r="A377" s="229"/>
      <c r="B377" s="229"/>
      <c r="C377" s="229"/>
      <c r="D377" s="229"/>
      <c r="E377" s="229"/>
      <c r="F377" s="229"/>
      <c r="G377" s="229"/>
      <c r="H377" s="229"/>
      <c r="I377" s="229"/>
      <c r="J377" s="229"/>
      <c r="K377" s="229"/>
      <c r="L377" s="229"/>
      <c r="M377" s="229"/>
      <c r="N377" s="229"/>
      <c r="O377" s="229"/>
      <c r="P377" s="229"/>
      <c r="Q377" s="229"/>
      <c r="R377" s="229"/>
      <c r="S377" s="229"/>
      <c r="T377" s="229"/>
      <c r="U377" s="229"/>
      <c r="V377" s="229"/>
      <c r="W377" s="229"/>
      <c r="X377" s="229"/>
      <c r="Y377" s="229"/>
      <c r="Z377" s="229"/>
      <c r="AA377" s="229"/>
    </row>
    <row r="378" customFormat="false" ht="13.5" hidden="false" customHeight="true" outlineLevel="0" collapsed="false">
      <c r="A378" s="229"/>
      <c r="B378" s="229"/>
      <c r="C378" s="229"/>
      <c r="D378" s="229"/>
      <c r="E378" s="229"/>
      <c r="F378" s="229"/>
      <c r="G378" s="229"/>
      <c r="H378" s="229"/>
      <c r="I378" s="229"/>
      <c r="J378" s="229"/>
      <c r="K378" s="229"/>
      <c r="L378" s="229"/>
      <c r="M378" s="229"/>
      <c r="N378" s="229"/>
      <c r="O378" s="229"/>
      <c r="P378" s="229"/>
      <c r="Q378" s="229"/>
      <c r="R378" s="229"/>
      <c r="S378" s="229"/>
      <c r="T378" s="229"/>
      <c r="U378" s="229"/>
      <c r="V378" s="229"/>
      <c r="W378" s="229"/>
      <c r="X378" s="229"/>
      <c r="Y378" s="229"/>
      <c r="Z378" s="229"/>
      <c r="AA378" s="229"/>
    </row>
    <row r="379" customFormat="false" ht="13.5" hidden="false" customHeight="true" outlineLevel="0" collapsed="false">
      <c r="A379" s="229"/>
      <c r="B379" s="229"/>
      <c r="C379" s="229"/>
      <c r="D379" s="229"/>
      <c r="E379" s="229"/>
      <c r="F379" s="229"/>
      <c r="G379" s="229"/>
      <c r="H379" s="229"/>
      <c r="I379" s="229"/>
      <c r="J379" s="229"/>
      <c r="K379" s="229"/>
      <c r="L379" s="229"/>
      <c r="M379" s="229"/>
      <c r="N379" s="229"/>
      <c r="O379" s="229"/>
      <c r="P379" s="229"/>
      <c r="Q379" s="229"/>
      <c r="R379" s="229"/>
      <c r="S379" s="229"/>
      <c r="T379" s="229"/>
      <c r="U379" s="229"/>
      <c r="V379" s="229"/>
      <c r="W379" s="229"/>
      <c r="X379" s="229"/>
      <c r="Y379" s="229"/>
      <c r="Z379" s="229"/>
      <c r="AA379" s="229"/>
    </row>
    <row r="380" customFormat="false" ht="13.5" hidden="false" customHeight="true" outlineLevel="0" collapsed="false">
      <c r="A380" s="229"/>
      <c r="B380" s="229"/>
      <c r="C380" s="229"/>
      <c r="D380" s="229"/>
      <c r="E380" s="229"/>
      <c r="F380" s="229"/>
      <c r="G380" s="229"/>
      <c r="H380" s="229"/>
      <c r="I380" s="229"/>
      <c r="J380" s="229"/>
      <c r="K380" s="229"/>
      <c r="L380" s="229"/>
      <c r="M380" s="229"/>
      <c r="N380" s="229"/>
      <c r="O380" s="229"/>
      <c r="P380" s="229"/>
      <c r="Q380" s="229"/>
      <c r="R380" s="229"/>
      <c r="S380" s="229"/>
      <c r="T380" s="229"/>
      <c r="U380" s="229"/>
      <c r="V380" s="229"/>
      <c r="W380" s="229"/>
      <c r="X380" s="229"/>
      <c r="Y380" s="229"/>
      <c r="Z380" s="229"/>
      <c r="AA380" s="229"/>
    </row>
    <row r="381" customFormat="false" ht="13.5" hidden="false" customHeight="true" outlineLevel="0" collapsed="false">
      <c r="A381" s="229"/>
      <c r="B381" s="229"/>
      <c r="C381" s="229"/>
      <c r="D381" s="229"/>
      <c r="E381" s="229"/>
      <c r="F381" s="229"/>
      <c r="G381" s="229"/>
      <c r="H381" s="229"/>
      <c r="I381" s="229"/>
      <c r="J381" s="229"/>
      <c r="K381" s="229"/>
      <c r="L381" s="229"/>
      <c r="M381" s="229"/>
      <c r="N381" s="229"/>
      <c r="O381" s="229"/>
      <c r="P381" s="229"/>
      <c r="Q381" s="229"/>
      <c r="R381" s="229"/>
      <c r="S381" s="229"/>
      <c r="T381" s="229"/>
      <c r="U381" s="229"/>
      <c r="V381" s="229"/>
      <c r="W381" s="229"/>
      <c r="X381" s="229"/>
      <c r="Y381" s="229"/>
      <c r="Z381" s="229"/>
      <c r="AA381" s="229"/>
    </row>
    <row r="382" customFormat="false" ht="13.5" hidden="false" customHeight="true" outlineLevel="0" collapsed="false">
      <c r="A382" s="229"/>
      <c r="B382" s="229"/>
      <c r="C382" s="229"/>
      <c r="D382" s="229"/>
      <c r="E382" s="229"/>
      <c r="F382" s="229"/>
      <c r="G382" s="229"/>
      <c r="H382" s="229"/>
      <c r="I382" s="229"/>
      <c r="J382" s="229"/>
      <c r="K382" s="229"/>
      <c r="L382" s="229"/>
      <c r="M382" s="229"/>
      <c r="N382" s="229"/>
      <c r="O382" s="229"/>
      <c r="P382" s="229"/>
      <c r="Q382" s="229"/>
      <c r="R382" s="229"/>
      <c r="S382" s="229"/>
      <c r="T382" s="229"/>
      <c r="U382" s="229"/>
      <c r="V382" s="229"/>
      <c r="W382" s="229"/>
      <c r="X382" s="229"/>
      <c r="Y382" s="229"/>
      <c r="Z382" s="229"/>
      <c r="AA382" s="229"/>
    </row>
    <row r="383" customFormat="false" ht="13.5" hidden="false" customHeight="true" outlineLevel="0" collapsed="false">
      <c r="A383" s="229"/>
      <c r="B383" s="229"/>
      <c r="C383" s="229"/>
      <c r="D383" s="229"/>
      <c r="E383" s="229"/>
      <c r="F383" s="229"/>
      <c r="G383" s="229"/>
      <c r="H383" s="229"/>
      <c r="I383" s="229"/>
      <c r="J383" s="229"/>
      <c r="K383" s="229"/>
      <c r="L383" s="229"/>
      <c r="M383" s="229"/>
      <c r="N383" s="229"/>
      <c r="O383" s="229"/>
      <c r="P383" s="229"/>
      <c r="Q383" s="229"/>
      <c r="R383" s="229"/>
      <c r="S383" s="229"/>
      <c r="T383" s="229"/>
      <c r="U383" s="229"/>
      <c r="V383" s="229"/>
      <c r="W383" s="229"/>
      <c r="X383" s="229"/>
      <c r="Y383" s="229"/>
      <c r="Z383" s="229"/>
      <c r="AA383" s="229"/>
    </row>
    <row r="384" customFormat="false" ht="13.5" hidden="false" customHeight="true" outlineLevel="0" collapsed="false">
      <c r="A384" s="229"/>
      <c r="B384" s="229"/>
      <c r="C384" s="229"/>
      <c r="D384" s="229"/>
      <c r="E384" s="229"/>
      <c r="F384" s="229"/>
      <c r="G384" s="229"/>
      <c r="H384" s="229"/>
      <c r="I384" s="229"/>
      <c r="J384" s="229"/>
      <c r="K384" s="229"/>
      <c r="L384" s="229"/>
      <c r="M384" s="229"/>
      <c r="N384" s="229"/>
      <c r="O384" s="229"/>
      <c r="P384" s="229"/>
      <c r="Q384" s="229"/>
      <c r="R384" s="229"/>
      <c r="S384" s="229"/>
      <c r="T384" s="229"/>
      <c r="U384" s="229"/>
      <c r="V384" s="229"/>
      <c r="W384" s="229"/>
      <c r="X384" s="229"/>
      <c r="Y384" s="229"/>
      <c r="Z384" s="229"/>
      <c r="AA384" s="229"/>
    </row>
    <row r="385" customFormat="false" ht="13.5" hidden="false" customHeight="true" outlineLevel="0" collapsed="false">
      <c r="A385" s="229"/>
      <c r="B385" s="229"/>
      <c r="C385" s="229"/>
      <c r="D385" s="229"/>
      <c r="E385" s="229"/>
      <c r="F385" s="229"/>
      <c r="G385" s="229"/>
      <c r="H385" s="229"/>
      <c r="I385" s="229"/>
      <c r="J385" s="229"/>
      <c r="K385" s="229"/>
      <c r="L385" s="229"/>
      <c r="M385" s="229"/>
      <c r="N385" s="229"/>
      <c r="O385" s="229"/>
      <c r="P385" s="229"/>
      <c r="Q385" s="229"/>
      <c r="R385" s="229"/>
      <c r="S385" s="229"/>
      <c r="T385" s="229"/>
      <c r="U385" s="229"/>
      <c r="V385" s="229"/>
      <c r="W385" s="229"/>
      <c r="X385" s="229"/>
      <c r="Y385" s="229"/>
      <c r="Z385" s="229"/>
      <c r="AA385" s="229"/>
    </row>
    <row r="386" customFormat="false" ht="13.5" hidden="false" customHeight="true" outlineLevel="0" collapsed="false">
      <c r="A386" s="229"/>
      <c r="B386" s="229"/>
      <c r="C386" s="229"/>
      <c r="D386" s="229"/>
      <c r="E386" s="229"/>
      <c r="F386" s="229"/>
      <c r="G386" s="229"/>
      <c r="H386" s="229"/>
      <c r="I386" s="229"/>
      <c r="J386" s="229"/>
      <c r="K386" s="229"/>
      <c r="L386" s="229"/>
      <c r="M386" s="229"/>
      <c r="N386" s="229"/>
      <c r="O386" s="229"/>
      <c r="P386" s="229"/>
      <c r="Q386" s="229"/>
      <c r="R386" s="229"/>
      <c r="S386" s="229"/>
      <c r="T386" s="229"/>
      <c r="U386" s="229"/>
      <c r="V386" s="229"/>
      <c r="W386" s="229"/>
      <c r="X386" s="229"/>
      <c r="Y386" s="229"/>
      <c r="Z386" s="229"/>
      <c r="AA386" s="229"/>
    </row>
    <row r="387" customFormat="false" ht="13.5" hidden="false" customHeight="true" outlineLevel="0" collapsed="false">
      <c r="A387" s="229"/>
      <c r="B387" s="229"/>
      <c r="C387" s="229"/>
      <c r="D387" s="229"/>
      <c r="E387" s="229"/>
      <c r="F387" s="229"/>
      <c r="G387" s="229"/>
      <c r="H387" s="229"/>
      <c r="I387" s="229"/>
      <c r="J387" s="229"/>
      <c r="K387" s="229"/>
      <c r="L387" s="229"/>
      <c r="M387" s="229"/>
      <c r="N387" s="229"/>
      <c r="O387" s="229"/>
      <c r="P387" s="229"/>
      <c r="Q387" s="229"/>
      <c r="R387" s="229"/>
      <c r="S387" s="229"/>
      <c r="T387" s="229"/>
      <c r="U387" s="229"/>
      <c r="V387" s="229"/>
      <c r="W387" s="229"/>
      <c r="X387" s="229"/>
      <c r="Y387" s="229"/>
      <c r="Z387" s="229"/>
      <c r="AA387" s="229"/>
    </row>
    <row r="388" customFormat="false" ht="13.5" hidden="false" customHeight="true" outlineLevel="0" collapsed="false">
      <c r="A388" s="229"/>
      <c r="B388" s="229"/>
      <c r="C388" s="229"/>
      <c r="D388" s="229"/>
      <c r="E388" s="229"/>
      <c r="F388" s="229"/>
      <c r="G388" s="229"/>
      <c r="H388" s="229"/>
      <c r="I388" s="229"/>
      <c r="J388" s="229"/>
      <c r="K388" s="229"/>
      <c r="L388" s="229"/>
      <c r="M388" s="229"/>
      <c r="N388" s="229"/>
      <c r="O388" s="229"/>
      <c r="P388" s="229"/>
      <c r="Q388" s="229"/>
      <c r="R388" s="229"/>
      <c r="S388" s="229"/>
      <c r="T388" s="229"/>
      <c r="U388" s="229"/>
      <c r="V388" s="229"/>
      <c r="W388" s="229"/>
      <c r="X388" s="229"/>
      <c r="Y388" s="229"/>
      <c r="Z388" s="229"/>
      <c r="AA388" s="229"/>
    </row>
    <row r="389" customFormat="false" ht="13.5" hidden="false" customHeight="true" outlineLevel="0" collapsed="false">
      <c r="A389" s="229"/>
      <c r="B389" s="229"/>
      <c r="C389" s="229"/>
      <c r="D389" s="229"/>
      <c r="E389" s="229"/>
      <c r="F389" s="229"/>
      <c r="G389" s="229"/>
      <c r="H389" s="229"/>
      <c r="I389" s="229"/>
      <c r="J389" s="229"/>
      <c r="K389" s="229"/>
      <c r="L389" s="229"/>
      <c r="M389" s="229"/>
      <c r="N389" s="229"/>
      <c r="O389" s="229"/>
      <c r="P389" s="229"/>
      <c r="Q389" s="229"/>
      <c r="R389" s="229"/>
      <c r="S389" s="229"/>
      <c r="T389" s="229"/>
      <c r="U389" s="229"/>
      <c r="V389" s="229"/>
      <c r="W389" s="229"/>
      <c r="X389" s="229"/>
      <c r="Y389" s="229"/>
      <c r="Z389" s="229"/>
      <c r="AA389" s="229"/>
    </row>
    <row r="390" customFormat="false" ht="13.5" hidden="false" customHeight="true" outlineLevel="0" collapsed="false">
      <c r="A390" s="229"/>
      <c r="B390" s="229"/>
      <c r="C390" s="229"/>
      <c r="D390" s="229"/>
      <c r="E390" s="229"/>
      <c r="F390" s="229"/>
      <c r="G390" s="229"/>
      <c r="H390" s="229"/>
      <c r="I390" s="229"/>
      <c r="J390" s="229"/>
      <c r="K390" s="229"/>
      <c r="L390" s="229"/>
      <c r="M390" s="229"/>
      <c r="N390" s="229"/>
      <c r="O390" s="229"/>
      <c r="P390" s="229"/>
      <c r="Q390" s="229"/>
      <c r="R390" s="229"/>
      <c r="S390" s="229"/>
      <c r="T390" s="229"/>
      <c r="U390" s="229"/>
      <c r="V390" s="229"/>
      <c r="W390" s="229"/>
      <c r="X390" s="229"/>
      <c r="Y390" s="229"/>
      <c r="Z390" s="229"/>
      <c r="AA390" s="229"/>
    </row>
    <row r="391" customFormat="false" ht="13.5" hidden="false" customHeight="true" outlineLevel="0" collapsed="false">
      <c r="A391" s="229"/>
      <c r="B391" s="229"/>
      <c r="C391" s="229"/>
      <c r="D391" s="229"/>
      <c r="E391" s="229"/>
      <c r="F391" s="229"/>
      <c r="G391" s="229"/>
      <c r="H391" s="229"/>
      <c r="I391" s="229"/>
      <c r="J391" s="229"/>
      <c r="K391" s="229"/>
      <c r="L391" s="229"/>
      <c r="M391" s="229"/>
      <c r="N391" s="229"/>
      <c r="O391" s="229"/>
      <c r="P391" s="229"/>
      <c r="Q391" s="229"/>
      <c r="R391" s="229"/>
      <c r="S391" s="229"/>
      <c r="T391" s="229"/>
      <c r="U391" s="229"/>
      <c r="V391" s="229"/>
      <c r="W391" s="229"/>
      <c r="X391" s="229"/>
      <c r="Y391" s="229"/>
      <c r="Z391" s="229"/>
      <c r="AA391" s="229"/>
    </row>
    <row r="392" customFormat="false" ht="13.5" hidden="false" customHeight="true" outlineLevel="0" collapsed="false">
      <c r="A392" s="229"/>
      <c r="B392" s="229"/>
      <c r="C392" s="229"/>
      <c r="D392" s="229"/>
      <c r="E392" s="229"/>
      <c r="F392" s="229"/>
      <c r="G392" s="229"/>
      <c r="H392" s="229"/>
      <c r="I392" s="229"/>
      <c r="J392" s="229"/>
      <c r="K392" s="229"/>
      <c r="L392" s="229"/>
      <c r="M392" s="229"/>
      <c r="N392" s="229"/>
      <c r="O392" s="229"/>
      <c r="P392" s="229"/>
      <c r="Q392" s="229"/>
      <c r="R392" s="229"/>
      <c r="S392" s="229"/>
      <c r="T392" s="229"/>
      <c r="U392" s="229"/>
      <c r="V392" s="229"/>
      <c r="W392" s="229"/>
      <c r="X392" s="229"/>
      <c r="Y392" s="229"/>
      <c r="Z392" s="229"/>
      <c r="AA392" s="229"/>
    </row>
    <row r="393" customFormat="false" ht="13.5" hidden="false" customHeight="true" outlineLevel="0" collapsed="false">
      <c r="A393" s="229"/>
      <c r="B393" s="229"/>
      <c r="C393" s="229"/>
      <c r="D393" s="229"/>
      <c r="E393" s="229"/>
      <c r="F393" s="229"/>
      <c r="G393" s="229"/>
      <c r="H393" s="229"/>
      <c r="I393" s="229"/>
      <c r="J393" s="229"/>
      <c r="K393" s="229"/>
      <c r="L393" s="229"/>
      <c r="M393" s="229"/>
      <c r="N393" s="229"/>
      <c r="O393" s="229"/>
      <c r="P393" s="229"/>
      <c r="Q393" s="229"/>
      <c r="R393" s="229"/>
      <c r="S393" s="229"/>
      <c r="T393" s="229"/>
      <c r="U393" s="229"/>
      <c r="V393" s="229"/>
      <c r="W393" s="229"/>
      <c r="X393" s="229"/>
      <c r="Y393" s="229"/>
      <c r="Z393" s="229"/>
      <c r="AA393" s="229"/>
    </row>
    <row r="394" customFormat="false" ht="13.5" hidden="false" customHeight="true" outlineLevel="0" collapsed="false">
      <c r="A394" s="229"/>
      <c r="B394" s="229"/>
      <c r="C394" s="229"/>
      <c r="D394" s="229"/>
      <c r="E394" s="229"/>
      <c r="F394" s="229"/>
      <c r="G394" s="229"/>
      <c r="H394" s="229"/>
      <c r="I394" s="229"/>
      <c r="J394" s="229"/>
      <c r="K394" s="229"/>
      <c r="L394" s="229"/>
      <c r="M394" s="229"/>
      <c r="N394" s="229"/>
      <c r="O394" s="229"/>
      <c r="P394" s="229"/>
      <c r="Q394" s="229"/>
      <c r="R394" s="229"/>
      <c r="S394" s="229"/>
      <c r="T394" s="229"/>
      <c r="U394" s="229"/>
      <c r="V394" s="229"/>
      <c r="W394" s="229"/>
      <c r="X394" s="229"/>
      <c r="Y394" s="229"/>
      <c r="Z394" s="229"/>
      <c r="AA394" s="229"/>
    </row>
    <row r="395" customFormat="false" ht="13.5" hidden="false" customHeight="true" outlineLevel="0" collapsed="false">
      <c r="A395" s="229"/>
      <c r="B395" s="229"/>
      <c r="C395" s="229"/>
      <c r="D395" s="229"/>
      <c r="E395" s="229"/>
      <c r="F395" s="229"/>
      <c r="G395" s="229"/>
      <c r="H395" s="229"/>
      <c r="I395" s="229"/>
      <c r="J395" s="229"/>
      <c r="K395" s="229"/>
      <c r="L395" s="229"/>
      <c r="M395" s="229"/>
      <c r="N395" s="229"/>
      <c r="O395" s="229"/>
      <c r="P395" s="229"/>
      <c r="Q395" s="229"/>
      <c r="R395" s="229"/>
      <c r="S395" s="229"/>
      <c r="T395" s="229"/>
      <c r="U395" s="229"/>
      <c r="V395" s="229"/>
      <c r="W395" s="229"/>
      <c r="X395" s="229"/>
      <c r="Y395" s="229"/>
      <c r="Z395" s="229"/>
      <c r="AA395" s="229"/>
    </row>
    <row r="396" customFormat="false" ht="13.5" hidden="false" customHeight="true" outlineLevel="0" collapsed="false">
      <c r="A396" s="229"/>
      <c r="B396" s="229"/>
      <c r="C396" s="229"/>
      <c r="D396" s="229"/>
      <c r="E396" s="229"/>
      <c r="F396" s="229"/>
      <c r="G396" s="229"/>
      <c r="H396" s="229"/>
      <c r="I396" s="229"/>
      <c r="J396" s="229"/>
      <c r="K396" s="229"/>
      <c r="L396" s="229"/>
      <c r="M396" s="229"/>
      <c r="N396" s="229"/>
      <c r="O396" s="229"/>
      <c r="P396" s="229"/>
      <c r="Q396" s="229"/>
      <c r="R396" s="229"/>
      <c r="S396" s="229"/>
      <c r="T396" s="229"/>
      <c r="U396" s="229"/>
      <c r="V396" s="229"/>
      <c r="W396" s="229"/>
      <c r="X396" s="229"/>
      <c r="Y396" s="229"/>
      <c r="Z396" s="229"/>
      <c r="AA396" s="229"/>
    </row>
    <row r="397" customFormat="false" ht="13.5" hidden="false" customHeight="true" outlineLevel="0" collapsed="false">
      <c r="A397" s="229"/>
      <c r="B397" s="229"/>
      <c r="C397" s="229"/>
      <c r="D397" s="229"/>
      <c r="E397" s="229"/>
      <c r="F397" s="229"/>
      <c r="G397" s="229"/>
      <c r="H397" s="229"/>
      <c r="I397" s="229"/>
      <c r="J397" s="229"/>
      <c r="K397" s="229"/>
      <c r="L397" s="229"/>
      <c r="M397" s="229"/>
      <c r="N397" s="229"/>
      <c r="O397" s="229"/>
      <c r="P397" s="229"/>
      <c r="Q397" s="229"/>
      <c r="R397" s="229"/>
      <c r="S397" s="229"/>
      <c r="T397" s="229"/>
      <c r="U397" s="229"/>
      <c r="V397" s="229"/>
      <c r="W397" s="229"/>
      <c r="X397" s="229"/>
      <c r="Y397" s="229"/>
      <c r="Z397" s="229"/>
      <c r="AA397" s="229"/>
    </row>
    <row r="398" customFormat="false" ht="13.5" hidden="false" customHeight="true" outlineLevel="0" collapsed="false">
      <c r="A398" s="229"/>
      <c r="B398" s="229"/>
      <c r="C398" s="229"/>
      <c r="D398" s="229"/>
      <c r="E398" s="229"/>
      <c r="F398" s="229"/>
      <c r="G398" s="229"/>
      <c r="H398" s="229"/>
      <c r="I398" s="229"/>
      <c r="J398" s="229"/>
      <c r="K398" s="229"/>
      <c r="L398" s="229"/>
      <c r="M398" s="229"/>
      <c r="N398" s="229"/>
      <c r="O398" s="229"/>
      <c r="P398" s="229"/>
      <c r="Q398" s="229"/>
      <c r="R398" s="229"/>
      <c r="S398" s="229"/>
      <c r="T398" s="229"/>
      <c r="U398" s="229"/>
      <c r="V398" s="229"/>
      <c r="W398" s="229"/>
      <c r="X398" s="229"/>
      <c r="Y398" s="229"/>
      <c r="Z398" s="229"/>
      <c r="AA398" s="229"/>
    </row>
    <row r="399" customFormat="false" ht="13.5" hidden="false" customHeight="true" outlineLevel="0" collapsed="false">
      <c r="A399" s="229"/>
      <c r="B399" s="229"/>
      <c r="C399" s="229"/>
      <c r="D399" s="229"/>
      <c r="E399" s="229"/>
      <c r="F399" s="229"/>
      <c r="G399" s="229"/>
      <c r="H399" s="229"/>
      <c r="I399" s="229"/>
      <c r="J399" s="229"/>
      <c r="K399" s="229"/>
      <c r="L399" s="229"/>
      <c r="M399" s="229"/>
      <c r="N399" s="229"/>
      <c r="O399" s="229"/>
      <c r="P399" s="229"/>
      <c r="Q399" s="229"/>
      <c r="R399" s="229"/>
      <c r="S399" s="229"/>
      <c r="T399" s="229"/>
      <c r="U399" s="229"/>
      <c r="V399" s="229"/>
      <c r="W399" s="229"/>
      <c r="X399" s="229"/>
      <c r="Y399" s="229"/>
      <c r="Z399" s="229"/>
      <c r="AA399" s="229"/>
    </row>
    <row r="400" customFormat="false" ht="13.5" hidden="false" customHeight="true" outlineLevel="0" collapsed="false">
      <c r="A400" s="229"/>
      <c r="B400" s="229"/>
      <c r="C400" s="229"/>
      <c r="D400" s="229"/>
      <c r="E400" s="229"/>
      <c r="F400" s="229"/>
      <c r="G400" s="229"/>
      <c r="H400" s="229"/>
      <c r="I400" s="229"/>
      <c r="J400" s="229"/>
      <c r="K400" s="229"/>
      <c r="L400" s="229"/>
      <c r="M400" s="229"/>
      <c r="N400" s="229"/>
      <c r="O400" s="229"/>
      <c r="P400" s="229"/>
      <c r="Q400" s="229"/>
      <c r="R400" s="229"/>
      <c r="S400" s="229"/>
      <c r="T400" s="229"/>
      <c r="U400" s="229"/>
      <c r="V400" s="229"/>
      <c r="W400" s="229"/>
      <c r="X400" s="229"/>
      <c r="Y400" s="229"/>
      <c r="Z400" s="229"/>
      <c r="AA400" s="229"/>
    </row>
    <row r="401" customFormat="false" ht="13.5" hidden="false" customHeight="true" outlineLevel="0" collapsed="false">
      <c r="A401" s="229"/>
      <c r="B401" s="229"/>
      <c r="C401" s="229"/>
      <c r="D401" s="229"/>
      <c r="E401" s="229"/>
      <c r="F401" s="229"/>
      <c r="G401" s="229"/>
      <c r="H401" s="229"/>
      <c r="I401" s="229"/>
      <c r="J401" s="229"/>
      <c r="K401" s="229"/>
      <c r="L401" s="229"/>
      <c r="M401" s="229"/>
      <c r="N401" s="229"/>
      <c r="O401" s="229"/>
      <c r="P401" s="229"/>
      <c r="Q401" s="229"/>
      <c r="R401" s="229"/>
      <c r="S401" s="229"/>
      <c r="T401" s="229"/>
      <c r="U401" s="229"/>
      <c r="V401" s="229"/>
      <c r="W401" s="229"/>
      <c r="X401" s="229"/>
      <c r="Y401" s="229"/>
      <c r="Z401" s="229"/>
      <c r="AA401" s="229"/>
    </row>
    <row r="402" customFormat="false" ht="13.5" hidden="false" customHeight="true" outlineLevel="0" collapsed="false">
      <c r="A402" s="229"/>
      <c r="B402" s="229"/>
      <c r="C402" s="229"/>
      <c r="D402" s="229"/>
      <c r="E402" s="229"/>
      <c r="F402" s="229"/>
      <c r="G402" s="229"/>
      <c r="H402" s="229"/>
      <c r="I402" s="229"/>
      <c r="J402" s="229"/>
      <c r="K402" s="229"/>
      <c r="L402" s="229"/>
      <c r="M402" s="229"/>
      <c r="N402" s="229"/>
      <c r="O402" s="229"/>
      <c r="P402" s="229"/>
      <c r="Q402" s="229"/>
      <c r="R402" s="229"/>
      <c r="S402" s="229"/>
      <c r="T402" s="229"/>
      <c r="U402" s="229"/>
      <c r="V402" s="229"/>
      <c r="W402" s="229"/>
      <c r="X402" s="229"/>
      <c r="Y402" s="229"/>
      <c r="Z402" s="229"/>
      <c r="AA402" s="229"/>
    </row>
    <row r="403" customFormat="false" ht="13.5" hidden="false" customHeight="true" outlineLevel="0" collapsed="false">
      <c r="A403" s="229"/>
      <c r="B403" s="229"/>
      <c r="C403" s="229"/>
      <c r="D403" s="229"/>
      <c r="E403" s="229"/>
      <c r="F403" s="229"/>
      <c r="G403" s="229"/>
      <c r="H403" s="229"/>
      <c r="I403" s="229"/>
      <c r="J403" s="229"/>
      <c r="K403" s="229"/>
      <c r="L403" s="229"/>
      <c r="M403" s="229"/>
      <c r="N403" s="229"/>
      <c r="O403" s="229"/>
      <c r="P403" s="229"/>
      <c r="Q403" s="229"/>
      <c r="R403" s="229"/>
      <c r="S403" s="229"/>
      <c r="T403" s="229"/>
      <c r="U403" s="229"/>
      <c r="V403" s="229"/>
      <c r="W403" s="229"/>
      <c r="X403" s="229"/>
      <c r="Y403" s="229"/>
      <c r="Z403" s="229"/>
      <c r="AA403" s="229"/>
    </row>
    <row r="404" customFormat="false" ht="13.5" hidden="false" customHeight="true" outlineLevel="0" collapsed="false">
      <c r="A404" s="229"/>
      <c r="B404" s="229"/>
      <c r="C404" s="229"/>
      <c r="D404" s="229"/>
      <c r="E404" s="229"/>
      <c r="F404" s="229"/>
      <c r="G404" s="229"/>
      <c r="H404" s="229"/>
      <c r="I404" s="229"/>
      <c r="J404" s="229"/>
      <c r="K404" s="229"/>
      <c r="L404" s="229"/>
      <c r="M404" s="229"/>
      <c r="N404" s="229"/>
      <c r="O404" s="229"/>
      <c r="P404" s="229"/>
      <c r="Q404" s="229"/>
      <c r="R404" s="229"/>
      <c r="S404" s="229"/>
      <c r="T404" s="229"/>
      <c r="U404" s="229"/>
      <c r="V404" s="229"/>
      <c r="W404" s="229"/>
      <c r="X404" s="229"/>
      <c r="Y404" s="229"/>
      <c r="Z404" s="229"/>
      <c r="AA404" s="229"/>
    </row>
    <row r="405" customFormat="false" ht="13.5" hidden="false" customHeight="true" outlineLevel="0" collapsed="false">
      <c r="A405" s="229"/>
      <c r="B405" s="229"/>
      <c r="C405" s="229"/>
      <c r="D405" s="229"/>
      <c r="E405" s="229"/>
      <c r="F405" s="229"/>
      <c r="G405" s="229"/>
      <c r="H405" s="229"/>
      <c r="I405" s="229"/>
      <c r="J405" s="229"/>
      <c r="K405" s="229"/>
      <c r="L405" s="229"/>
      <c r="M405" s="229"/>
      <c r="N405" s="229"/>
      <c r="O405" s="229"/>
      <c r="P405" s="229"/>
      <c r="Q405" s="229"/>
      <c r="R405" s="229"/>
      <c r="S405" s="229"/>
      <c r="T405" s="229"/>
      <c r="U405" s="229"/>
      <c r="V405" s="229"/>
      <c r="W405" s="229"/>
      <c r="X405" s="229"/>
      <c r="Y405" s="229"/>
      <c r="Z405" s="229"/>
      <c r="AA405" s="229"/>
    </row>
    <row r="406" customFormat="false" ht="13.5" hidden="false" customHeight="true" outlineLevel="0" collapsed="false">
      <c r="A406" s="229"/>
      <c r="B406" s="229"/>
      <c r="C406" s="229"/>
      <c r="D406" s="229"/>
      <c r="E406" s="229"/>
      <c r="F406" s="229"/>
      <c r="G406" s="229"/>
      <c r="H406" s="229"/>
      <c r="I406" s="229"/>
      <c r="J406" s="229"/>
      <c r="K406" s="229"/>
      <c r="L406" s="229"/>
      <c r="M406" s="229"/>
      <c r="N406" s="229"/>
      <c r="O406" s="229"/>
      <c r="P406" s="229"/>
      <c r="Q406" s="229"/>
      <c r="R406" s="229"/>
      <c r="S406" s="229"/>
      <c r="T406" s="229"/>
      <c r="U406" s="229"/>
      <c r="V406" s="229"/>
      <c r="W406" s="229"/>
      <c r="X406" s="229"/>
      <c r="Y406" s="229"/>
      <c r="Z406" s="229"/>
      <c r="AA406" s="229"/>
    </row>
    <row r="407" customFormat="false" ht="13.5" hidden="false" customHeight="true" outlineLevel="0" collapsed="false">
      <c r="A407" s="229"/>
      <c r="B407" s="229"/>
      <c r="C407" s="229"/>
      <c r="D407" s="229"/>
      <c r="E407" s="229"/>
      <c r="F407" s="229"/>
      <c r="G407" s="229"/>
      <c r="H407" s="229"/>
      <c r="I407" s="229"/>
      <c r="J407" s="229"/>
      <c r="K407" s="229"/>
      <c r="L407" s="229"/>
      <c r="M407" s="229"/>
      <c r="N407" s="229"/>
      <c r="O407" s="229"/>
      <c r="P407" s="229"/>
      <c r="Q407" s="229"/>
      <c r="R407" s="229"/>
      <c r="S407" s="229"/>
      <c r="T407" s="229"/>
      <c r="U407" s="229"/>
      <c r="V407" s="229"/>
      <c r="W407" s="229"/>
      <c r="X407" s="229"/>
      <c r="Y407" s="229"/>
      <c r="Z407" s="229"/>
      <c r="AA407" s="229"/>
    </row>
    <row r="408" customFormat="false" ht="13.5" hidden="false" customHeight="true" outlineLevel="0" collapsed="false">
      <c r="A408" s="229"/>
      <c r="B408" s="229"/>
      <c r="C408" s="229"/>
      <c r="D408" s="229"/>
      <c r="E408" s="229"/>
      <c r="F408" s="229"/>
      <c r="G408" s="229"/>
      <c r="H408" s="229"/>
      <c r="I408" s="229"/>
      <c r="J408" s="229"/>
      <c r="K408" s="229"/>
      <c r="L408" s="229"/>
      <c r="M408" s="229"/>
      <c r="N408" s="229"/>
      <c r="O408" s="229"/>
      <c r="P408" s="229"/>
      <c r="Q408" s="229"/>
      <c r="R408" s="229"/>
      <c r="S408" s="229"/>
      <c r="T408" s="229"/>
      <c r="U408" s="229"/>
      <c r="V408" s="229"/>
      <c r="W408" s="229"/>
      <c r="X408" s="229"/>
      <c r="Y408" s="229"/>
      <c r="Z408" s="229"/>
      <c r="AA408" s="229"/>
    </row>
    <row r="409" customFormat="false" ht="13.5" hidden="false" customHeight="true" outlineLevel="0" collapsed="false">
      <c r="A409" s="229"/>
      <c r="B409" s="229"/>
      <c r="C409" s="229"/>
      <c r="D409" s="229"/>
      <c r="E409" s="229"/>
      <c r="F409" s="229"/>
      <c r="G409" s="229"/>
      <c r="H409" s="229"/>
      <c r="I409" s="229"/>
      <c r="J409" s="229"/>
      <c r="K409" s="229"/>
      <c r="L409" s="229"/>
      <c r="M409" s="229"/>
      <c r="N409" s="229"/>
      <c r="O409" s="229"/>
      <c r="P409" s="229"/>
      <c r="Q409" s="229"/>
      <c r="R409" s="229"/>
      <c r="S409" s="229"/>
      <c r="T409" s="229"/>
      <c r="U409" s="229"/>
      <c r="V409" s="229"/>
      <c r="W409" s="229"/>
      <c r="X409" s="229"/>
      <c r="Y409" s="229"/>
      <c r="Z409" s="229"/>
      <c r="AA409" s="229"/>
    </row>
    <row r="410" customFormat="false" ht="13.5" hidden="false" customHeight="true" outlineLevel="0" collapsed="false">
      <c r="A410" s="229"/>
      <c r="B410" s="229"/>
      <c r="C410" s="229"/>
      <c r="D410" s="229"/>
      <c r="E410" s="229"/>
      <c r="F410" s="229"/>
      <c r="G410" s="229"/>
      <c r="H410" s="229"/>
      <c r="I410" s="229"/>
      <c r="J410" s="229"/>
      <c r="K410" s="229"/>
      <c r="L410" s="229"/>
      <c r="M410" s="229"/>
      <c r="N410" s="229"/>
      <c r="O410" s="229"/>
      <c r="P410" s="229"/>
      <c r="Q410" s="229"/>
      <c r="R410" s="229"/>
      <c r="S410" s="229"/>
      <c r="T410" s="229"/>
      <c r="U410" s="229"/>
      <c r="V410" s="229"/>
      <c r="W410" s="229"/>
      <c r="X410" s="229"/>
      <c r="Y410" s="229"/>
      <c r="Z410" s="229"/>
      <c r="AA410" s="229"/>
    </row>
    <row r="411" customFormat="false" ht="13.5" hidden="false" customHeight="true" outlineLevel="0" collapsed="false">
      <c r="A411" s="229"/>
      <c r="B411" s="229"/>
      <c r="C411" s="229"/>
      <c r="D411" s="229"/>
      <c r="E411" s="229"/>
      <c r="F411" s="229"/>
      <c r="G411" s="229"/>
      <c r="H411" s="229"/>
      <c r="I411" s="229"/>
      <c r="J411" s="229"/>
      <c r="K411" s="229"/>
      <c r="L411" s="229"/>
      <c r="M411" s="229"/>
      <c r="N411" s="229"/>
      <c r="O411" s="229"/>
      <c r="P411" s="229"/>
      <c r="Q411" s="229"/>
      <c r="R411" s="229"/>
      <c r="S411" s="229"/>
      <c r="T411" s="229"/>
      <c r="U411" s="229"/>
      <c r="V411" s="229"/>
      <c r="W411" s="229"/>
      <c r="X411" s="229"/>
      <c r="Y411" s="229"/>
      <c r="Z411" s="229"/>
      <c r="AA411" s="229"/>
    </row>
    <row r="412" customFormat="false" ht="13.5" hidden="false" customHeight="true" outlineLevel="0" collapsed="false">
      <c r="A412" s="229"/>
      <c r="B412" s="229"/>
      <c r="C412" s="229"/>
      <c r="D412" s="229"/>
      <c r="E412" s="229"/>
      <c r="F412" s="229"/>
      <c r="G412" s="229"/>
      <c r="H412" s="229"/>
      <c r="I412" s="229"/>
      <c r="J412" s="229"/>
      <c r="K412" s="229"/>
      <c r="L412" s="229"/>
      <c r="M412" s="229"/>
      <c r="N412" s="229"/>
      <c r="O412" s="229"/>
      <c r="P412" s="229"/>
      <c r="Q412" s="229"/>
      <c r="R412" s="229"/>
      <c r="S412" s="229"/>
      <c r="T412" s="229"/>
      <c r="U412" s="229"/>
      <c r="V412" s="229"/>
      <c r="W412" s="229"/>
      <c r="X412" s="229"/>
      <c r="Y412" s="229"/>
      <c r="Z412" s="229"/>
      <c r="AA412" s="229"/>
    </row>
    <row r="413" customFormat="false" ht="13.5" hidden="false" customHeight="true" outlineLevel="0" collapsed="false">
      <c r="A413" s="229"/>
      <c r="B413" s="229"/>
      <c r="C413" s="229"/>
      <c r="D413" s="229"/>
      <c r="E413" s="229"/>
      <c r="F413" s="229"/>
      <c r="G413" s="229"/>
      <c r="H413" s="229"/>
      <c r="I413" s="229"/>
      <c r="J413" s="229"/>
      <c r="K413" s="229"/>
      <c r="L413" s="229"/>
      <c r="M413" s="229"/>
      <c r="N413" s="229"/>
      <c r="O413" s="229"/>
      <c r="P413" s="229"/>
      <c r="Q413" s="229"/>
      <c r="R413" s="229"/>
      <c r="S413" s="229"/>
      <c r="T413" s="229"/>
      <c r="U413" s="229"/>
      <c r="V413" s="229"/>
      <c r="W413" s="229"/>
      <c r="X413" s="229"/>
      <c r="Y413" s="229"/>
      <c r="Z413" s="229"/>
      <c r="AA413" s="229"/>
    </row>
    <row r="414" customFormat="false" ht="13.5" hidden="false" customHeight="true" outlineLevel="0" collapsed="false">
      <c r="A414" s="229"/>
      <c r="B414" s="229"/>
      <c r="C414" s="229"/>
      <c r="D414" s="229"/>
      <c r="E414" s="229"/>
      <c r="F414" s="229"/>
      <c r="G414" s="229"/>
      <c r="H414" s="229"/>
      <c r="I414" s="229"/>
      <c r="J414" s="229"/>
      <c r="K414" s="229"/>
      <c r="L414" s="229"/>
      <c r="M414" s="229"/>
      <c r="N414" s="229"/>
      <c r="O414" s="229"/>
      <c r="P414" s="229"/>
      <c r="Q414" s="229"/>
      <c r="R414" s="229"/>
      <c r="S414" s="229"/>
      <c r="T414" s="229"/>
      <c r="U414" s="229"/>
      <c r="V414" s="229"/>
      <c r="W414" s="229"/>
      <c r="X414" s="229"/>
      <c r="Y414" s="229"/>
      <c r="Z414" s="229"/>
      <c r="AA414" s="229"/>
    </row>
    <row r="415" customFormat="false" ht="13.5" hidden="false" customHeight="true" outlineLevel="0" collapsed="false">
      <c r="A415" s="229"/>
      <c r="B415" s="229"/>
      <c r="C415" s="229"/>
      <c r="D415" s="229"/>
      <c r="E415" s="229"/>
      <c r="F415" s="229"/>
      <c r="G415" s="229"/>
      <c r="H415" s="229"/>
      <c r="I415" s="229"/>
      <c r="J415" s="229"/>
      <c r="K415" s="229"/>
      <c r="L415" s="229"/>
      <c r="M415" s="229"/>
      <c r="N415" s="229"/>
      <c r="O415" s="229"/>
      <c r="P415" s="229"/>
      <c r="Q415" s="229"/>
      <c r="R415" s="229"/>
      <c r="S415" s="229"/>
      <c r="T415" s="229"/>
      <c r="U415" s="229"/>
      <c r="V415" s="229"/>
      <c r="W415" s="229"/>
      <c r="X415" s="229"/>
      <c r="Y415" s="229"/>
      <c r="Z415" s="229"/>
      <c r="AA415" s="229"/>
    </row>
    <row r="416" customFormat="false" ht="13.5" hidden="false" customHeight="true" outlineLevel="0" collapsed="false">
      <c r="A416" s="229"/>
      <c r="B416" s="229"/>
      <c r="C416" s="229"/>
      <c r="D416" s="229"/>
      <c r="E416" s="229"/>
      <c r="F416" s="229"/>
      <c r="G416" s="229"/>
      <c r="H416" s="229"/>
      <c r="I416" s="229"/>
      <c r="J416" s="229"/>
      <c r="K416" s="229"/>
      <c r="L416" s="229"/>
      <c r="M416" s="229"/>
      <c r="N416" s="229"/>
      <c r="O416" s="229"/>
      <c r="P416" s="229"/>
      <c r="Q416" s="229"/>
      <c r="R416" s="229"/>
      <c r="S416" s="229"/>
      <c r="T416" s="229"/>
      <c r="U416" s="229"/>
      <c r="V416" s="229"/>
      <c r="W416" s="229"/>
      <c r="X416" s="229"/>
      <c r="Y416" s="229"/>
      <c r="Z416" s="229"/>
      <c r="AA416" s="229"/>
    </row>
    <row r="417" customFormat="false" ht="13.5" hidden="false" customHeight="true" outlineLevel="0" collapsed="false">
      <c r="A417" s="229"/>
      <c r="B417" s="229"/>
      <c r="C417" s="229"/>
      <c r="D417" s="229"/>
      <c r="E417" s="229"/>
      <c r="F417" s="229"/>
      <c r="G417" s="229"/>
      <c r="H417" s="229"/>
      <c r="I417" s="229"/>
      <c r="J417" s="229"/>
      <c r="K417" s="229"/>
      <c r="L417" s="229"/>
      <c r="M417" s="229"/>
      <c r="N417" s="229"/>
      <c r="O417" s="229"/>
      <c r="P417" s="229"/>
      <c r="Q417" s="229"/>
      <c r="R417" s="229"/>
      <c r="S417" s="229"/>
      <c r="T417" s="229"/>
      <c r="U417" s="229"/>
      <c r="V417" s="229"/>
      <c r="W417" s="229"/>
      <c r="X417" s="229"/>
      <c r="Y417" s="229"/>
      <c r="Z417" s="229"/>
      <c r="AA417" s="229"/>
    </row>
    <row r="418" customFormat="false" ht="13.5" hidden="false" customHeight="true" outlineLevel="0" collapsed="false">
      <c r="A418" s="229"/>
      <c r="B418" s="229"/>
      <c r="C418" s="229"/>
      <c r="D418" s="229"/>
      <c r="E418" s="229"/>
      <c r="F418" s="229"/>
      <c r="G418" s="229"/>
      <c r="H418" s="229"/>
      <c r="I418" s="229"/>
      <c r="J418" s="229"/>
      <c r="K418" s="229"/>
      <c r="L418" s="229"/>
      <c r="M418" s="229"/>
      <c r="N418" s="229"/>
      <c r="O418" s="229"/>
      <c r="P418" s="229"/>
      <c r="Q418" s="229"/>
      <c r="R418" s="229"/>
      <c r="S418" s="229"/>
      <c r="T418" s="229"/>
      <c r="U418" s="229"/>
      <c r="V418" s="229"/>
      <c r="W418" s="229"/>
      <c r="X418" s="229"/>
      <c r="Y418" s="229"/>
      <c r="Z418" s="229"/>
      <c r="AA418" s="229"/>
    </row>
    <row r="419" customFormat="false" ht="13.5" hidden="false" customHeight="true" outlineLevel="0" collapsed="false">
      <c r="A419" s="229"/>
      <c r="B419" s="229"/>
      <c r="C419" s="229"/>
      <c r="D419" s="229"/>
      <c r="E419" s="229"/>
      <c r="F419" s="229"/>
      <c r="G419" s="229"/>
      <c r="H419" s="229"/>
      <c r="I419" s="229"/>
      <c r="J419" s="229"/>
      <c r="K419" s="229"/>
      <c r="L419" s="229"/>
      <c r="M419" s="229"/>
      <c r="N419" s="229"/>
      <c r="O419" s="229"/>
      <c r="P419" s="229"/>
      <c r="Q419" s="229"/>
      <c r="R419" s="229"/>
      <c r="S419" s="229"/>
      <c r="T419" s="229"/>
      <c r="U419" s="229"/>
      <c r="V419" s="229"/>
      <c r="W419" s="229"/>
      <c r="X419" s="229"/>
      <c r="Y419" s="229"/>
      <c r="Z419" s="229"/>
      <c r="AA419" s="229"/>
    </row>
    <row r="420" customFormat="false" ht="13.5" hidden="false" customHeight="true" outlineLevel="0" collapsed="false">
      <c r="A420" s="229"/>
      <c r="B420" s="229"/>
      <c r="C420" s="229"/>
      <c r="D420" s="229"/>
      <c r="E420" s="229"/>
      <c r="F420" s="229"/>
      <c r="G420" s="229"/>
      <c r="H420" s="229"/>
      <c r="I420" s="229"/>
      <c r="J420" s="229"/>
      <c r="K420" s="229"/>
      <c r="L420" s="229"/>
      <c r="M420" s="229"/>
      <c r="N420" s="229"/>
      <c r="O420" s="229"/>
      <c r="P420" s="229"/>
      <c r="Q420" s="229"/>
      <c r="R420" s="229"/>
      <c r="S420" s="229"/>
      <c r="T420" s="229"/>
      <c r="U420" s="229"/>
      <c r="V420" s="229"/>
      <c r="W420" s="229"/>
      <c r="X420" s="229"/>
      <c r="Y420" s="229"/>
      <c r="Z420" s="229"/>
      <c r="AA420" s="229"/>
    </row>
    <row r="421" customFormat="false" ht="13.5" hidden="false" customHeight="true" outlineLevel="0" collapsed="false">
      <c r="A421" s="229"/>
      <c r="B421" s="229"/>
      <c r="C421" s="229"/>
      <c r="D421" s="229"/>
      <c r="E421" s="229"/>
      <c r="F421" s="229"/>
      <c r="G421" s="229"/>
      <c r="H421" s="229"/>
      <c r="I421" s="229"/>
      <c r="J421" s="229"/>
      <c r="K421" s="229"/>
      <c r="L421" s="229"/>
      <c r="M421" s="229"/>
      <c r="N421" s="229"/>
      <c r="O421" s="229"/>
      <c r="P421" s="229"/>
      <c r="Q421" s="229"/>
      <c r="R421" s="229"/>
      <c r="S421" s="229"/>
      <c r="T421" s="229"/>
      <c r="U421" s="229"/>
      <c r="V421" s="229"/>
      <c r="W421" s="229"/>
      <c r="X421" s="229"/>
      <c r="Y421" s="229"/>
      <c r="Z421" s="229"/>
      <c r="AA421" s="229"/>
    </row>
    <row r="422" customFormat="false" ht="13.5" hidden="false" customHeight="true" outlineLevel="0" collapsed="false">
      <c r="A422" s="229"/>
      <c r="B422" s="229"/>
      <c r="C422" s="229"/>
      <c r="D422" s="229"/>
      <c r="E422" s="229"/>
      <c r="F422" s="229"/>
      <c r="G422" s="229"/>
      <c r="H422" s="229"/>
      <c r="I422" s="229"/>
      <c r="J422" s="229"/>
      <c r="K422" s="229"/>
      <c r="L422" s="229"/>
      <c r="M422" s="229"/>
      <c r="N422" s="229"/>
      <c r="O422" s="229"/>
      <c r="P422" s="229"/>
      <c r="Q422" s="229"/>
      <c r="R422" s="229"/>
      <c r="S422" s="229"/>
      <c r="T422" s="229"/>
      <c r="U422" s="229"/>
      <c r="V422" s="229"/>
      <c r="W422" s="229"/>
      <c r="X422" s="229"/>
      <c r="Y422" s="229"/>
      <c r="Z422" s="229"/>
      <c r="AA422" s="229"/>
    </row>
    <row r="423" customFormat="false" ht="13.5" hidden="false" customHeight="true" outlineLevel="0" collapsed="false">
      <c r="A423" s="229"/>
      <c r="B423" s="229"/>
      <c r="C423" s="229"/>
      <c r="D423" s="229"/>
      <c r="E423" s="229"/>
      <c r="F423" s="229"/>
      <c r="G423" s="229"/>
      <c r="H423" s="229"/>
      <c r="I423" s="229"/>
      <c r="J423" s="229"/>
      <c r="K423" s="229"/>
      <c r="L423" s="229"/>
      <c r="M423" s="229"/>
      <c r="N423" s="229"/>
      <c r="O423" s="229"/>
      <c r="P423" s="229"/>
      <c r="Q423" s="229"/>
      <c r="R423" s="229"/>
      <c r="S423" s="229"/>
      <c r="T423" s="229"/>
      <c r="U423" s="229"/>
      <c r="V423" s="229"/>
      <c r="W423" s="229"/>
      <c r="X423" s="229"/>
      <c r="Y423" s="229"/>
      <c r="Z423" s="229"/>
      <c r="AA423" s="229"/>
    </row>
    <row r="424" customFormat="false" ht="13.5" hidden="false" customHeight="true" outlineLevel="0" collapsed="false">
      <c r="A424" s="229"/>
      <c r="B424" s="229"/>
      <c r="C424" s="229"/>
      <c r="D424" s="229"/>
      <c r="E424" s="229"/>
      <c r="F424" s="229"/>
      <c r="G424" s="229"/>
      <c r="H424" s="229"/>
      <c r="I424" s="229"/>
      <c r="J424" s="229"/>
      <c r="K424" s="229"/>
      <c r="L424" s="229"/>
      <c r="M424" s="229"/>
      <c r="N424" s="229"/>
      <c r="O424" s="229"/>
      <c r="P424" s="229"/>
      <c r="Q424" s="229"/>
      <c r="R424" s="229"/>
      <c r="S424" s="229"/>
      <c r="T424" s="229"/>
      <c r="U424" s="229"/>
      <c r="V424" s="229"/>
      <c r="W424" s="229"/>
      <c r="X424" s="229"/>
      <c r="Y424" s="229"/>
      <c r="Z424" s="229"/>
      <c r="AA424" s="229"/>
    </row>
    <row r="425" customFormat="false" ht="13.5" hidden="false" customHeight="true" outlineLevel="0" collapsed="false">
      <c r="A425" s="229"/>
      <c r="B425" s="229"/>
      <c r="C425" s="229"/>
      <c r="D425" s="229"/>
      <c r="E425" s="229"/>
      <c r="F425" s="229"/>
      <c r="G425" s="229"/>
      <c r="H425" s="229"/>
      <c r="I425" s="229"/>
      <c r="J425" s="229"/>
      <c r="K425" s="229"/>
      <c r="L425" s="229"/>
      <c r="M425" s="229"/>
      <c r="N425" s="229"/>
      <c r="O425" s="229"/>
      <c r="P425" s="229"/>
      <c r="Q425" s="229"/>
      <c r="R425" s="229"/>
      <c r="S425" s="229"/>
      <c r="T425" s="229"/>
      <c r="U425" s="229"/>
      <c r="V425" s="229"/>
      <c r="W425" s="229"/>
      <c r="X425" s="229"/>
      <c r="Y425" s="229"/>
      <c r="Z425" s="229"/>
      <c r="AA425" s="229"/>
    </row>
    <row r="426" customFormat="false" ht="13.5" hidden="false" customHeight="true" outlineLevel="0" collapsed="false">
      <c r="A426" s="229"/>
      <c r="B426" s="229"/>
      <c r="C426" s="229"/>
      <c r="D426" s="229"/>
      <c r="E426" s="229"/>
      <c r="F426" s="229"/>
      <c r="G426" s="229"/>
      <c r="H426" s="229"/>
      <c r="I426" s="229"/>
      <c r="J426" s="229"/>
      <c r="K426" s="229"/>
      <c r="L426" s="229"/>
      <c r="M426" s="229"/>
      <c r="N426" s="229"/>
      <c r="O426" s="229"/>
      <c r="P426" s="229"/>
      <c r="Q426" s="229"/>
      <c r="R426" s="229"/>
      <c r="S426" s="229"/>
      <c r="T426" s="229"/>
      <c r="U426" s="229"/>
      <c r="V426" s="229"/>
      <c r="W426" s="229"/>
      <c r="X426" s="229"/>
      <c r="Y426" s="229"/>
      <c r="Z426" s="229"/>
      <c r="AA426" s="229"/>
    </row>
    <row r="427" customFormat="false" ht="13.5" hidden="false" customHeight="true" outlineLevel="0" collapsed="false">
      <c r="A427" s="229"/>
      <c r="B427" s="229"/>
      <c r="C427" s="229"/>
      <c r="D427" s="229"/>
      <c r="E427" s="229"/>
      <c r="F427" s="229"/>
      <c r="G427" s="229"/>
      <c r="H427" s="229"/>
      <c r="I427" s="229"/>
      <c r="J427" s="229"/>
      <c r="K427" s="229"/>
      <c r="L427" s="229"/>
      <c r="M427" s="229"/>
      <c r="N427" s="229"/>
      <c r="O427" s="229"/>
      <c r="P427" s="229"/>
      <c r="Q427" s="229"/>
      <c r="R427" s="229"/>
      <c r="S427" s="229"/>
      <c r="T427" s="229"/>
      <c r="U427" s="229"/>
      <c r="V427" s="229"/>
      <c r="W427" s="229"/>
      <c r="X427" s="229"/>
      <c r="Y427" s="229"/>
      <c r="Z427" s="229"/>
      <c r="AA427" s="229"/>
    </row>
    <row r="428" customFormat="false" ht="13.5" hidden="false" customHeight="true" outlineLevel="0" collapsed="false">
      <c r="A428" s="229"/>
      <c r="B428" s="229"/>
      <c r="C428" s="229"/>
      <c r="D428" s="229"/>
      <c r="E428" s="229"/>
      <c r="F428" s="229"/>
      <c r="G428" s="229"/>
      <c r="H428" s="229"/>
      <c r="I428" s="229"/>
      <c r="J428" s="229"/>
      <c r="K428" s="229"/>
      <c r="L428" s="229"/>
      <c r="M428" s="229"/>
      <c r="N428" s="229"/>
      <c r="O428" s="229"/>
      <c r="P428" s="229"/>
      <c r="Q428" s="229"/>
      <c r="R428" s="229"/>
      <c r="S428" s="229"/>
      <c r="T428" s="229"/>
      <c r="U428" s="229"/>
      <c r="V428" s="229"/>
      <c r="W428" s="229"/>
      <c r="X428" s="229"/>
      <c r="Y428" s="229"/>
      <c r="Z428" s="229"/>
      <c r="AA428" s="229"/>
    </row>
    <row r="429" customFormat="false" ht="13.5" hidden="false" customHeight="true" outlineLevel="0" collapsed="false">
      <c r="A429" s="229"/>
      <c r="B429" s="229"/>
      <c r="C429" s="229"/>
      <c r="D429" s="229"/>
      <c r="E429" s="229"/>
      <c r="F429" s="229"/>
      <c r="G429" s="229"/>
      <c r="H429" s="229"/>
      <c r="I429" s="229"/>
      <c r="J429" s="229"/>
      <c r="K429" s="229"/>
      <c r="L429" s="229"/>
      <c r="M429" s="229"/>
      <c r="N429" s="229"/>
      <c r="O429" s="229"/>
      <c r="P429" s="229"/>
      <c r="Q429" s="229"/>
      <c r="R429" s="229"/>
      <c r="S429" s="229"/>
      <c r="T429" s="229"/>
      <c r="U429" s="229"/>
      <c r="V429" s="229"/>
      <c r="W429" s="229"/>
      <c r="X429" s="229"/>
      <c r="Y429" s="229"/>
      <c r="Z429" s="229"/>
      <c r="AA429" s="229"/>
    </row>
    <row r="430" customFormat="false" ht="13.5" hidden="false" customHeight="true" outlineLevel="0" collapsed="false">
      <c r="A430" s="229"/>
      <c r="B430" s="229"/>
      <c r="C430" s="229"/>
      <c r="D430" s="229"/>
      <c r="E430" s="229"/>
      <c r="F430" s="229"/>
      <c r="G430" s="229"/>
      <c r="H430" s="229"/>
      <c r="I430" s="229"/>
      <c r="J430" s="229"/>
      <c r="K430" s="229"/>
      <c r="L430" s="229"/>
      <c r="M430" s="229"/>
      <c r="N430" s="229"/>
      <c r="O430" s="229"/>
      <c r="P430" s="229"/>
      <c r="Q430" s="229"/>
      <c r="R430" s="229"/>
      <c r="S430" s="229"/>
      <c r="T430" s="229"/>
      <c r="U430" s="229"/>
      <c r="V430" s="229"/>
      <c r="W430" s="229"/>
      <c r="X430" s="229"/>
      <c r="Y430" s="229"/>
      <c r="Z430" s="229"/>
      <c r="AA430" s="229"/>
    </row>
    <row r="431" customFormat="false" ht="13.5" hidden="false" customHeight="true" outlineLevel="0" collapsed="false">
      <c r="A431" s="229"/>
      <c r="B431" s="229"/>
      <c r="C431" s="229"/>
      <c r="D431" s="229"/>
      <c r="E431" s="229"/>
      <c r="F431" s="229"/>
      <c r="G431" s="229"/>
      <c r="H431" s="229"/>
      <c r="I431" s="229"/>
      <c r="J431" s="229"/>
      <c r="K431" s="229"/>
      <c r="L431" s="229"/>
      <c r="M431" s="229"/>
      <c r="N431" s="229"/>
      <c r="O431" s="229"/>
      <c r="P431" s="229"/>
      <c r="Q431" s="229"/>
      <c r="R431" s="229"/>
      <c r="S431" s="229"/>
      <c r="T431" s="229"/>
      <c r="U431" s="229"/>
      <c r="V431" s="229"/>
      <c r="W431" s="229"/>
      <c r="X431" s="229"/>
      <c r="Y431" s="229"/>
      <c r="Z431" s="229"/>
      <c r="AA431" s="229"/>
    </row>
    <row r="432" customFormat="false" ht="13.5" hidden="false" customHeight="true" outlineLevel="0" collapsed="false">
      <c r="A432" s="229"/>
      <c r="B432" s="229"/>
      <c r="C432" s="229"/>
      <c r="D432" s="229"/>
      <c r="E432" s="229"/>
      <c r="F432" s="229"/>
      <c r="G432" s="229"/>
      <c r="H432" s="229"/>
      <c r="I432" s="229"/>
      <c r="J432" s="229"/>
      <c r="K432" s="229"/>
      <c r="L432" s="229"/>
      <c r="M432" s="229"/>
      <c r="N432" s="229"/>
      <c r="O432" s="229"/>
      <c r="P432" s="229"/>
      <c r="Q432" s="229"/>
      <c r="R432" s="229"/>
      <c r="S432" s="229"/>
      <c r="T432" s="229"/>
      <c r="U432" s="229"/>
      <c r="V432" s="229"/>
      <c r="W432" s="229"/>
      <c r="X432" s="229"/>
      <c r="Y432" s="229"/>
      <c r="Z432" s="229"/>
      <c r="AA432" s="229"/>
    </row>
    <row r="433" customFormat="false" ht="13.5" hidden="false" customHeight="true" outlineLevel="0" collapsed="false">
      <c r="A433" s="229"/>
      <c r="B433" s="229"/>
      <c r="C433" s="229"/>
      <c r="D433" s="229"/>
      <c r="E433" s="229"/>
      <c r="F433" s="229"/>
      <c r="G433" s="229"/>
      <c r="H433" s="229"/>
      <c r="I433" s="229"/>
      <c r="J433" s="229"/>
      <c r="K433" s="229"/>
      <c r="L433" s="229"/>
      <c r="M433" s="229"/>
      <c r="N433" s="229"/>
      <c r="O433" s="229"/>
      <c r="P433" s="229"/>
      <c r="Q433" s="229"/>
      <c r="R433" s="229"/>
      <c r="S433" s="229"/>
      <c r="T433" s="229"/>
      <c r="U433" s="229"/>
      <c r="V433" s="229"/>
      <c r="W433" s="229"/>
      <c r="X433" s="229"/>
      <c r="Y433" s="229"/>
      <c r="Z433" s="229"/>
      <c r="AA433" s="229"/>
    </row>
    <row r="434" customFormat="false" ht="13.5" hidden="false" customHeight="true" outlineLevel="0" collapsed="false">
      <c r="A434" s="229"/>
      <c r="B434" s="229"/>
      <c r="C434" s="229"/>
      <c r="D434" s="229"/>
      <c r="E434" s="229"/>
      <c r="F434" s="229"/>
      <c r="G434" s="229"/>
      <c r="H434" s="229"/>
      <c r="I434" s="229"/>
      <c r="J434" s="229"/>
      <c r="K434" s="229"/>
      <c r="L434" s="229"/>
      <c r="M434" s="229"/>
      <c r="N434" s="229"/>
      <c r="O434" s="229"/>
      <c r="P434" s="229"/>
      <c r="Q434" s="229"/>
      <c r="R434" s="229"/>
      <c r="S434" s="229"/>
      <c r="T434" s="229"/>
      <c r="U434" s="229"/>
      <c r="V434" s="229"/>
      <c r="W434" s="229"/>
      <c r="X434" s="229"/>
      <c r="Y434" s="229"/>
      <c r="Z434" s="229"/>
      <c r="AA434" s="229"/>
    </row>
    <row r="435" customFormat="false" ht="13.5" hidden="false" customHeight="true" outlineLevel="0" collapsed="false">
      <c r="A435" s="229"/>
      <c r="B435" s="229"/>
      <c r="C435" s="229"/>
      <c r="D435" s="229"/>
      <c r="E435" s="229"/>
      <c r="F435" s="229"/>
      <c r="G435" s="229"/>
      <c r="H435" s="229"/>
      <c r="I435" s="229"/>
      <c r="J435" s="229"/>
      <c r="K435" s="229"/>
      <c r="L435" s="229"/>
      <c r="M435" s="229"/>
      <c r="N435" s="229"/>
      <c r="O435" s="229"/>
      <c r="P435" s="229"/>
      <c r="Q435" s="229"/>
      <c r="R435" s="229"/>
      <c r="S435" s="229"/>
      <c r="T435" s="229"/>
      <c r="U435" s="229"/>
      <c r="V435" s="229"/>
      <c r="W435" s="229"/>
      <c r="X435" s="229"/>
      <c r="Y435" s="229"/>
      <c r="Z435" s="229"/>
      <c r="AA435" s="229"/>
    </row>
    <row r="436" customFormat="false" ht="13.5" hidden="false" customHeight="true" outlineLevel="0" collapsed="false">
      <c r="A436" s="229"/>
      <c r="B436" s="229"/>
      <c r="C436" s="229"/>
      <c r="D436" s="229"/>
      <c r="E436" s="229"/>
      <c r="F436" s="229"/>
      <c r="G436" s="229"/>
      <c r="H436" s="229"/>
      <c r="I436" s="229"/>
      <c r="J436" s="229"/>
      <c r="K436" s="229"/>
      <c r="L436" s="229"/>
      <c r="M436" s="229"/>
      <c r="N436" s="229"/>
      <c r="O436" s="229"/>
      <c r="P436" s="229"/>
      <c r="Q436" s="229"/>
      <c r="R436" s="229"/>
      <c r="S436" s="229"/>
      <c r="T436" s="229"/>
      <c r="U436" s="229"/>
      <c r="V436" s="229"/>
      <c r="W436" s="229"/>
      <c r="X436" s="229"/>
      <c r="Y436" s="229"/>
      <c r="Z436" s="229"/>
      <c r="AA436" s="229"/>
    </row>
    <row r="437" customFormat="false" ht="13.5" hidden="false" customHeight="true" outlineLevel="0" collapsed="false">
      <c r="A437" s="229"/>
      <c r="B437" s="229"/>
      <c r="C437" s="229"/>
      <c r="D437" s="229"/>
      <c r="E437" s="229"/>
      <c r="F437" s="229"/>
      <c r="G437" s="229"/>
      <c r="H437" s="229"/>
      <c r="I437" s="229"/>
      <c r="J437" s="229"/>
      <c r="K437" s="229"/>
      <c r="L437" s="229"/>
      <c r="M437" s="229"/>
      <c r="N437" s="229"/>
      <c r="O437" s="229"/>
      <c r="P437" s="229"/>
      <c r="Q437" s="229"/>
      <c r="R437" s="229"/>
      <c r="S437" s="229"/>
      <c r="T437" s="229"/>
      <c r="U437" s="229"/>
      <c r="V437" s="229"/>
      <c r="W437" s="229"/>
      <c r="X437" s="229"/>
      <c r="Y437" s="229"/>
      <c r="Z437" s="229"/>
      <c r="AA437" s="229"/>
    </row>
    <row r="438" customFormat="false" ht="13.5" hidden="false" customHeight="true" outlineLevel="0" collapsed="false">
      <c r="A438" s="229"/>
      <c r="B438" s="229"/>
      <c r="C438" s="229"/>
      <c r="D438" s="229"/>
      <c r="E438" s="229"/>
      <c r="F438" s="229"/>
      <c r="G438" s="229"/>
      <c r="H438" s="229"/>
      <c r="I438" s="229"/>
      <c r="J438" s="229"/>
      <c r="K438" s="229"/>
      <c r="L438" s="229"/>
      <c r="M438" s="229"/>
      <c r="N438" s="229"/>
      <c r="O438" s="229"/>
      <c r="P438" s="229"/>
      <c r="Q438" s="229"/>
      <c r="R438" s="229"/>
      <c r="S438" s="229"/>
      <c r="T438" s="229"/>
      <c r="U438" s="229"/>
      <c r="V438" s="229"/>
      <c r="W438" s="229"/>
      <c r="X438" s="229"/>
      <c r="Y438" s="229"/>
      <c r="Z438" s="229"/>
      <c r="AA438" s="229"/>
    </row>
    <row r="439" customFormat="false" ht="13.5" hidden="false" customHeight="true" outlineLevel="0" collapsed="false">
      <c r="A439" s="229"/>
      <c r="B439" s="229"/>
      <c r="C439" s="229"/>
      <c r="D439" s="229"/>
      <c r="E439" s="229"/>
      <c r="F439" s="229"/>
      <c r="G439" s="229"/>
      <c r="H439" s="229"/>
      <c r="I439" s="229"/>
      <c r="J439" s="229"/>
      <c r="K439" s="229"/>
      <c r="L439" s="229"/>
      <c r="M439" s="229"/>
      <c r="N439" s="229"/>
      <c r="O439" s="229"/>
      <c r="P439" s="229"/>
      <c r="Q439" s="229"/>
      <c r="R439" s="229"/>
      <c r="S439" s="229"/>
      <c r="T439" s="229"/>
      <c r="U439" s="229"/>
      <c r="V439" s="229"/>
      <c r="W439" s="229"/>
      <c r="X439" s="229"/>
      <c r="Y439" s="229"/>
      <c r="Z439" s="229"/>
      <c r="AA439" s="229"/>
    </row>
    <row r="440" customFormat="false" ht="13.5" hidden="false" customHeight="true" outlineLevel="0" collapsed="false">
      <c r="A440" s="229"/>
      <c r="B440" s="229"/>
      <c r="C440" s="229"/>
      <c r="D440" s="229"/>
      <c r="E440" s="229"/>
      <c r="F440" s="229"/>
      <c r="G440" s="229"/>
      <c r="H440" s="229"/>
      <c r="I440" s="229"/>
      <c r="J440" s="229"/>
      <c r="K440" s="229"/>
      <c r="L440" s="229"/>
      <c r="M440" s="229"/>
      <c r="N440" s="229"/>
      <c r="O440" s="229"/>
      <c r="P440" s="229"/>
      <c r="Q440" s="229"/>
      <c r="R440" s="229"/>
      <c r="S440" s="229"/>
      <c r="T440" s="229"/>
      <c r="U440" s="229"/>
      <c r="V440" s="229"/>
      <c r="W440" s="229"/>
      <c r="X440" s="229"/>
      <c r="Y440" s="229"/>
      <c r="Z440" s="229"/>
      <c r="AA440" s="229"/>
    </row>
    <row r="441" customFormat="false" ht="13.5" hidden="false" customHeight="true" outlineLevel="0" collapsed="false">
      <c r="A441" s="229"/>
      <c r="B441" s="229"/>
      <c r="C441" s="229"/>
      <c r="D441" s="229"/>
      <c r="E441" s="229"/>
      <c r="F441" s="229"/>
      <c r="G441" s="229"/>
      <c r="H441" s="229"/>
      <c r="I441" s="229"/>
      <c r="J441" s="229"/>
      <c r="K441" s="229"/>
      <c r="L441" s="229"/>
      <c r="M441" s="229"/>
      <c r="N441" s="229"/>
      <c r="O441" s="229"/>
      <c r="P441" s="229"/>
      <c r="Q441" s="229"/>
      <c r="R441" s="229"/>
      <c r="S441" s="229"/>
      <c r="T441" s="229"/>
      <c r="U441" s="229"/>
      <c r="V441" s="229"/>
      <c r="W441" s="229"/>
      <c r="X441" s="229"/>
      <c r="Y441" s="229"/>
      <c r="Z441" s="229"/>
      <c r="AA441" s="229"/>
    </row>
    <row r="442" customFormat="false" ht="13.5" hidden="false" customHeight="true" outlineLevel="0" collapsed="false">
      <c r="A442" s="229"/>
      <c r="B442" s="229"/>
      <c r="C442" s="229"/>
      <c r="D442" s="229"/>
      <c r="E442" s="229"/>
      <c r="F442" s="229"/>
      <c r="G442" s="229"/>
      <c r="H442" s="229"/>
      <c r="I442" s="229"/>
      <c r="J442" s="229"/>
      <c r="K442" s="229"/>
      <c r="L442" s="229"/>
      <c r="M442" s="229"/>
      <c r="N442" s="229"/>
      <c r="O442" s="229"/>
      <c r="P442" s="229"/>
      <c r="Q442" s="229"/>
      <c r="R442" s="229"/>
      <c r="S442" s="229"/>
      <c r="T442" s="229"/>
      <c r="U442" s="229"/>
      <c r="V442" s="229"/>
      <c r="W442" s="229"/>
      <c r="X442" s="229"/>
      <c r="Y442" s="229"/>
      <c r="Z442" s="229"/>
      <c r="AA442" s="229"/>
    </row>
    <row r="443" customFormat="false" ht="13.5" hidden="false" customHeight="true" outlineLevel="0" collapsed="false">
      <c r="A443" s="229"/>
      <c r="B443" s="229"/>
      <c r="C443" s="229"/>
      <c r="D443" s="229"/>
      <c r="E443" s="229"/>
      <c r="F443" s="229"/>
      <c r="G443" s="229"/>
      <c r="H443" s="229"/>
      <c r="I443" s="229"/>
      <c r="J443" s="229"/>
      <c r="K443" s="229"/>
      <c r="L443" s="229"/>
      <c r="M443" s="229"/>
      <c r="N443" s="229"/>
      <c r="O443" s="229"/>
      <c r="P443" s="229"/>
      <c r="Q443" s="229"/>
      <c r="R443" s="229"/>
      <c r="S443" s="229"/>
      <c r="T443" s="229"/>
      <c r="U443" s="229"/>
      <c r="V443" s="229"/>
      <c r="W443" s="229"/>
      <c r="X443" s="229"/>
      <c r="Y443" s="229"/>
      <c r="Z443" s="229"/>
      <c r="AA443" s="229"/>
    </row>
    <row r="444" customFormat="false" ht="13.5" hidden="false" customHeight="true" outlineLevel="0" collapsed="false">
      <c r="A444" s="229"/>
      <c r="B444" s="229"/>
      <c r="C444" s="229"/>
      <c r="D444" s="229"/>
      <c r="E444" s="229"/>
      <c r="F444" s="229"/>
      <c r="G444" s="229"/>
      <c r="H444" s="229"/>
      <c r="I444" s="229"/>
      <c r="J444" s="229"/>
      <c r="K444" s="229"/>
      <c r="L444" s="229"/>
      <c r="M444" s="229"/>
      <c r="N444" s="229"/>
      <c r="O444" s="229"/>
      <c r="P444" s="229"/>
      <c r="Q444" s="229"/>
      <c r="R444" s="229"/>
      <c r="S444" s="229"/>
      <c r="T444" s="229"/>
      <c r="U444" s="229"/>
      <c r="V444" s="229"/>
      <c r="W444" s="229"/>
      <c r="X444" s="229"/>
      <c r="Y444" s="229"/>
      <c r="Z444" s="229"/>
      <c r="AA444" s="229"/>
    </row>
    <row r="445" customFormat="false" ht="13.5" hidden="false" customHeight="true" outlineLevel="0" collapsed="false">
      <c r="A445" s="229"/>
      <c r="B445" s="229"/>
      <c r="C445" s="229"/>
      <c r="D445" s="229"/>
      <c r="E445" s="229"/>
      <c r="F445" s="229"/>
      <c r="G445" s="229"/>
      <c r="H445" s="229"/>
      <c r="I445" s="229"/>
      <c r="J445" s="229"/>
      <c r="K445" s="229"/>
      <c r="L445" s="229"/>
      <c r="M445" s="229"/>
      <c r="N445" s="229"/>
      <c r="O445" s="229"/>
      <c r="P445" s="229"/>
      <c r="Q445" s="229"/>
      <c r="R445" s="229"/>
      <c r="S445" s="229"/>
      <c r="T445" s="229"/>
      <c r="U445" s="229"/>
      <c r="V445" s="229"/>
      <c r="W445" s="229"/>
      <c r="X445" s="229"/>
      <c r="Y445" s="229"/>
      <c r="Z445" s="229"/>
      <c r="AA445" s="229"/>
    </row>
    <row r="446" customFormat="false" ht="13.5" hidden="false" customHeight="true" outlineLevel="0" collapsed="false">
      <c r="A446" s="229"/>
      <c r="B446" s="229"/>
      <c r="C446" s="229"/>
      <c r="D446" s="229"/>
      <c r="E446" s="229"/>
      <c r="F446" s="229"/>
      <c r="G446" s="229"/>
      <c r="H446" s="229"/>
      <c r="I446" s="229"/>
      <c r="J446" s="229"/>
      <c r="K446" s="229"/>
      <c r="L446" s="229"/>
      <c r="M446" s="229"/>
      <c r="N446" s="229"/>
      <c r="O446" s="229"/>
      <c r="P446" s="229"/>
      <c r="Q446" s="229"/>
      <c r="R446" s="229"/>
      <c r="S446" s="229"/>
      <c r="T446" s="229"/>
      <c r="U446" s="229"/>
      <c r="V446" s="229"/>
      <c r="W446" s="229"/>
      <c r="X446" s="229"/>
      <c r="Y446" s="229"/>
      <c r="Z446" s="229"/>
      <c r="AA446" s="229"/>
    </row>
    <row r="447" customFormat="false" ht="13.5" hidden="false" customHeight="true" outlineLevel="0" collapsed="false">
      <c r="A447" s="229"/>
      <c r="B447" s="229"/>
      <c r="C447" s="229"/>
      <c r="D447" s="229"/>
      <c r="E447" s="229"/>
      <c r="F447" s="229"/>
      <c r="G447" s="229"/>
      <c r="H447" s="229"/>
      <c r="I447" s="229"/>
      <c r="J447" s="229"/>
      <c r="K447" s="229"/>
      <c r="L447" s="229"/>
      <c r="M447" s="229"/>
      <c r="N447" s="229"/>
      <c r="O447" s="229"/>
      <c r="P447" s="229"/>
      <c r="Q447" s="229"/>
      <c r="R447" s="229"/>
      <c r="S447" s="229"/>
      <c r="T447" s="229"/>
      <c r="U447" s="229"/>
      <c r="V447" s="229"/>
      <c r="W447" s="229"/>
      <c r="X447" s="229"/>
      <c r="Y447" s="229"/>
      <c r="Z447" s="229"/>
      <c r="AA447" s="229"/>
    </row>
    <row r="448" customFormat="false" ht="13.5" hidden="false" customHeight="true" outlineLevel="0" collapsed="false">
      <c r="A448" s="229"/>
      <c r="B448" s="229"/>
      <c r="C448" s="229"/>
      <c r="D448" s="229"/>
      <c r="E448" s="229"/>
      <c r="F448" s="229"/>
      <c r="G448" s="229"/>
      <c r="H448" s="229"/>
      <c r="I448" s="229"/>
      <c r="J448" s="229"/>
      <c r="K448" s="229"/>
      <c r="L448" s="229"/>
      <c r="M448" s="229"/>
      <c r="N448" s="229"/>
      <c r="O448" s="229"/>
      <c r="P448" s="229"/>
      <c r="Q448" s="229"/>
      <c r="R448" s="229"/>
      <c r="S448" s="229"/>
      <c r="T448" s="229"/>
      <c r="U448" s="229"/>
      <c r="V448" s="229"/>
      <c r="W448" s="229"/>
      <c r="X448" s="229"/>
      <c r="Y448" s="229"/>
      <c r="Z448" s="229"/>
      <c r="AA448" s="229"/>
    </row>
    <row r="449" customFormat="false" ht="13.5" hidden="false" customHeight="true" outlineLevel="0" collapsed="false">
      <c r="A449" s="229"/>
      <c r="B449" s="229"/>
      <c r="C449" s="229"/>
      <c r="D449" s="229"/>
      <c r="E449" s="229"/>
      <c r="F449" s="229"/>
      <c r="G449" s="229"/>
      <c r="H449" s="229"/>
      <c r="I449" s="229"/>
      <c r="J449" s="229"/>
      <c r="K449" s="229"/>
      <c r="L449" s="229"/>
      <c r="M449" s="229"/>
      <c r="N449" s="229"/>
      <c r="O449" s="229"/>
      <c r="P449" s="229"/>
      <c r="Q449" s="229"/>
      <c r="R449" s="229"/>
      <c r="S449" s="229"/>
      <c r="T449" s="229"/>
      <c r="U449" s="229"/>
      <c r="V449" s="229"/>
      <c r="W449" s="229"/>
      <c r="X449" s="229"/>
      <c r="Y449" s="229"/>
      <c r="Z449" s="229"/>
      <c r="AA449" s="229"/>
    </row>
    <row r="450" customFormat="false" ht="13.5" hidden="false" customHeight="true" outlineLevel="0" collapsed="false">
      <c r="A450" s="229"/>
      <c r="B450" s="229"/>
      <c r="C450" s="229"/>
      <c r="D450" s="229"/>
      <c r="E450" s="229"/>
      <c r="F450" s="229"/>
      <c r="G450" s="229"/>
      <c r="H450" s="229"/>
      <c r="I450" s="229"/>
      <c r="J450" s="229"/>
      <c r="K450" s="229"/>
      <c r="L450" s="229"/>
      <c r="M450" s="229"/>
      <c r="N450" s="229"/>
      <c r="O450" s="229"/>
      <c r="P450" s="229"/>
      <c r="Q450" s="229"/>
      <c r="R450" s="229"/>
      <c r="S450" s="229"/>
      <c r="T450" s="229"/>
      <c r="U450" s="229"/>
      <c r="V450" s="229"/>
      <c r="W450" s="229"/>
      <c r="X450" s="229"/>
      <c r="Y450" s="229"/>
      <c r="Z450" s="229"/>
      <c r="AA450" s="229"/>
    </row>
    <row r="451" customFormat="false" ht="13.5" hidden="false" customHeight="true" outlineLevel="0" collapsed="false">
      <c r="A451" s="229"/>
      <c r="B451" s="229"/>
      <c r="C451" s="229"/>
      <c r="D451" s="229"/>
      <c r="E451" s="229"/>
      <c r="F451" s="229"/>
      <c r="G451" s="229"/>
      <c r="H451" s="229"/>
      <c r="I451" s="229"/>
      <c r="J451" s="229"/>
      <c r="K451" s="229"/>
      <c r="L451" s="229"/>
      <c r="M451" s="229"/>
      <c r="N451" s="229"/>
      <c r="O451" s="229"/>
      <c r="P451" s="229"/>
      <c r="Q451" s="229"/>
      <c r="R451" s="229"/>
      <c r="S451" s="229"/>
      <c r="T451" s="229"/>
      <c r="U451" s="229"/>
      <c r="V451" s="229"/>
      <c r="W451" s="229"/>
      <c r="X451" s="229"/>
      <c r="Y451" s="229"/>
      <c r="Z451" s="229"/>
      <c r="AA451" s="229"/>
    </row>
    <row r="452" customFormat="false" ht="13.5" hidden="false" customHeight="true" outlineLevel="0" collapsed="false">
      <c r="A452" s="229"/>
      <c r="B452" s="229"/>
      <c r="C452" s="229"/>
      <c r="D452" s="229"/>
      <c r="E452" s="229"/>
      <c r="F452" s="229"/>
      <c r="G452" s="229"/>
      <c r="H452" s="229"/>
      <c r="I452" s="229"/>
      <c r="J452" s="229"/>
      <c r="K452" s="229"/>
      <c r="L452" s="229"/>
      <c r="M452" s="229"/>
      <c r="N452" s="229"/>
      <c r="O452" s="229"/>
      <c r="P452" s="229"/>
      <c r="Q452" s="229"/>
      <c r="R452" s="229"/>
      <c r="S452" s="229"/>
      <c r="T452" s="229"/>
      <c r="U452" s="229"/>
      <c r="V452" s="229"/>
      <c r="W452" s="229"/>
      <c r="X452" s="229"/>
      <c r="Y452" s="229"/>
      <c r="Z452" s="229"/>
      <c r="AA452" s="229"/>
    </row>
    <row r="453" customFormat="false" ht="13.5" hidden="false" customHeight="true" outlineLevel="0" collapsed="false">
      <c r="A453" s="229"/>
      <c r="B453" s="229"/>
      <c r="C453" s="229"/>
      <c r="D453" s="229"/>
      <c r="E453" s="229"/>
      <c r="F453" s="229"/>
      <c r="G453" s="229"/>
      <c r="H453" s="229"/>
      <c r="I453" s="229"/>
      <c r="J453" s="229"/>
      <c r="K453" s="229"/>
      <c r="L453" s="229"/>
      <c r="M453" s="229"/>
      <c r="N453" s="229"/>
      <c r="O453" s="229"/>
      <c r="P453" s="229"/>
      <c r="Q453" s="229"/>
      <c r="R453" s="229"/>
      <c r="S453" s="229"/>
      <c r="T453" s="229"/>
      <c r="U453" s="229"/>
      <c r="V453" s="229"/>
      <c r="W453" s="229"/>
      <c r="X453" s="229"/>
      <c r="Y453" s="229"/>
      <c r="Z453" s="229"/>
      <c r="AA453" s="229"/>
    </row>
    <row r="454" customFormat="false" ht="13.5" hidden="false" customHeight="true" outlineLevel="0" collapsed="false">
      <c r="A454" s="229"/>
      <c r="B454" s="229"/>
      <c r="C454" s="229"/>
      <c r="D454" s="229"/>
      <c r="E454" s="229"/>
      <c r="F454" s="229"/>
      <c r="G454" s="229"/>
      <c r="H454" s="229"/>
      <c r="I454" s="229"/>
      <c r="J454" s="229"/>
      <c r="K454" s="229"/>
      <c r="L454" s="229"/>
      <c r="M454" s="229"/>
      <c r="N454" s="229"/>
      <c r="O454" s="229"/>
      <c r="P454" s="229"/>
      <c r="Q454" s="229"/>
      <c r="R454" s="229"/>
      <c r="S454" s="229"/>
      <c r="T454" s="229"/>
      <c r="U454" s="229"/>
      <c r="V454" s="229"/>
      <c r="W454" s="229"/>
      <c r="X454" s="229"/>
      <c r="Y454" s="229"/>
      <c r="Z454" s="229"/>
      <c r="AA454" s="229"/>
    </row>
    <row r="455" customFormat="false" ht="13.5" hidden="false" customHeight="true" outlineLevel="0" collapsed="false">
      <c r="A455" s="229"/>
      <c r="B455" s="229"/>
      <c r="C455" s="229"/>
      <c r="D455" s="229"/>
      <c r="E455" s="229"/>
      <c r="F455" s="229"/>
      <c r="G455" s="229"/>
      <c r="H455" s="229"/>
      <c r="I455" s="229"/>
      <c r="J455" s="229"/>
      <c r="K455" s="229"/>
      <c r="L455" s="229"/>
      <c r="M455" s="229"/>
      <c r="N455" s="229"/>
      <c r="O455" s="229"/>
      <c r="P455" s="229"/>
      <c r="Q455" s="229"/>
      <c r="R455" s="229"/>
      <c r="S455" s="229"/>
      <c r="T455" s="229"/>
      <c r="U455" s="229"/>
      <c r="V455" s="229"/>
      <c r="W455" s="229"/>
      <c r="X455" s="229"/>
      <c r="Y455" s="229"/>
      <c r="Z455" s="229"/>
      <c r="AA455" s="229"/>
    </row>
    <row r="456" customFormat="false" ht="13.5" hidden="false" customHeight="true" outlineLevel="0" collapsed="false">
      <c r="A456" s="229"/>
      <c r="B456" s="229"/>
      <c r="C456" s="229"/>
      <c r="D456" s="229"/>
      <c r="E456" s="229"/>
      <c r="F456" s="229"/>
      <c r="G456" s="229"/>
      <c r="H456" s="229"/>
      <c r="I456" s="229"/>
      <c r="J456" s="229"/>
      <c r="K456" s="229"/>
      <c r="L456" s="229"/>
      <c r="M456" s="229"/>
      <c r="N456" s="229"/>
      <c r="O456" s="229"/>
      <c r="P456" s="229"/>
      <c r="Q456" s="229"/>
      <c r="R456" s="229"/>
      <c r="S456" s="229"/>
      <c r="T456" s="229"/>
      <c r="U456" s="229"/>
      <c r="V456" s="229"/>
      <c r="W456" s="229"/>
      <c r="X456" s="229"/>
      <c r="Y456" s="229"/>
      <c r="Z456" s="229"/>
      <c r="AA456" s="229"/>
    </row>
    <row r="457" customFormat="false" ht="13.5" hidden="false" customHeight="true" outlineLevel="0" collapsed="false">
      <c r="A457" s="229"/>
      <c r="B457" s="229"/>
      <c r="C457" s="229"/>
      <c r="D457" s="229"/>
      <c r="E457" s="229"/>
      <c r="F457" s="229"/>
      <c r="G457" s="229"/>
      <c r="H457" s="229"/>
      <c r="I457" s="229"/>
      <c r="J457" s="229"/>
      <c r="K457" s="229"/>
      <c r="L457" s="229"/>
      <c r="M457" s="229"/>
      <c r="N457" s="229"/>
      <c r="O457" s="229"/>
      <c r="P457" s="229"/>
      <c r="Q457" s="229"/>
      <c r="R457" s="229"/>
      <c r="S457" s="229"/>
      <c r="T457" s="229"/>
      <c r="U457" s="229"/>
      <c r="V457" s="229"/>
      <c r="W457" s="229"/>
      <c r="X457" s="229"/>
      <c r="Y457" s="229"/>
      <c r="Z457" s="229"/>
      <c r="AA457" s="229"/>
    </row>
    <row r="458" customFormat="false" ht="13.5" hidden="false" customHeight="true" outlineLevel="0" collapsed="false">
      <c r="A458" s="229"/>
      <c r="B458" s="229"/>
      <c r="C458" s="229"/>
      <c r="D458" s="229"/>
      <c r="E458" s="229"/>
      <c r="F458" s="229"/>
      <c r="G458" s="229"/>
      <c r="H458" s="229"/>
      <c r="I458" s="229"/>
      <c r="J458" s="229"/>
      <c r="K458" s="229"/>
      <c r="L458" s="229"/>
      <c r="M458" s="229"/>
      <c r="N458" s="229"/>
      <c r="O458" s="229"/>
      <c r="P458" s="229"/>
      <c r="Q458" s="229"/>
      <c r="R458" s="229"/>
      <c r="S458" s="229"/>
      <c r="T458" s="229"/>
      <c r="U458" s="229"/>
      <c r="V458" s="229"/>
      <c r="W458" s="229"/>
      <c r="X458" s="229"/>
      <c r="Y458" s="229"/>
      <c r="Z458" s="229"/>
      <c r="AA458" s="229"/>
    </row>
    <row r="459" customFormat="false" ht="13.5" hidden="false" customHeight="true" outlineLevel="0" collapsed="false">
      <c r="A459" s="229"/>
      <c r="B459" s="229"/>
      <c r="C459" s="229"/>
      <c r="D459" s="229"/>
      <c r="E459" s="229"/>
      <c r="F459" s="229"/>
      <c r="G459" s="229"/>
      <c r="H459" s="229"/>
      <c r="I459" s="229"/>
      <c r="J459" s="229"/>
      <c r="K459" s="229"/>
      <c r="L459" s="229"/>
      <c r="M459" s="229"/>
      <c r="N459" s="229"/>
      <c r="O459" s="229"/>
      <c r="P459" s="229"/>
      <c r="Q459" s="229"/>
      <c r="R459" s="229"/>
      <c r="S459" s="229"/>
      <c r="T459" s="229"/>
      <c r="U459" s="229"/>
      <c r="V459" s="229"/>
      <c r="W459" s="229"/>
      <c r="X459" s="229"/>
      <c r="Y459" s="229"/>
      <c r="Z459" s="229"/>
      <c r="AA459" s="229"/>
    </row>
    <row r="460" customFormat="false" ht="13.5" hidden="false" customHeight="true" outlineLevel="0" collapsed="false">
      <c r="A460" s="229"/>
      <c r="B460" s="229"/>
      <c r="C460" s="229"/>
      <c r="D460" s="229"/>
      <c r="E460" s="229"/>
      <c r="F460" s="229"/>
      <c r="G460" s="229"/>
      <c r="H460" s="229"/>
      <c r="I460" s="229"/>
      <c r="J460" s="229"/>
      <c r="K460" s="229"/>
      <c r="L460" s="229"/>
      <c r="M460" s="229"/>
      <c r="N460" s="229"/>
      <c r="O460" s="229"/>
      <c r="P460" s="229"/>
      <c r="Q460" s="229"/>
      <c r="R460" s="229"/>
      <c r="S460" s="229"/>
      <c r="T460" s="229"/>
      <c r="U460" s="229"/>
      <c r="V460" s="229"/>
      <c r="W460" s="229"/>
      <c r="X460" s="229"/>
      <c r="Y460" s="229"/>
      <c r="Z460" s="229"/>
      <c r="AA460" s="229"/>
    </row>
    <row r="461" customFormat="false" ht="13.5" hidden="false" customHeight="true" outlineLevel="0" collapsed="false">
      <c r="A461" s="229"/>
      <c r="B461" s="229"/>
      <c r="C461" s="229"/>
      <c r="D461" s="229"/>
      <c r="E461" s="229"/>
      <c r="F461" s="229"/>
      <c r="G461" s="229"/>
      <c r="H461" s="229"/>
      <c r="I461" s="229"/>
      <c r="J461" s="229"/>
      <c r="K461" s="229"/>
      <c r="L461" s="229"/>
      <c r="M461" s="229"/>
      <c r="N461" s="229"/>
      <c r="O461" s="229"/>
      <c r="P461" s="229"/>
      <c r="Q461" s="229"/>
      <c r="R461" s="229"/>
      <c r="S461" s="229"/>
      <c r="T461" s="229"/>
      <c r="U461" s="229"/>
      <c r="V461" s="229"/>
      <c r="W461" s="229"/>
      <c r="X461" s="229"/>
      <c r="Y461" s="229"/>
      <c r="Z461" s="229"/>
      <c r="AA461" s="229"/>
    </row>
    <row r="462" customFormat="false" ht="13.5" hidden="false" customHeight="true" outlineLevel="0" collapsed="false">
      <c r="A462" s="229"/>
      <c r="B462" s="229"/>
      <c r="C462" s="229"/>
      <c r="D462" s="229"/>
      <c r="E462" s="229"/>
      <c r="F462" s="229"/>
      <c r="G462" s="229"/>
      <c r="H462" s="229"/>
      <c r="I462" s="229"/>
      <c r="J462" s="229"/>
      <c r="K462" s="229"/>
      <c r="L462" s="229"/>
      <c r="M462" s="229"/>
      <c r="N462" s="229"/>
      <c r="O462" s="229"/>
      <c r="P462" s="229"/>
      <c r="Q462" s="229"/>
      <c r="R462" s="229"/>
      <c r="S462" s="229"/>
      <c r="T462" s="229"/>
      <c r="U462" s="229"/>
      <c r="V462" s="229"/>
      <c r="W462" s="229"/>
      <c r="X462" s="229"/>
      <c r="Y462" s="229"/>
      <c r="Z462" s="229"/>
      <c r="AA462" s="229"/>
    </row>
    <row r="463" customFormat="false" ht="13.5" hidden="false" customHeight="true" outlineLevel="0" collapsed="false">
      <c r="A463" s="229"/>
      <c r="B463" s="229"/>
      <c r="C463" s="229"/>
      <c r="D463" s="229"/>
      <c r="E463" s="229"/>
      <c r="F463" s="229"/>
      <c r="G463" s="229"/>
      <c r="H463" s="229"/>
      <c r="I463" s="229"/>
      <c r="J463" s="229"/>
      <c r="K463" s="229"/>
      <c r="L463" s="229"/>
      <c r="M463" s="229"/>
      <c r="N463" s="229"/>
      <c r="O463" s="229"/>
      <c r="P463" s="229"/>
      <c r="Q463" s="229"/>
      <c r="R463" s="229"/>
      <c r="S463" s="229"/>
      <c r="T463" s="229"/>
      <c r="U463" s="229"/>
      <c r="V463" s="229"/>
      <c r="W463" s="229"/>
      <c r="X463" s="229"/>
      <c r="Y463" s="229"/>
      <c r="Z463" s="229"/>
      <c r="AA463" s="229"/>
    </row>
    <row r="464" customFormat="false" ht="13.5" hidden="false" customHeight="true" outlineLevel="0" collapsed="false">
      <c r="A464" s="229"/>
      <c r="B464" s="229"/>
      <c r="C464" s="229"/>
      <c r="D464" s="229"/>
      <c r="E464" s="229"/>
      <c r="F464" s="229"/>
      <c r="G464" s="229"/>
      <c r="H464" s="229"/>
      <c r="I464" s="229"/>
      <c r="J464" s="229"/>
      <c r="K464" s="229"/>
      <c r="L464" s="229"/>
      <c r="M464" s="229"/>
      <c r="N464" s="229"/>
      <c r="O464" s="229"/>
      <c r="P464" s="229"/>
      <c r="Q464" s="229"/>
      <c r="R464" s="229"/>
      <c r="S464" s="229"/>
      <c r="T464" s="229"/>
      <c r="U464" s="229"/>
      <c r="V464" s="229"/>
      <c r="W464" s="229"/>
      <c r="X464" s="229"/>
      <c r="Y464" s="229"/>
      <c r="Z464" s="229"/>
      <c r="AA464" s="229"/>
    </row>
    <row r="465" customFormat="false" ht="13.5" hidden="false" customHeight="true" outlineLevel="0" collapsed="false">
      <c r="A465" s="229"/>
      <c r="B465" s="229"/>
      <c r="C465" s="229"/>
      <c r="D465" s="229"/>
      <c r="E465" s="229"/>
      <c r="F465" s="229"/>
      <c r="G465" s="229"/>
      <c r="H465" s="229"/>
      <c r="I465" s="229"/>
      <c r="J465" s="229"/>
      <c r="K465" s="229"/>
      <c r="L465" s="229"/>
      <c r="M465" s="229"/>
      <c r="N465" s="229"/>
      <c r="O465" s="229"/>
      <c r="P465" s="229"/>
      <c r="Q465" s="229"/>
      <c r="R465" s="229"/>
      <c r="S465" s="229"/>
      <c r="T465" s="229"/>
      <c r="U465" s="229"/>
      <c r="V465" s="229"/>
      <c r="W465" s="229"/>
      <c r="X465" s="229"/>
      <c r="Y465" s="229"/>
      <c r="Z465" s="229"/>
      <c r="AA465" s="229"/>
    </row>
    <row r="466" customFormat="false" ht="13.5" hidden="false" customHeight="true" outlineLevel="0" collapsed="false">
      <c r="A466" s="229"/>
      <c r="B466" s="229"/>
      <c r="C466" s="229"/>
      <c r="D466" s="229"/>
      <c r="E466" s="229"/>
      <c r="F466" s="229"/>
      <c r="G466" s="229"/>
      <c r="H466" s="229"/>
      <c r="I466" s="229"/>
      <c r="J466" s="229"/>
      <c r="K466" s="229"/>
      <c r="L466" s="229"/>
      <c r="M466" s="229"/>
      <c r="N466" s="229"/>
      <c r="O466" s="229"/>
      <c r="P466" s="229"/>
      <c r="Q466" s="229"/>
      <c r="R466" s="229"/>
      <c r="S466" s="229"/>
      <c r="T466" s="229"/>
      <c r="U466" s="229"/>
      <c r="V466" s="229"/>
      <c r="W466" s="229"/>
      <c r="X466" s="229"/>
      <c r="Y466" s="229"/>
      <c r="Z466" s="229"/>
      <c r="AA466" s="229"/>
    </row>
    <row r="467" customFormat="false" ht="13.5" hidden="false" customHeight="true" outlineLevel="0" collapsed="false">
      <c r="A467" s="229"/>
      <c r="B467" s="229"/>
      <c r="C467" s="229"/>
      <c r="D467" s="229"/>
      <c r="E467" s="229"/>
      <c r="F467" s="229"/>
      <c r="G467" s="229"/>
      <c r="H467" s="229"/>
      <c r="I467" s="229"/>
      <c r="J467" s="229"/>
      <c r="K467" s="229"/>
      <c r="L467" s="229"/>
      <c r="M467" s="229"/>
      <c r="N467" s="229"/>
      <c r="O467" s="229"/>
      <c r="P467" s="229"/>
      <c r="Q467" s="229"/>
      <c r="R467" s="229"/>
      <c r="S467" s="229"/>
      <c r="T467" s="229"/>
      <c r="U467" s="229"/>
      <c r="V467" s="229"/>
      <c r="W467" s="229"/>
      <c r="X467" s="229"/>
      <c r="Y467" s="229"/>
      <c r="Z467" s="229"/>
      <c r="AA467" s="229"/>
    </row>
    <row r="468" customFormat="false" ht="13.5" hidden="false" customHeight="true" outlineLevel="0" collapsed="false">
      <c r="A468" s="229"/>
      <c r="B468" s="229"/>
      <c r="C468" s="229"/>
      <c r="D468" s="229"/>
      <c r="E468" s="229"/>
      <c r="F468" s="229"/>
      <c r="G468" s="229"/>
      <c r="H468" s="229"/>
      <c r="I468" s="229"/>
      <c r="J468" s="229"/>
      <c r="K468" s="229"/>
      <c r="L468" s="229"/>
      <c r="M468" s="229"/>
      <c r="N468" s="229"/>
      <c r="O468" s="229"/>
      <c r="P468" s="229"/>
      <c r="Q468" s="229"/>
      <c r="R468" s="229"/>
      <c r="S468" s="229"/>
      <c r="T468" s="229"/>
      <c r="U468" s="229"/>
      <c r="V468" s="229"/>
      <c r="W468" s="229"/>
      <c r="X468" s="229"/>
      <c r="Y468" s="229"/>
      <c r="Z468" s="229"/>
      <c r="AA468" s="229"/>
    </row>
    <row r="469" customFormat="false" ht="13.5" hidden="false" customHeight="true" outlineLevel="0" collapsed="false">
      <c r="A469" s="229"/>
      <c r="B469" s="229"/>
      <c r="C469" s="229"/>
      <c r="D469" s="229"/>
      <c r="E469" s="229"/>
      <c r="F469" s="229"/>
      <c r="G469" s="229"/>
      <c r="H469" s="229"/>
      <c r="I469" s="229"/>
      <c r="J469" s="229"/>
      <c r="K469" s="229"/>
      <c r="L469" s="229"/>
      <c r="M469" s="229"/>
      <c r="N469" s="229"/>
      <c r="O469" s="229"/>
      <c r="P469" s="229"/>
      <c r="Q469" s="229"/>
      <c r="R469" s="229"/>
      <c r="S469" s="229"/>
      <c r="T469" s="229"/>
      <c r="U469" s="229"/>
      <c r="V469" s="229"/>
      <c r="W469" s="229"/>
      <c r="X469" s="229"/>
      <c r="Y469" s="229"/>
      <c r="Z469" s="229"/>
      <c r="AA469" s="229"/>
    </row>
    <row r="470" customFormat="false" ht="13.5" hidden="false" customHeight="true" outlineLevel="0" collapsed="false">
      <c r="A470" s="229"/>
      <c r="B470" s="229"/>
      <c r="C470" s="229"/>
      <c r="D470" s="229"/>
      <c r="E470" s="229"/>
      <c r="F470" s="229"/>
      <c r="G470" s="229"/>
      <c r="H470" s="229"/>
      <c r="I470" s="229"/>
      <c r="J470" s="229"/>
      <c r="K470" s="229"/>
      <c r="L470" s="229"/>
      <c r="M470" s="229"/>
      <c r="N470" s="229"/>
      <c r="O470" s="229"/>
      <c r="P470" s="229"/>
      <c r="Q470" s="229"/>
      <c r="R470" s="229"/>
      <c r="S470" s="229"/>
      <c r="T470" s="229"/>
      <c r="U470" s="229"/>
      <c r="V470" s="229"/>
      <c r="W470" s="229"/>
      <c r="X470" s="229"/>
      <c r="Y470" s="229"/>
      <c r="Z470" s="229"/>
      <c r="AA470" s="229"/>
    </row>
    <row r="471" customFormat="false" ht="13.5" hidden="false" customHeight="true" outlineLevel="0" collapsed="false">
      <c r="A471" s="229"/>
      <c r="B471" s="229"/>
      <c r="C471" s="229"/>
      <c r="D471" s="229"/>
      <c r="E471" s="229"/>
      <c r="F471" s="229"/>
      <c r="G471" s="229"/>
      <c r="H471" s="229"/>
      <c r="I471" s="229"/>
      <c r="J471" s="229"/>
      <c r="K471" s="229"/>
      <c r="L471" s="229"/>
      <c r="M471" s="229"/>
      <c r="N471" s="229"/>
      <c r="O471" s="229"/>
      <c r="P471" s="229"/>
      <c r="Q471" s="229"/>
      <c r="R471" s="229"/>
      <c r="S471" s="229"/>
      <c r="T471" s="229"/>
      <c r="U471" s="229"/>
      <c r="V471" s="229"/>
      <c r="W471" s="229"/>
      <c r="X471" s="229"/>
      <c r="Y471" s="229"/>
      <c r="Z471" s="229"/>
      <c r="AA471" s="229"/>
    </row>
    <row r="472" customFormat="false" ht="13.5" hidden="false" customHeight="true" outlineLevel="0" collapsed="false">
      <c r="A472" s="229"/>
      <c r="B472" s="229"/>
      <c r="C472" s="229"/>
      <c r="D472" s="229"/>
      <c r="E472" s="229"/>
      <c r="F472" s="229"/>
      <c r="G472" s="229"/>
      <c r="H472" s="229"/>
      <c r="I472" s="229"/>
      <c r="J472" s="229"/>
      <c r="K472" s="229"/>
      <c r="L472" s="229"/>
      <c r="M472" s="229"/>
      <c r="N472" s="229"/>
      <c r="O472" s="229"/>
      <c r="P472" s="229"/>
      <c r="Q472" s="229"/>
      <c r="R472" s="229"/>
      <c r="S472" s="229"/>
      <c r="T472" s="229"/>
      <c r="U472" s="229"/>
      <c r="V472" s="229"/>
      <c r="W472" s="229"/>
      <c r="X472" s="229"/>
      <c r="Y472" s="229"/>
      <c r="Z472" s="229"/>
      <c r="AA472" s="229"/>
    </row>
    <row r="473" customFormat="false" ht="13.5" hidden="false" customHeight="true" outlineLevel="0" collapsed="false">
      <c r="A473" s="229"/>
      <c r="B473" s="229"/>
      <c r="C473" s="229"/>
      <c r="D473" s="229"/>
      <c r="E473" s="229"/>
      <c r="F473" s="229"/>
      <c r="G473" s="229"/>
      <c r="H473" s="229"/>
      <c r="I473" s="229"/>
      <c r="J473" s="229"/>
      <c r="K473" s="229"/>
      <c r="L473" s="229"/>
      <c r="M473" s="229"/>
      <c r="N473" s="229"/>
      <c r="O473" s="229"/>
      <c r="P473" s="229"/>
      <c r="Q473" s="229"/>
      <c r="R473" s="229"/>
      <c r="S473" s="229"/>
      <c r="T473" s="229"/>
      <c r="U473" s="229"/>
      <c r="V473" s="229"/>
      <c r="W473" s="229"/>
      <c r="X473" s="229"/>
      <c r="Y473" s="229"/>
      <c r="Z473" s="229"/>
      <c r="AA473" s="229"/>
    </row>
    <row r="474" customFormat="false" ht="13.5" hidden="false" customHeight="true" outlineLevel="0" collapsed="false">
      <c r="A474" s="229"/>
      <c r="B474" s="229"/>
      <c r="C474" s="229"/>
      <c r="D474" s="229"/>
      <c r="E474" s="229"/>
      <c r="F474" s="229"/>
      <c r="G474" s="229"/>
      <c r="H474" s="229"/>
      <c r="I474" s="229"/>
      <c r="J474" s="229"/>
      <c r="K474" s="229"/>
      <c r="L474" s="229"/>
      <c r="M474" s="229"/>
      <c r="N474" s="229"/>
      <c r="O474" s="229"/>
      <c r="P474" s="229"/>
      <c r="Q474" s="229"/>
      <c r="R474" s="229"/>
      <c r="S474" s="229"/>
      <c r="T474" s="229"/>
      <c r="U474" s="229"/>
      <c r="V474" s="229"/>
      <c r="W474" s="229"/>
      <c r="X474" s="229"/>
      <c r="Y474" s="229"/>
      <c r="Z474" s="229"/>
      <c r="AA474" s="229"/>
    </row>
    <row r="475" customFormat="false" ht="13.5" hidden="false" customHeight="true" outlineLevel="0" collapsed="false">
      <c r="A475" s="229"/>
      <c r="B475" s="229"/>
      <c r="C475" s="229"/>
      <c r="D475" s="229"/>
      <c r="E475" s="229"/>
      <c r="F475" s="229"/>
      <c r="G475" s="229"/>
      <c r="H475" s="229"/>
      <c r="I475" s="229"/>
      <c r="J475" s="229"/>
      <c r="K475" s="229"/>
      <c r="L475" s="229"/>
      <c r="M475" s="229"/>
      <c r="N475" s="229"/>
      <c r="O475" s="229"/>
      <c r="P475" s="229"/>
      <c r="Q475" s="229"/>
      <c r="R475" s="229"/>
      <c r="S475" s="229"/>
      <c r="T475" s="229"/>
      <c r="U475" s="229"/>
      <c r="V475" s="229"/>
      <c r="W475" s="229"/>
      <c r="X475" s="229"/>
      <c r="Y475" s="229"/>
      <c r="Z475" s="229"/>
      <c r="AA475" s="229"/>
    </row>
    <row r="476" customFormat="false" ht="13.5" hidden="false" customHeight="true" outlineLevel="0" collapsed="false">
      <c r="A476" s="229"/>
      <c r="B476" s="229"/>
      <c r="C476" s="229"/>
      <c r="D476" s="229"/>
      <c r="E476" s="229"/>
      <c r="F476" s="229"/>
      <c r="G476" s="229"/>
      <c r="H476" s="229"/>
      <c r="I476" s="229"/>
      <c r="J476" s="229"/>
      <c r="K476" s="229"/>
      <c r="L476" s="229"/>
      <c r="M476" s="229"/>
      <c r="N476" s="229"/>
      <c r="O476" s="229"/>
      <c r="P476" s="229"/>
      <c r="Q476" s="229"/>
      <c r="R476" s="229"/>
      <c r="S476" s="229"/>
      <c r="T476" s="229"/>
      <c r="U476" s="229"/>
      <c r="V476" s="229"/>
      <c r="W476" s="229"/>
      <c r="X476" s="229"/>
      <c r="Y476" s="229"/>
      <c r="Z476" s="229"/>
      <c r="AA476" s="229"/>
    </row>
    <row r="477" customFormat="false" ht="13.5" hidden="false" customHeight="true" outlineLevel="0" collapsed="false">
      <c r="A477" s="229"/>
      <c r="B477" s="229"/>
      <c r="C477" s="229"/>
      <c r="D477" s="229"/>
      <c r="E477" s="229"/>
      <c r="F477" s="229"/>
      <c r="G477" s="229"/>
      <c r="H477" s="229"/>
      <c r="I477" s="229"/>
      <c r="J477" s="229"/>
      <c r="K477" s="229"/>
      <c r="L477" s="229"/>
      <c r="M477" s="229"/>
      <c r="N477" s="229"/>
      <c r="O477" s="229"/>
      <c r="P477" s="229"/>
      <c r="Q477" s="229"/>
      <c r="R477" s="229"/>
      <c r="S477" s="229"/>
      <c r="T477" s="229"/>
      <c r="U477" s="229"/>
      <c r="V477" s="229"/>
      <c r="W477" s="229"/>
      <c r="X477" s="229"/>
      <c r="Y477" s="229"/>
      <c r="Z477" s="229"/>
      <c r="AA477" s="229"/>
    </row>
    <row r="478" customFormat="false" ht="13.5" hidden="false" customHeight="true" outlineLevel="0" collapsed="false">
      <c r="A478" s="229"/>
      <c r="B478" s="229"/>
      <c r="C478" s="229"/>
      <c r="D478" s="229"/>
      <c r="E478" s="229"/>
      <c r="F478" s="229"/>
      <c r="G478" s="229"/>
      <c r="H478" s="229"/>
      <c r="I478" s="229"/>
      <c r="J478" s="229"/>
      <c r="K478" s="229"/>
      <c r="L478" s="229"/>
      <c r="M478" s="229"/>
      <c r="N478" s="229"/>
      <c r="O478" s="229"/>
      <c r="P478" s="229"/>
      <c r="Q478" s="229"/>
      <c r="R478" s="229"/>
      <c r="S478" s="229"/>
      <c r="T478" s="229"/>
      <c r="U478" s="229"/>
      <c r="V478" s="229"/>
      <c r="W478" s="229"/>
      <c r="X478" s="229"/>
      <c r="Y478" s="229"/>
      <c r="Z478" s="229"/>
      <c r="AA478" s="229"/>
    </row>
    <row r="479" customFormat="false" ht="13.5" hidden="false" customHeight="true" outlineLevel="0" collapsed="false">
      <c r="A479" s="229"/>
      <c r="B479" s="229"/>
      <c r="C479" s="229"/>
      <c r="D479" s="229"/>
      <c r="E479" s="229"/>
      <c r="F479" s="229"/>
      <c r="G479" s="229"/>
      <c r="H479" s="229"/>
      <c r="I479" s="229"/>
      <c r="J479" s="229"/>
      <c r="K479" s="229"/>
      <c r="L479" s="229"/>
      <c r="M479" s="229"/>
      <c r="N479" s="229"/>
      <c r="O479" s="229"/>
      <c r="P479" s="229"/>
      <c r="Q479" s="229"/>
      <c r="R479" s="229"/>
      <c r="S479" s="229"/>
      <c r="T479" s="229"/>
      <c r="U479" s="229"/>
      <c r="V479" s="229"/>
      <c r="W479" s="229"/>
      <c r="X479" s="229"/>
      <c r="Y479" s="229"/>
      <c r="Z479" s="229"/>
      <c r="AA479" s="229"/>
    </row>
    <row r="480" customFormat="false" ht="13.5" hidden="false" customHeight="true" outlineLevel="0" collapsed="false">
      <c r="A480" s="229"/>
      <c r="B480" s="229"/>
      <c r="C480" s="229"/>
      <c r="D480" s="229"/>
      <c r="E480" s="229"/>
      <c r="F480" s="229"/>
      <c r="G480" s="229"/>
      <c r="H480" s="229"/>
      <c r="I480" s="229"/>
      <c r="J480" s="229"/>
      <c r="K480" s="229"/>
      <c r="L480" s="229"/>
      <c r="M480" s="229"/>
      <c r="N480" s="229"/>
      <c r="O480" s="229"/>
      <c r="P480" s="229"/>
      <c r="Q480" s="229"/>
      <c r="R480" s="229"/>
      <c r="S480" s="229"/>
      <c r="T480" s="229"/>
      <c r="U480" s="229"/>
      <c r="V480" s="229"/>
      <c r="W480" s="229"/>
      <c r="X480" s="229"/>
      <c r="Y480" s="229"/>
      <c r="Z480" s="229"/>
      <c r="AA480" s="229"/>
    </row>
    <row r="481" customFormat="false" ht="13.5" hidden="false" customHeight="true" outlineLevel="0" collapsed="false">
      <c r="A481" s="229"/>
      <c r="B481" s="229"/>
      <c r="C481" s="229"/>
      <c r="D481" s="229"/>
      <c r="E481" s="229"/>
      <c r="F481" s="229"/>
      <c r="G481" s="229"/>
      <c r="H481" s="229"/>
      <c r="I481" s="229"/>
      <c r="J481" s="229"/>
      <c r="K481" s="229"/>
      <c r="L481" s="229"/>
      <c r="M481" s="229"/>
      <c r="N481" s="229"/>
      <c r="O481" s="229"/>
      <c r="P481" s="229"/>
      <c r="Q481" s="229"/>
      <c r="R481" s="229"/>
      <c r="S481" s="229"/>
      <c r="T481" s="229"/>
      <c r="U481" s="229"/>
      <c r="V481" s="229"/>
      <c r="W481" s="229"/>
      <c r="X481" s="229"/>
      <c r="Y481" s="229"/>
      <c r="Z481" s="229"/>
      <c r="AA481" s="229"/>
    </row>
    <row r="482" customFormat="false" ht="13.5" hidden="false" customHeight="true" outlineLevel="0" collapsed="false">
      <c r="A482" s="229"/>
      <c r="B482" s="229"/>
      <c r="C482" s="229"/>
      <c r="D482" s="229"/>
      <c r="E482" s="229"/>
      <c r="F482" s="229"/>
      <c r="G482" s="229"/>
      <c r="H482" s="229"/>
      <c r="I482" s="229"/>
      <c r="J482" s="229"/>
      <c r="K482" s="229"/>
      <c r="L482" s="229"/>
      <c r="M482" s="229"/>
      <c r="N482" s="229"/>
      <c r="O482" s="229"/>
      <c r="P482" s="229"/>
      <c r="Q482" s="229"/>
      <c r="R482" s="229"/>
      <c r="S482" s="229"/>
      <c r="T482" s="229"/>
      <c r="U482" s="229"/>
      <c r="V482" s="229"/>
      <c r="W482" s="229"/>
      <c r="X482" s="229"/>
      <c r="Y482" s="229"/>
      <c r="Z482" s="229"/>
      <c r="AA482" s="229"/>
    </row>
    <row r="483" customFormat="false" ht="13.5" hidden="false" customHeight="true" outlineLevel="0" collapsed="false">
      <c r="A483" s="229"/>
      <c r="B483" s="229"/>
      <c r="C483" s="229"/>
      <c r="D483" s="229"/>
      <c r="E483" s="229"/>
      <c r="F483" s="229"/>
      <c r="G483" s="229"/>
      <c r="H483" s="229"/>
      <c r="I483" s="229"/>
      <c r="J483" s="229"/>
      <c r="K483" s="229"/>
      <c r="L483" s="229"/>
      <c r="M483" s="229"/>
      <c r="N483" s="229"/>
      <c r="O483" s="229"/>
      <c r="P483" s="229"/>
      <c r="Q483" s="229"/>
      <c r="R483" s="229"/>
      <c r="S483" s="229"/>
      <c r="T483" s="229"/>
      <c r="U483" s="229"/>
      <c r="V483" s="229"/>
      <c r="W483" s="229"/>
      <c r="X483" s="229"/>
      <c r="Y483" s="229"/>
      <c r="Z483" s="229"/>
      <c r="AA483" s="229"/>
    </row>
    <row r="484" customFormat="false" ht="13.5" hidden="false" customHeight="true" outlineLevel="0" collapsed="false">
      <c r="A484" s="229"/>
      <c r="B484" s="229"/>
      <c r="C484" s="229"/>
      <c r="D484" s="229"/>
      <c r="E484" s="229"/>
      <c r="F484" s="229"/>
      <c r="G484" s="229"/>
      <c r="H484" s="229"/>
      <c r="I484" s="229"/>
      <c r="J484" s="229"/>
      <c r="K484" s="229"/>
      <c r="L484" s="229"/>
      <c r="M484" s="229"/>
      <c r="N484" s="229"/>
      <c r="O484" s="229"/>
      <c r="P484" s="229"/>
      <c r="Q484" s="229"/>
      <c r="R484" s="229"/>
      <c r="S484" s="229"/>
      <c r="T484" s="229"/>
      <c r="U484" s="229"/>
      <c r="V484" s="229"/>
      <c r="W484" s="229"/>
      <c r="X484" s="229"/>
      <c r="Y484" s="229"/>
      <c r="Z484" s="229"/>
      <c r="AA484" s="229"/>
    </row>
    <row r="485" customFormat="false" ht="13.5" hidden="false" customHeight="true" outlineLevel="0" collapsed="false">
      <c r="A485" s="229"/>
      <c r="B485" s="229"/>
      <c r="C485" s="229"/>
      <c r="D485" s="229"/>
      <c r="E485" s="229"/>
      <c r="F485" s="229"/>
      <c r="G485" s="229"/>
      <c r="H485" s="229"/>
      <c r="I485" s="229"/>
      <c r="J485" s="229"/>
      <c r="K485" s="229"/>
      <c r="L485" s="229"/>
      <c r="M485" s="229"/>
      <c r="N485" s="229"/>
      <c r="O485" s="229"/>
      <c r="P485" s="229"/>
      <c r="Q485" s="229"/>
      <c r="R485" s="229"/>
      <c r="S485" s="229"/>
      <c r="T485" s="229"/>
      <c r="U485" s="229"/>
      <c r="V485" s="229"/>
      <c r="W485" s="229"/>
      <c r="X485" s="229"/>
      <c r="Y485" s="229"/>
      <c r="Z485" s="229"/>
      <c r="AA485" s="229"/>
    </row>
    <row r="486" customFormat="false" ht="13.5" hidden="false" customHeight="true" outlineLevel="0" collapsed="false">
      <c r="A486" s="229"/>
      <c r="B486" s="229"/>
      <c r="C486" s="229"/>
      <c r="D486" s="229"/>
      <c r="E486" s="229"/>
      <c r="F486" s="229"/>
      <c r="G486" s="229"/>
      <c r="H486" s="229"/>
      <c r="I486" s="229"/>
      <c r="J486" s="229"/>
      <c r="K486" s="229"/>
      <c r="L486" s="229"/>
      <c r="M486" s="229"/>
      <c r="N486" s="229"/>
      <c r="O486" s="229"/>
      <c r="P486" s="229"/>
      <c r="Q486" s="229"/>
      <c r="R486" s="229"/>
      <c r="S486" s="229"/>
      <c r="T486" s="229"/>
      <c r="U486" s="229"/>
      <c r="V486" s="229"/>
      <c r="W486" s="229"/>
      <c r="X486" s="229"/>
      <c r="Y486" s="229"/>
      <c r="Z486" s="229"/>
      <c r="AA486" s="229"/>
    </row>
    <row r="487" customFormat="false" ht="13.5" hidden="false" customHeight="true" outlineLevel="0" collapsed="false">
      <c r="A487" s="229"/>
      <c r="B487" s="229"/>
      <c r="C487" s="229"/>
      <c r="D487" s="229"/>
      <c r="E487" s="229"/>
      <c r="F487" s="229"/>
      <c r="G487" s="229"/>
      <c r="H487" s="229"/>
      <c r="I487" s="229"/>
      <c r="J487" s="229"/>
      <c r="K487" s="229"/>
      <c r="L487" s="229"/>
      <c r="M487" s="229"/>
      <c r="N487" s="229"/>
      <c r="O487" s="229"/>
      <c r="P487" s="229"/>
      <c r="Q487" s="229"/>
      <c r="R487" s="229"/>
      <c r="S487" s="229"/>
      <c r="T487" s="229"/>
      <c r="U487" s="229"/>
      <c r="V487" s="229"/>
      <c r="W487" s="229"/>
      <c r="X487" s="229"/>
      <c r="Y487" s="229"/>
      <c r="Z487" s="229"/>
      <c r="AA487" s="229"/>
    </row>
    <row r="488" customFormat="false" ht="13.5" hidden="false" customHeight="true" outlineLevel="0" collapsed="false">
      <c r="A488" s="229"/>
      <c r="B488" s="229"/>
      <c r="C488" s="229"/>
      <c r="D488" s="229"/>
      <c r="E488" s="229"/>
      <c r="F488" s="229"/>
      <c r="G488" s="229"/>
      <c r="H488" s="229"/>
      <c r="I488" s="229"/>
      <c r="J488" s="229"/>
      <c r="K488" s="229"/>
      <c r="L488" s="229"/>
      <c r="M488" s="229"/>
      <c r="N488" s="229"/>
      <c r="O488" s="229"/>
      <c r="P488" s="229"/>
      <c r="Q488" s="229"/>
      <c r="R488" s="229"/>
      <c r="S488" s="229"/>
      <c r="T488" s="229"/>
      <c r="U488" s="229"/>
      <c r="V488" s="229"/>
      <c r="W488" s="229"/>
      <c r="X488" s="229"/>
      <c r="Y488" s="229"/>
      <c r="Z488" s="229"/>
      <c r="AA488" s="229"/>
    </row>
    <row r="489" customFormat="false" ht="13.5" hidden="false" customHeight="true" outlineLevel="0" collapsed="false">
      <c r="A489" s="229"/>
      <c r="B489" s="229"/>
      <c r="C489" s="229"/>
      <c r="D489" s="229"/>
      <c r="E489" s="229"/>
      <c r="F489" s="229"/>
      <c r="G489" s="229"/>
      <c r="H489" s="229"/>
      <c r="I489" s="229"/>
      <c r="J489" s="229"/>
      <c r="K489" s="229"/>
      <c r="L489" s="229"/>
      <c r="M489" s="229"/>
      <c r="N489" s="229"/>
      <c r="O489" s="229"/>
      <c r="P489" s="229"/>
      <c r="Q489" s="229"/>
      <c r="R489" s="229"/>
      <c r="S489" s="229"/>
      <c r="T489" s="229"/>
      <c r="U489" s="229"/>
      <c r="V489" s="229"/>
      <c r="W489" s="229"/>
      <c r="X489" s="229"/>
      <c r="Y489" s="229"/>
      <c r="Z489" s="229"/>
      <c r="AA489" s="229"/>
    </row>
    <row r="490" customFormat="false" ht="13.5" hidden="false" customHeight="true" outlineLevel="0" collapsed="false">
      <c r="A490" s="229"/>
      <c r="B490" s="229"/>
      <c r="C490" s="229"/>
      <c r="D490" s="229"/>
      <c r="E490" s="229"/>
      <c r="F490" s="229"/>
      <c r="G490" s="229"/>
      <c r="H490" s="229"/>
      <c r="I490" s="229"/>
      <c r="J490" s="229"/>
      <c r="K490" s="229"/>
      <c r="L490" s="229"/>
      <c r="M490" s="229"/>
      <c r="N490" s="229"/>
      <c r="O490" s="229"/>
      <c r="P490" s="229"/>
      <c r="Q490" s="229"/>
      <c r="R490" s="229"/>
      <c r="S490" s="229"/>
      <c r="T490" s="229"/>
      <c r="U490" s="229"/>
      <c r="V490" s="229"/>
      <c r="W490" s="229"/>
      <c r="X490" s="229"/>
      <c r="Y490" s="229"/>
      <c r="Z490" s="229"/>
      <c r="AA490" s="229"/>
    </row>
    <row r="491" customFormat="false" ht="13.5" hidden="false" customHeight="true" outlineLevel="0" collapsed="false">
      <c r="A491" s="229"/>
      <c r="B491" s="229"/>
      <c r="C491" s="229"/>
      <c r="D491" s="229"/>
      <c r="E491" s="229"/>
      <c r="F491" s="229"/>
      <c r="G491" s="229"/>
      <c r="H491" s="229"/>
      <c r="I491" s="229"/>
      <c r="J491" s="229"/>
      <c r="K491" s="229"/>
      <c r="L491" s="229"/>
      <c r="M491" s="229"/>
      <c r="N491" s="229"/>
      <c r="O491" s="229"/>
      <c r="P491" s="229"/>
      <c r="Q491" s="229"/>
      <c r="R491" s="229"/>
      <c r="S491" s="229"/>
      <c r="T491" s="229"/>
      <c r="U491" s="229"/>
      <c r="V491" s="229"/>
      <c r="W491" s="229"/>
      <c r="X491" s="229"/>
      <c r="Y491" s="229"/>
      <c r="Z491" s="229"/>
      <c r="AA491" s="229"/>
    </row>
    <row r="492" customFormat="false" ht="13.5" hidden="false" customHeight="true" outlineLevel="0" collapsed="false">
      <c r="A492" s="229"/>
      <c r="B492" s="229"/>
      <c r="C492" s="229"/>
      <c r="D492" s="229"/>
      <c r="E492" s="229"/>
      <c r="F492" s="229"/>
      <c r="G492" s="229"/>
      <c r="H492" s="229"/>
      <c r="I492" s="229"/>
      <c r="J492" s="229"/>
      <c r="K492" s="229"/>
      <c r="L492" s="229"/>
      <c r="M492" s="229"/>
      <c r="N492" s="229"/>
      <c r="O492" s="229"/>
      <c r="P492" s="229"/>
      <c r="Q492" s="229"/>
      <c r="R492" s="229"/>
      <c r="S492" s="229"/>
      <c r="T492" s="229"/>
      <c r="U492" s="229"/>
      <c r="V492" s="229"/>
      <c r="W492" s="229"/>
      <c r="X492" s="229"/>
      <c r="Y492" s="229"/>
      <c r="Z492" s="229"/>
      <c r="AA492" s="229"/>
    </row>
    <row r="493" customFormat="false" ht="13.5" hidden="false" customHeight="true" outlineLevel="0" collapsed="false">
      <c r="A493" s="229"/>
      <c r="B493" s="229"/>
      <c r="C493" s="229"/>
      <c r="D493" s="229"/>
      <c r="E493" s="229"/>
      <c r="F493" s="229"/>
      <c r="G493" s="229"/>
      <c r="H493" s="229"/>
      <c r="I493" s="229"/>
      <c r="J493" s="229"/>
      <c r="K493" s="229"/>
      <c r="L493" s="229"/>
      <c r="M493" s="229"/>
      <c r="N493" s="229"/>
      <c r="O493" s="229"/>
      <c r="P493" s="229"/>
      <c r="Q493" s="229"/>
      <c r="R493" s="229"/>
      <c r="S493" s="229"/>
      <c r="T493" s="229"/>
      <c r="U493" s="229"/>
      <c r="V493" s="229"/>
      <c r="W493" s="229"/>
      <c r="X493" s="229"/>
      <c r="Y493" s="229"/>
      <c r="Z493" s="229"/>
      <c r="AA493" s="229"/>
    </row>
    <row r="494" customFormat="false" ht="13.5" hidden="false" customHeight="true" outlineLevel="0" collapsed="false">
      <c r="A494" s="229"/>
      <c r="B494" s="229"/>
      <c r="C494" s="229"/>
      <c r="D494" s="229"/>
      <c r="E494" s="229"/>
      <c r="F494" s="229"/>
      <c r="G494" s="229"/>
      <c r="H494" s="229"/>
      <c r="I494" s="229"/>
      <c r="J494" s="229"/>
      <c r="K494" s="229"/>
      <c r="L494" s="229"/>
      <c r="M494" s="229"/>
      <c r="N494" s="229"/>
      <c r="O494" s="229"/>
      <c r="P494" s="229"/>
      <c r="Q494" s="229"/>
      <c r="R494" s="229"/>
      <c r="S494" s="229"/>
      <c r="T494" s="229"/>
      <c r="U494" s="229"/>
      <c r="V494" s="229"/>
      <c r="W494" s="229"/>
      <c r="X494" s="229"/>
      <c r="Y494" s="229"/>
      <c r="Z494" s="229"/>
      <c r="AA494" s="229"/>
    </row>
    <row r="495" customFormat="false" ht="13.5" hidden="false" customHeight="true" outlineLevel="0" collapsed="false">
      <c r="A495" s="229"/>
      <c r="B495" s="229"/>
      <c r="C495" s="229"/>
      <c r="D495" s="229"/>
      <c r="E495" s="229"/>
      <c r="F495" s="229"/>
      <c r="G495" s="229"/>
      <c r="H495" s="229"/>
      <c r="I495" s="229"/>
      <c r="J495" s="229"/>
      <c r="K495" s="229"/>
      <c r="L495" s="229"/>
      <c r="M495" s="229"/>
      <c r="N495" s="229"/>
      <c r="O495" s="229"/>
      <c r="P495" s="229"/>
      <c r="Q495" s="229"/>
      <c r="R495" s="229"/>
      <c r="S495" s="229"/>
      <c r="T495" s="229"/>
      <c r="U495" s="229"/>
      <c r="V495" s="229"/>
      <c r="W495" s="229"/>
      <c r="X495" s="229"/>
      <c r="Y495" s="229"/>
      <c r="Z495" s="229"/>
      <c r="AA495" s="229"/>
    </row>
    <row r="496" customFormat="false" ht="13.5" hidden="false" customHeight="true" outlineLevel="0" collapsed="false">
      <c r="A496" s="229"/>
      <c r="B496" s="229"/>
      <c r="C496" s="229"/>
      <c r="D496" s="229"/>
      <c r="E496" s="229"/>
      <c r="F496" s="229"/>
      <c r="G496" s="229"/>
      <c r="H496" s="229"/>
      <c r="I496" s="229"/>
      <c r="J496" s="229"/>
      <c r="K496" s="229"/>
      <c r="L496" s="229"/>
      <c r="M496" s="229"/>
      <c r="N496" s="229"/>
      <c r="O496" s="229"/>
      <c r="P496" s="229"/>
      <c r="Q496" s="229"/>
      <c r="R496" s="229"/>
      <c r="S496" s="229"/>
      <c r="T496" s="229"/>
      <c r="U496" s="229"/>
      <c r="V496" s="229"/>
      <c r="W496" s="229"/>
      <c r="X496" s="229"/>
      <c r="Y496" s="229"/>
      <c r="Z496" s="229"/>
      <c r="AA496" s="229"/>
    </row>
    <row r="497" customFormat="false" ht="13.5" hidden="false" customHeight="true" outlineLevel="0" collapsed="false">
      <c r="A497" s="229"/>
      <c r="B497" s="229"/>
      <c r="C497" s="229"/>
      <c r="D497" s="229"/>
      <c r="E497" s="229"/>
      <c r="F497" s="229"/>
      <c r="G497" s="229"/>
      <c r="H497" s="229"/>
      <c r="I497" s="229"/>
      <c r="J497" s="229"/>
      <c r="K497" s="229"/>
      <c r="L497" s="229"/>
      <c r="M497" s="229"/>
      <c r="N497" s="229"/>
      <c r="O497" s="229"/>
      <c r="P497" s="229"/>
      <c r="Q497" s="229"/>
      <c r="R497" s="229"/>
      <c r="S497" s="229"/>
      <c r="T497" s="229"/>
      <c r="U497" s="229"/>
      <c r="V497" s="229"/>
      <c r="W497" s="229"/>
      <c r="X497" s="229"/>
      <c r="Y497" s="229"/>
      <c r="Z497" s="229"/>
      <c r="AA497" s="229"/>
    </row>
    <row r="498" customFormat="false" ht="13.5" hidden="false" customHeight="true" outlineLevel="0" collapsed="false">
      <c r="A498" s="229"/>
      <c r="B498" s="229"/>
      <c r="C498" s="229"/>
      <c r="D498" s="229"/>
      <c r="E498" s="229"/>
      <c r="F498" s="229"/>
      <c r="G498" s="229"/>
      <c r="H498" s="229"/>
      <c r="I498" s="229"/>
      <c r="J498" s="229"/>
      <c r="K498" s="229"/>
      <c r="L498" s="229"/>
      <c r="M498" s="229"/>
      <c r="N498" s="229"/>
      <c r="O498" s="229"/>
      <c r="P498" s="229"/>
      <c r="Q498" s="229"/>
      <c r="R498" s="229"/>
      <c r="S498" s="229"/>
      <c r="T498" s="229"/>
      <c r="U498" s="229"/>
      <c r="V498" s="229"/>
      <c r="W498" s="229"/>
      <c r="X498" s="229"/>
      <c r="Y498" s="229"/>
      <c r="Z498" s="229"/>
      <c r="AA498" s="229"/>
    </row>
    <row r="499" customFormat="false" ht="13.5" hidden="false" customHeight="true" outlineLevel="0" collapsed="false">
      <c r="A499" s="229"/>
      <c r="B499" s="229"/>
      <c r="C499" s="229"/>
      <c r="D499" s="229"/>
      <c r="E499" s="229"/>
      <c r="F499" s="229"/>
      <c r="G499" s="229"/>
      <c r="H499" s="229"/>
      <c r="I499" s="229"/>
      <c r="J499" s="229"/>
      <c r="K499" s="229"/>
      <c r="L499" s="229"/>
      <c r="M499" s="229"/>
      <c r="N499" s="229"/>
      <c r="O499" s="229"/>
      <c r="P499" s="229"/>
      <c r="Q499" s="229"/>
      <c r="R499" s="229"/>
      <c r="S499" s="229"/>
      <c r="T499" s="229"/>
      <c r="U499" s="229"/>
      <c r="V499" s="229"/>
      <c r="W499" s="229"/>
      <c r="X499" s="229"/>
      <c r="Y499" s="229"/>
      <c r="Z499" s="229"/>
      <c r="AA499" s="229"/>
    </row>
    <row r="500" customFormat="false" ht="13.5" hidden="false" customHeight="true" outlineLevel="0" collapsed="false">
      <c r="A500" s="229"/>
      <c r="B500" s="229"/>
      <c r="C500" s="229"/>
      <c r="D500" s="229"/>
      <c r="E500" s="229"/>
      <c r="F500" s="229"/>
      <c r="G500" s="229"/>
      <c r="H500" s="229"/>
      <c r="I500" s="229"/>
      <c r="J500" s="229"/>
      <c r="K500" s="229"/>
      <c r="L500" s="229"/>
      <c r="M500" s="229"/>
      <c r="N500" s="229"/>
      <c r="O500" s="229"/>
      <c r="P500" s="229"/>
      <c r="Q500" s="229"/>
      <c r="R500" s="229"/>
      <c r="S500" s="229"/>
      <c r="T500" s="229"/>
      <c r="U500" s="229"/>
      <c r="V500" s="229"/>
      <c r="W500" s="229"/>
      <c r="X500" s="229"/>
      <c r="Y500" s="229"/>
      <c r="Z500" s="229"/>
      <c r="AA500" s="229"/>
    </row>
    <row r="501" customFormat="false" ht="13.5" hidden="false" customHeight="true" outlineLevel="0" collapsed="false">
      <c r="A501" s="229"/>
      <c r="B501" s="229"/>
      <c r="C501" s="229"/>
      <c r="D501" s="229"/>
      <c r="E501" s="229"/>
      <c r="F501" s="229"/>
      <c r="G501" s="229"/>
      <c r="H501" s="229"/>
      <c r="I501" s="229"/>
      <c r="J501" s="229"/>
      <c r="K501" s="229"/>
      <c r="L501" s="229"/>
      <c r="M501" s="229"/>
      <c r="N501" s="229"/>
      <c r="O501" s="229"/>
      <c r="P501" s="229"/>
      <c r="Q501" s="229"/>
      <c r="R501" s="229"/>
      <c r="S501" s="229"/>
      <c r="T501" s="229"/>
      <c r="U501" s="229"/>
      <c r="V501" s="229"/>
      <c r="W501" s="229"/>
      <c r="X501" s="229"/>
      <c r="Y501" s="229"/>
      <c r="Z501" s="229"/>
      <c r="AA501" s="229"/>
    </row>
    <row r="502" customFormat="false" ht="13.5" hidden="false" customHeight="true" outlineLevel="0" collapsed="false">
      <c r="A502" s="229"/>
      <c r="B502" s="229"/>
      <c r="C502" s="229"/>
      <c r="D502" s="229"/>
      <c r="E502" s="229"/>
      <c r="F502" s="229"/>
      <c r="G502" s="229"/>
      <c r="H502" s="229"/>
      <c r="I502" s="229"/>
      <c r="J502" s="229"/>
      <c r="K502" s="229"/>
      <c r="L502" s="229"/>
      <c r="M502" s="229"/>
      <c r="N502" s="229"/>
      <c r="O502" s="229"/>
      <c r="P502" s="229"/>
      <c r="Q502" s="229"/>
      <c r="R502" s="229"/>
      <c r="S502" s="229"/>
      <c r="T502" s="229"/>
      <c r="U502" s="229"/>
      <c r="V502" s="229"/>
      <c r="W502" s="229"/>
      <c r="X502" s="229"/>
      <c r="Y502" s="229"/>
      <c r="Z502" s="229"/>
      <c r="AA502" s="229"/>
    </row>
    <row r="503" customFormat="false" ht="13.5" hidden="false" customHeight="true" outlineLevel="0" collapsed="false">
      <c r="A503" s="229"/>
      <c r="B503" s="229"/>
      <c r="C503" s="229"/>
      <c r="D503" s="229"/>
      <c r="E503" s="229"/>
      <c r="F503" s="229"/>
      <c r="G503" s="229"/>
      <c r="H503" s="229"/>
      <c r="I503" s="229"/>
      <c r="J503" s="229"/>
      <c r="K503" s="229"/>
      <c r="L503" s="229"/>
      <c r="M503" s="229"/>
      <c r="N503" s="229"/>
      <c r="O503" s="229"/>
      <c r="P503" s="229"/>
      <c r="Q503" s="229"/>
      <c r="R503" s="229"/>
      <c r="S503" s="229"/>
      <c r="T503" s="229"/>
      <c r="U503" s="229"/>
      <c r="V503" s="229"/>
      <c r="W503" s="229"/>
      <c r="X503" s="229"/>
      <c r="Y503" s="229"/>
      <c r="Z503" s="229"/>
      <c r="AA503" s="229"/>
    </row>
    <row r="504" customFormat="false" ht="13.5" hidden="false" customHeight="true" outlineLevel="0" collapsed="false">
      <c r="A504" s="229"/>
      <c r="B504" s="229"/>
      <c r="C504" s="229"/>
      <c r="D504" s="229"/>
      <c r="E504" s="229"/>
      <c r="F504" s="229"/>
      <c r="G504" s="229"/>
      <c r="H504" s="229"/>
      <c r="I504" s="229"/>
      <c r="J504" s="229"/>
      <c r="K504" s="229"/>
      <c r="L504" s="229"/>
      <c r="M504" s="229"/>
      <c r="N504" s="229"/>
      <c r="O504" s="229"/>
      <c r="P504" s="229"/>
      <c r="Q504" s="229"/>
      <c r="R504" s="229"/>
      <c r="S504" s="229"/>
      <c r="T504" s="229"/>
      <c r="U504" s="229"/>
      <c r="V504" s="229"/>
      <c r="W504" s="229"/>
      <c r="X504" s="229"/>
      <c r="Y504" s="229"/>
      <c r="Z504" s="229"/>
      <c r="AA504" s="229"/>
    </row>
    <row r="505" customFormat="false" ht="13.5" hidden="false" customHeight="true" outlineLevel="0" collapsed="false">
      <c r="A505" s="229"/>
      <c r="B505" s="229"/>
      <c r="C505" s="229"/>
      <c r="D505" s="229"/>
      <c r="E505" s="229"/>
      <c r="F505" s="229"/>
      <c r="G505" s="229"/>
      <c r="H505" s="229"/>
      <c r="I505" s="229"/>
      <c r="J505" s="229"/>
      <c r="K505" s="229"/>
      <c r="L505" s="229"/>
      <c r="M505" s="229"/>
      <c r="N505" s="229"/>
      <c r="O505" s="229"/>
      <c r="P505" s="229"/>
      <c r="Q505" s="229"/>
      <c r="R505" s="229"/>
      <c r="S505" s="229"/>
      <c r="T505" s="229"/>
      <c r="U505" s="229"/>
      <c r="V505" s="229"/>
      <c r="W505" s="229"/>
      <c r="X505" s="229"/>
      <c r="Y505" s="229"/>
      <c r="Z505" s="229"/>
      <c r="AA505" s="229"/>
    </row>
    <row r="506" customFormat="false" ht="13.5" hidden="false" customHeight="true" outlineLevel="0" collapsed="false">
      <c r="A506" s="229"/>
      <c r="B506" s="229"/>
      <c r="C506" s="229"/>
      <c r="D506" s="229"/>
      <c r="E506" s="229"/>
      <c r="F506" s="229"/>
      <c r="G506" s="229"/>
      <c r="H506" s="229"/>
      <c r="I506" s="229"/>
      <c r="J506" s="229"/>
      <c r="K506" s="229"/>
      <c r="L506" s="229"/>
      <c r="M506" s="229"/>
      <c r="N506" s="229"/>
      <c r="O506" s="229"/>
      <c r="P506" s="229"/>
      <c r="Q506" s="229"/>
      <c r="R506" s="229"/>
      <c r="S506" s="229"/>
      <c r="T506" s="229"/>
      <c r="U506" s="229"/>
      <c r="V506" s="229"/>
      <c r="W506" s="229"/>
      <c r="X506" s="229"/>
      <c r="Y506" s="229"/>
      <c r="Z506" s="229"/>
      <c r="AA506" s="229"/>
    </row>
    <row r="507" customFormat="false" ht="13.5" hidden="false" customHeight="true" outlineLevel="0" collapsed="false">
      <c r="A507" s="229"/>
      <c r="B507" s="229"/>
      <c r="C507" s="229"/>
      <c r="D507" s="229"/>
      <c r="E507" s="229"/>
      <c r="F507" s="229"/>
      <c r="G507" s="229"/>
      <c r="H507" s="229"/>
      <c r="I507" s="229"/>
      <c r="J507" s="229"/>
      <c r="K507" s="229"/>
      <c r="L507" s="229"/>
      <c r="M507" s="229"/>
      <c r="N507" s="229"/>
      <c r="O507" s="229"/>
      <c r="P507" s="229"/>
      <c r="Q507" s="229"/>
      <c r="R507" s="229"/>
      <c r="S507" s="229"/>
      <c r="T507" s="229"/>
      <c r="U507" s="229"/>
      <c r="V507" s="229"/>
      <c r="W507" s="229"/>
      <c r="X507" s="229"/>
      <c r="Y507" s="229"/>
      <c r="Z507" s="229"/>
      <c r="AA507" s="229"/>
    </row>
    <row r="508" customFormat="false" ht="13.5" hidden="false" customHeight="true" outlineLevel="0" collapsed="false">
      <c r="A508" s="229"/>
      <c r="B508" s="229"/>
      <c r="C508" s="229"/>
      <c r="D508" s="229"/>
      <c r="E508" s="229"/>
      <c r="F508" s="229"/>
      <c r="G508" s="229"/>
      <c r="H508" s="229"/>
      <c r="I508" s="229"/>
      <c r="J508" s="229"/>
      <c r="K508" s="229"/>
      <c r="L508" s="229"/>
      <c r="M508" s="229"/>
      <c r="N508" s="229"/>
      <c r="O508" s="229"/>
      <c r="P508" s="229"/>
      <c r="Q508" s="229"/>
      <c r="R508" s="229"/>
      <c r="S508" s="229"/>
      <c r="T508" s="229"/>
      <c r="U508" s="229"/>
      <c r="V508" s="229"/>
      <c r="W508" s="229"/>
      <c r="X508" s="229"/>
      <c r="Y508" s="229"/>
      <c r="Z508" s="229"/>
      <c r="AA508" s="229"/>
    </row>
    <row r="509" customFormat="false" ht="13.5" hidden="false" customHeight="true" outlineLevel="0" collapsed="false">
      <c r="A509" s="229"/>
      <c r="B509" s="229"/>
      <c r="C509" s="229"/>
      <c r="D509" s="229"/>
      <c r="E509" s="229"/>
      <c r="F509" s="229"/>
      <c r="G509" s="229"/>
      <c r="H509" s="229"/>
      <c r="I509" s="229"/>
      <c r="J509" s="229"/>
      <c r="K509" s="229"/>
      <c r="L509" s="229"/>
      <c r="M509" s="229"/>
      <c r="N509" s="229"/>
      <c r="O509" s="229"/>
      <c r="P509" s="229"/>
      <c r="Q509" s="229"/>
      <c r="R509" s="229"/>
      <c r="S509" s="229"/>
      <c r="T509" s="229"/>
      <c r="U509" s="229"/>
      <c r="V509" s="229"/>
      <c r="W509" s="229"/>
      <c r="X509" s="229"/>
      <c r="Y509" s="229"/>
      <c r="Z509" s="229"/>
      <c r="AA509" s="229"/>
    </row>
    <row r="510" customFormat="false" ht="13.5" hidden="false" customHeight="true" outlineLevel="0" collapsed="false">
      <c r="A510" s="229"/>
      <c r="B510" s="229"/>
      <c r="C510" s="229"/>
      <c r="D510" s="229"/>
      <c r="E510" s="229"/>
      <c r="F510" s="229"/>
      <c r="G510" s="229"/>
      <c r="H510" s="229"/>
      <c r="I510" s="229"/>
      <c r="J510" s="229"/>
      <c r="K510" s="229"/>
      <c r="L510" s="229"/>
      <c r="M510" s="229"/>
      <c r="N510" s="229"/>
      <c r="O510" s="229"/>
      <c r="P510" s="229"/>
      <c r="Q510" s="229"/>
      <c r="R510" s="229"/>
      <c r="S510" s="229"/>
      <c r="T510" s="229"/>
      <c r="U510" s="229"/>
      <c r="V510" s="229"/>
      <c r="W510" s="229"/>
      <c r="X510" s="229"/>
      <c r="Y510" s="229"/>
      <c r="Z510" s="229"/>
      <c r="AA510" s="229"/>
    </row>
    <row r="511" customFormat="false" ht="13.5" hidden="false" customHeight="true" outlineLevel="0" collapsed="false">
      <c r="A511" s="229"/>
      <c r="B511" s="229"/>
      <c r="C511" s="229"/>
      <c r="D511" s="229"/>
      <c r="E511" s="229"/>
      <c r="F511" s="229"/>
      <c r="G511" s="229"/>
      <c r="H511" s="229"/>
      <c r="I511" s="229"/>
      <c r="J511" s="229"/>
      <c r="K511" s="229"/>
      <c r="L511" s="229"/>
      <c r="M511" s="229"/>
      <c r="N511" s="229"/>
      <c r="O511" s="229"/>
      <c r="P511" s="229"/>
      <c r="Q511" s="229"/>
      <c r="R511" s="229"/>
      <c r="S511" s="229"/>
      <c r="T511" s="229"/>
      <c r="U511" s="229"/>
      <c r="V511" s="229"/>
      <c r="W511" s="229"/>
      <c r="X511" s="229"/>
      <c r="Y511" s="229"/>
      <c r="Z511" s="229"/>
      <c r="AA511" s="229"/>
    </row>
    <row r="512" customFormat="false" ht="13.5" hidden="false" customHeight="true" outlineLevel="0" collapsed="false">
      <c r="A512" s="229"/>
      <c r="B512" s="229"/>
      <c r="C512" s="229"/>
      <c r="D512" s="229"/>
      <c r="E512" s="229"/>
      <c r="F512" s="229"/>
      <c r="G512" s="229"/>
      <c r="H512" s="229"/>
      <c r="I512" s="229"/>
      <c r="J512" s="229"/>
      <c r="K512" s="229"/>
      <c r="L512" s="229"/>
      <c r="M512" s="229"/>
      <c r="N512" s="229"/>
      <c r="O512" s="229"/>
      <c r="P512" s="229"/>
      <c r="Q512" s="229"/>
      <c r="R512" s="229"/>
      <c r="S512" s="229"/>
      <c r="T512" s="229"/>
      <c r="U512" s="229"/>
      <c r="V512" s="229"/>
      <c r="W512" s="229"/>
      <c r="X512" s="229"/>
      <c r="Y512" s="229"/>
      <c r="Z512" s="229"/>
      <c r="AA512" s="229"/>
    </row>
    <row r="513" customFormat="false" ht="13.5" hidden="false" customHeight="true" outlineLevel="0" collapsed="false">
      <c r="A513" s="229"/>
      <c r="B513" s="229"/>
      <c r="C513" s="229"/>
      <c r="D513" s="229"/>
      <c r="E513" s="229"/>
      <c r="F513" s="229"/>
      <c r="G513" s="229"/>
      <c r="H513" s="229"/>
      <c r="I513" s="229"/>
      <c r="J513" s="229"/>
      <c r="K513" s="229"/>
      <c r="L513" s="229"/>
      <c r="M513" s="229"/>
      <c r="N513" s="229"/>
      <c r="O513" s="229"/>
      <c r="P513" s="229"/>
      <c r="Q513" s="229"/>
      <c r="R513" s="229"/>
      <c r="S513" s="229"/>
      <c r="T513" s="229"/>
      <c r="U513" s="229"/>
      <c r="V513" s="229"/>
      <c r="W513" s="229"/>
      <c r="X513" s="229"/>
      <c r="Y513" s="229"/>
      <c r="Z513" s="229"/>
      <c r="AA513" s="229"/>
    </row>
    <row r="514" customFormat="false" ht="13.5" hidden="false" customHeight="true" outlineLevel="0" collapsed="false">
      <c r="A514" s="229"/>
      <c r="B514" s="229"/>
      <c r="C514" s="229"/>
      <c r="D514" s="229"/>
      <c r="E514" s="229"/>
      <c r="F514" s="229"/>
      <c r="G514" s="229"/>
      <c r="H514" s="229"/>
      <c r="I514" s="229"/>
      <c r="J514" s="229"/>
      <c r="K514" s="229"/>
      <c r="L514" s="229"/>
      <c r="M514" s="229"/>
      <c r="N514" s="229"/>
      <c r="O514" s="229"/>
      <c r="P514" s="229"/>
      <c r="Q514" s="229"/>
      <c r="R514" s="229"/>
      <c r="S514" s="229"/>
      <c r="T514" s="229"/>
      <c r="U514" s="229"/>
      <c r="V514" s="229"/>
      <c r="W514" s="229"/>
      <c r="X514" s="229"/>
      <c r="Y514" s="229"/>
      <c r="Z514" s="229"/>
      <c r="AA514" s="229"/>
    </row>
    <row r="515" customFormat="false" ht="13.5" hidden="false" customHeight="true" outlineLevel="0" collapsed="false">
      <c r="A515" s="229"/>
      <c r="B515" s="229"/>
      <c r="C515" s="229"/>
      <c r="D515" s="229"/>
      <c r="E515" s="229"/>
      <c r="F515" s="229"/>
      <c r="G515" s="229"/>
      <c r="H515" s="229"/>
      <c r="I515" s="229"/>
      <c r="J515" s="229"/>
      <c r="K515" s="229"/>
      <c r="L515" s="229"/>
      <c r="M515" s="229"/>
      <c r="N515" s="229"/>
      <c r="O515" s="229"/>
      <c r="P515" s="229"/>
      <c r="Q515" s="229"/>
      <c r="R515" s="229"/>
      <c r="S515" s="229"/>
      <c r="T515" s="229"/>
      <c r="U515" s="229"/>
      <c r="V515" s="229"/>
      <c r="W515" s="229"/>
      <c r="X515" s="229"/>
      <c r="Y515" s="229"/>
      <c r="Z515" s="229"/>
      <c r="AA515" s="229"/>
    </row>
    <row r="516" customFormat="false" ht="13.5" hidden="false" customHeight="true" outlineLevel="0" collapsed="false">
      <c r="A516" s="229"/>
      <c r="B516" s="229"/>
      <c r="C516" s="229"/>
      <c r="D516" s="229"/>
      <c r="E516" s="229"/>
      <c r="F516" s="229"/>
      <c r="G516" s="229"/>
      <c r="H516" s="229"/>
      <c r="I516" s="229"/>
      <c r="J516" s="229"/>
      <c r="K516" s="229"/>
      <c r="L516" s="229"/>
      <c r="M516" s="229"/>
      <c r="N516" s="229"/>
      <c r="O516" s="229"/>
      <c r="P516" s="229"/>
      <c r="Q516" s="229"/>
      <c r="R516" s="229"/>
      <c r="S516" s="229"/>
      <c r="T516" s="229"/>
      <c r="U516" s="229"/>
      <c r="V516" s="229"/>
      <c r="W516" s="229"/>
      <c r="X516" s="229"/>
      <c r="Y516" s="229"/>
      <c r="Z516" s="229"/>
      <c r="AA516" s="229"/>
    </row>
    <row r="517" customFormat="false" ht="13.5" hidden="false" customHeight="true" outlineLevel="0" collapsed="false">
      <c r="A517" s="229"/>
      <c r="B517" s="229"/>
      <c r="C517" s="229"/>
      <c r="D517" s="229"/>
      <c r="E517" s="229"/>
      <c r="F517" s="229"/>
      <c r="G517" s="229"/>
      <c r="H517" s="229"/>
      <c r="I517" s="229"/>
      <c r="J517" s="229"/>
      <c r="K517" s="229"/>
      <c r="L517" s="229"/>
      <c r="M517" s="229"/>
      <c r="N517" s="229"/>
      <c r="O517" s="229"/>
      <c r="P517" s="229"/>
      <c r="Q517" s="229"/>
      <c r="R517" s="229"/>
      <c r="S517" s="229"/>
      <c r="T517" s="229"/>
      <c r="U517" s="229"/>
      <c r="V517" s="229"/>
      <c r="W517" s="229"/>
      <c r="X517" s="229"/>
      <c r="Y517" s="229"/>
      <c r="Z517" s="229"/>
      <c r="AA517" s="229"/>
    </row>
    <row r="518" customFormat="false" ht="13.5" hidden="false" customHeight="true" outlineLevel="0" collapsed="false">
      <c r="A518" s="229"/>
      <c r="B518" s="229"/>
      <c r="C518" s="229"/>
      <c r="D518" s="229"/>
      <c r="E518" s="229"/>
      <c r="F518" s="229"/>
      <c r="G518" s="229"/>
      <c r="H518" s="229"/>
      <c r="I518" s="229"/>
      <c r="J518" s="229"/>
      <c r="K518" s="229"/>
      <c r="L518" s="229"/>
      <c r="M518" s="229"/>
      <c r="N518" s="229"/>
      <c r="O518" s="229"/>
      <c r="P518" s="229"/>
      <c r="Q518" s="229"/>
      <c r="R518" s="229"/>
      <c r="S518" s="229"/>
      <c r="T518" s="229"/>
      <c r="U518" s="229"/>
      <c r="V518" s="229"/>
      <c r="W518" s="229"/>
      <c r="X518" s="229"/>
      <c r="Y518" s="229"/>
      <c r="Z518" s="229"/>
      <c r="AA518" s="229"/>
    </row>
    <row r="519" customFormat="false" ht="13.5" hidden="false" customHeight="true" outlineLevel="0" collapsed="false">
      <c r="A519" s="229"/>
      <c r="B519" s="229"/>
      <c r="C519" s="229"/>
      <c r="D519" s="229"/>
      <c r="E519" s="229"/>
      <c r="F519" s="229"/>
      <c r="G519" s="229"/>
      <c r="H519" s="229"/>
      <c r="I519" s="229"/>
      <c r="J519" s="229"/>
      <c r="K519" s="229"/>
      <c r="L519" s="229"/>
      <c r="M519" s="229"/>
      <c r="N519" s="229"/>
      <c r="O519" s="229"/>
      <c r="P519" s="229"/>
      <c r="Q519" s="229"/>
      <c r="R519" s="229"/>
      <c r="S519" s="229"/>
      <c r="T519" s="229"/>
      <c r="U519" s="229"/>
      <c r="V519" s="229"/>
      <c r="W519" s="229"/>
      <c r="X519" s="229"/>
      <c r="Y519" s="229"/>
      <c r="Z519" s="229"/>
      <c r="AA519" s="229"/>
    </row>
    <row r="520" customFormat="false" ht="13.5" hidden="false" customHeight="true" outlineLevel="0" collapsed="false">
      <c r="A520" s="229"/>
      <c r="B520" s="229"/>
      <c r="C520" s="229"/>
      <c r="D520" s="229"/>
      <c r="E520" s="229"/>
      <c r="F520" s="229"/>
      <c r="G520" s="229"/>
      <c r="H520" s="229"/>
      <c r="I520" s="229"/>
      <c r="J520" s="229"/>
      <c r="K520" s="229"/>
      <c r="L520" s="229"/>
      <c r="M520" s="229"/>
      <c r="N520" s="229"/>
      <c r="O520" s="229"/>
      <c r="P520" s="229"/>
      <c r="Q520" s="229"/>
      <c r="R520" s="229"/>
      <c r="S520" s="229"/>
      <c r="T520" s="229"/>
      <c r="U520" s="229"/>
      <c r="V520" s="229"/>
      <c r="W520" s="229"/>
      <c r="X520" s="229"/>
      <c r="Y520" s="229"/>
      <c r="Z520" s="229"/>
      <c r="AA520" s="229"/>
    </row>
    <row r="521" customFormat="false" ht="13.5" hidden="false" customHeight="true" outlineLevel="0" collapsed="false">
      <c r="A521" s="229"/>
      <c r="B521" s="229"/>
      <c r="C521" s="229"/>
      <c r="D521" s="229"/>
      <c r="E521" s="229"/>
      <c r="F521" s="229"/>
      <c r="G521" s="229"/>
      <c r="H521" s="229"/>
      <c r="I521" s="229"/>
      <c r="J521" s="229"/>
      <c r="K521" s="229"/>
      <c r="L521" s="229"/>
      <c r="M521" s="229"/>
      <c r="N521" s="229"/>
      <c r="O521" s="229"/>
      <c r="P521" s="229"/>
      <c r="Q521" s="229"/>
      <c r="R521" s="229"/>
      <c r="S521" s="229"/>
      <c r="T521" s="229"/>
      <c r="U521" s="229"/>
      <c r="V521" s="229"/>
      <c r="W521" s="229"/>
      <c r="X521" s="229"/>
      <c r="Y521" s="229"/>
      <c r="Z521" s="229"/>
      <c r="AA521" s="229"/>
    </row>
    <row r="522" customFormat="false" ht="13.5" hidden="false" customHeight="true" outlineLevel="0" collapsed="false">
      <c r="A522" s="229"/>
      <c r="B522" s="229"/>
      <c r="C522" s="229"/>
      <c r="D522" s="229"/>
      <c r="E522" s="229"/>
      <c r="F522" s="229"/>
      <c r="G522" s="229"/>
      <c r="H522" s="229"/>
      <c r="I522" s="229"/>
      <c r="J522" s="229"/>
      <c r="K522" s="229"/>
      <c r="L522" s="229"/>
      <c r="M522" s="229"/>
      <c r="N522" s="229"/>
      <c r="O522" s="229"/>
      <c r="P522" s="229"/>
      <c r="Q522" s="229"/>
      <c r="R522" s="229"/>
      <c r="S522" s="229"/>
      <c r="T522" s="229"/>
      <c r="U522" s="229"/>
      <c r="V522" s="229"/>
      <c r="W522" s="229"/>
      <c r="X522" s="229"/>
      <c r="Y522" s="229"/>
      <c r="Z522" s="229"/>
      <c r="AA522" s="229"/>
    </row>
    <row r="523" customFormat="false" ht="13.5" hidden="false" customHeight="true" outlineLevel="0" collapsed="false">
      <c r="A523" s="229"/>
      <c r="B523" s="229"/>
      <c r="C523" s="229"/>
      <c r="D523" s="229"/>
      <c r="E523" s="229"/>
      <c r="F523" s="229"/>
      <c r="G523" s="229"/>
      <c r="H523" s="229"/>
      <c r="I523" s="229"/>
      <c r="J523" s="229"/>
      <c r="K523" s="229"/>
      <c r="L523" s="229"/>
      <c r="M523" s="229"/>
      <c r="N523" s="229"/>
      <c r="O523" s="229"/>
      <c r="P523" s="229"/>
      <c r="Q523" s="229"/>
      <c r="R523" s="229"/>
      <c r="S523" s="229"/>
      <c r="T523" s="229"/>
      <c r="U523" s="229"/>
      <c r="V523" s="229"/>
      <c r="W523" s="229"/>
      <c r="X523" s="229"/>
      <c r="Y523" s="229"/>
      <c r="Z523" s="229"/>
      <c r="AA523" s="229"/>
    </row>
    <row r="524" customFormat="false" ht="13.5" hidden="false" customHeight="true" outlineLevel="0" collapsed="false">
      <c r="A524" s="229"/>
      <c r="B524" s="229"/>
      <c r="C524" s="229"/>
      <c r="D524" s="229"/>
      <c r="E524" s="229"/>
      <c r="F524" s="229"/>
      <c r="G524" s="229"/>
      <c r="H524" s="229"/>
      <c r="I524" s="229"/>
      <c r="J524" s="229"/>
      <c r="K524" s="229"/>
      <c r="L524" s="229"/>
      <c r="M524" s="229"/>
      <c r="N524" s="229"/>
      <c r="O524" s="229"/>
      <c r="P524" s="229"/>
      <c r="Q524" s="229"/>
      <c r="R524" s="229"/>
      <c r="S524" s="229"/>
      <c r="T524" s="229"/>
      <c r="U524" s="229"/>
      <c r="V524" s="229"/>
      <c r="W524" s="229"/>
      <c r="X524" s="229"/>
      <c r="Y524" s="229"/>
      <c r="Z524" s="229"/>
      <c r="AA524" s="229"/>
    </row>
    <row r="525" customFormat="false" ht="13.5" hidden="false" customHeight="true" outlineLevel="0" collapsed="false">
      <c r="A525" s="229"/>
      <c r="B525" s="229"/>
      <c r="C525" s="229"/>
      <c r="D525" s="229"/>
      <c r="E525" s="229"/>
      <c r="F525" s="229"/>
      <c r="G525" s="229"/>
      <c r="H525" s="229"/>
      <c r="I525" s="229"/>
      <c r="J525" s="229"/>
      <c r="K525" s="229"/>
      <c r="L525" s="229"/>
      <c r="M525" s="229"/>
      <c r="N525" s="229"/>
      <c r="O525" s="229"/>
      <c r="P525" s="229"/>
      <c r="Q525" s="229"/>
      <c r="R525" s="229"/>
      <c r="S525" s="229"/>
      <c r="T525" s="229"/>
      <c r="U525" s="229"/>
      <c r="V525" s="229"/>
      <c r="W525" s="229"/>
      <c r="X525" s="229"/>
      <c r="Y525" s="229"/>
      <c r="Z525" s="229"/>
      <c r="AA525" s="229"/>
    </row>
    <row r="526" customFormat="false" ht="13.5" hidden="false" customHeight="true" outlineLevel="0" collapsed="false">
      <c r="A526" s="229"/>
      <c r="B526" s="229"/>
      <c r="C526" s="229"/>
      <c r="D526" s="229"/>
      <c r="E526" s="229"/>
      <c r="F526" s="229"/>
      <c r="G526" s="229"/>
      <c r="H526" s="229"/>
      <c r="I526" s="229"/>
      <c r="J526" s="229"/>
      <c r="K526" s="229"/>
      <c r="L526" s="229"/>
      <c r="M526" s="229"/>
      <c r="N526" s="229"/>
      <c r="O526" s="229"/>
      <c r="P526" s="229"/>
      <c r="Q526" s="229"/>
      <c r="R526" s="229"/>
      <c r="S526" s="229"/>
      <c r="T526" s="229"/>
      <c r="U526" s="229"/>
      <c r="V526" s="229"/>
      <c r="W526" s="229"/>
      <c r="X526" s="229"/>
      <c r="Y526" s="229"/>
      <c r="Z526" s="229"/>
      <c r="AA526" s="229"/>
    </row>
    <row r="527" customFormat="false" ht="13.5" hidden="false" customHeight="true" outlineLevel="0" collapsed="false">
      <c r="A527" s="229"/>
      <c r="B527" s="229"/>
      <c r="C527" s="229"/>
      <c r="D527" s="229"/>
      <c r="E527" s="229"/>
      <c r="F527" s="229"/>
      <c r="G527" s="229"/>
      <c r="H527" s="229"/>
      <c r="I527" s="229"/>
      <c r="J527" s="229"/>
      <c r="K527" s="229"/>
      <c r="L527" s="229"/>
      <c r="M527" s="229"/>
      <c r="N527" s="229"/>
      <c r="O527" s="229"/>
      <c r="P527" s="229"/>
      <c r="Q527" s="229"/>
      <c r="R527" s="229"/>
      <c r="S527" s="229"/>
      <c r="T527" s="229"/>
      <c r="U527" s="229"/>
      <c r="V527" s="229"/>
      <c r="W527" s="229"/>
      <c r="X527" s="229"/>
      <c r="Y527" s="229"/>
      <c r="Z527" s="229"/>
      <c r="AA527" s="229"/>
    </row>
    <row r="528" customFormat="false" ht="13.5" hidden="false" customHeight="true" outlineLevel="0" collapsed="false">
      <c r="A528" s="229"/>
      <c r="B528" s="229"/>
      <c r="C528" s="229"/>
      <c r="D528" s="229"/>
      <c r="E528" s="229"/>
      <c r="F528" s="229"/>
      <c r="G528" s="229"/>
      <c r="H528" s="229"/>
      <c r="I528" s="229"/>
      <c r="J528" s="229"/>
      <c r="K528" s="229"/>
      <c r="L528" s="229"/>
      <c r="M528" s="229"/>
      <c r="N528" s="229"/>
      <c r="O528" s="229"/>
      <c r="P528" s="229"/>
      <c r="Q528" s="229"/>
      <c r="R528" s="229"/>
      <c r="S528" s="229"/>
      <c r="T528" s="229"/>
      <c r="U528" s="229"/>
      <c r="V528" s="229"/>
      <c r="W528" s="229"/>
      <c r="X528" s="229"/>
      <c r="Y528" s="229"/>
      <c r="Z528" s="229"/>
      <c r="AA528" s="229"/>
    </row>
    <row r="529" customFormat="false" ht="13.5" hidden="false" customHeight="true" outlineLevel="0" collapsed="false">
      <c r="A529" s="229"/>
      <c r="B529" s="229"/>
      <c r="C529" s="229"/>
      <c r="D529" s="229"/>
      <c r="E529" s="229"/>
      <c r="F529" s="229"/>
      <c r="G529" s="229"/>
      <c r="H529" s="229"/>
      <c r="I529" s="229"/>
      <c r="J529" s="229"/>
      <c r="K529" s="229"/>
      <c r="L529" s="229"/>
      <c r="M529" s="229"/>
      <c r="N529" s="229"/>
      <c r="O529" s="229"/>
      <c r="P529" s="229"/>
      <c r="Q529" s="229"/>
      <c r="R529" s="229"/>
      <c r="S529" s="229"/>
      <c r="T529" s="229"/>
      <c r="U529" s="229"/>
      <c r="V529" s="229"/>
      <c r="W529" s="229"/>
      <c r="X529" s="229"/>
      <c r="Y529" s="229"/>
      <c r="Z529" s="229"/>
      <c r="AA529" s="229"/>
    </row>
    <row r="530" customFormat="false" ht="13.5" hidden="false" customHeight="true" outlineLevel="0" collapsed="false">
      <c r="A530" s="229"/>
      <c r="B530" s="229"/>
      <c r="C530" s="229"/>
      <c r="D530" s="229"/>
      <c r="E530" s="229"/>
      <c r="F530" s="229"/>
      <c r="G530" s="229"/>
      <c r="H530" s="229"/>
      <c r="I530" s="229"/>
      <c r="J530" s="229"/>
      <c r="K530" s="229"/>
      <c r="L530" s="229"/>
      <c r="M530" s="229"/>
      <c r="N530" s="229"/>
      <c r="O530" s="229"/>
      <c r="P530" s="229"/>
      <c r="Q530" s="229"/>
      <c r="R530" s="229"/>
      <c r="S530" s="229"/>
      <c r="T530" s="229"/>
      <c r="U530" s="229"/>
      <c r="V530" s="229"/>
      <c r="W530" s="229"/>
      <c r="X530" s="229"/>
      <c r="Y530" s="229"/>
      <c r="Z530" s="229"/>
      <c r="AA530" s="229"/>
    </row>
    <row r="531" customFormat="false" ht="13.5" hidden="false" customHeight="true" outlineLevel="0" collapsed="false">
      <c r="A531" s="229"/>
      <c r="B531" s="229"/>
      <c r="C531" s="229"/>
      <c r="D531" s="229"/>
      <c r="E531" s="229"/>
      <c r="F531" s="229"/>
      <c r="G531" s="229"/>
      <c r="H531" s="229"/>
      <c r="I531" s="229"/>
      <c r="J531" s="229"/>
      <c r="K531" s="229"/>
      <c r="L531" s="229"/>
      <c r="M531" s="229"/>
      <c r="N531" s="229"/>
      <c r="O531" s="229"/>
      <c r="P531" s="229"/>
      <c r="Q531" s="229"/>
      <c r="R531" s="229"/>
      <c r="S531" s="229"/>
      <c r="T531" s="229"/>
      <c r="U531" s="229"/>
      <c r="V531" s="229"/>
      <c r="W531" s="229"/>
      <c r="X531" s="229"/>
      <c r="Y531" s="229"/>
      <c r="Z531" s="229"/>
      <c r="AA531" s="229"/>
    </row>
    <row r="532" customFormat="false" ht="13.5" hidden="false" customHeight="true" outlineLevel="0" collapsed="false">
      <c r="A532" s="229"/>
      <c r="B532" s="229"/>
      <c r="C532" s="229"/>
      <c r="D532" s="229"/>
      <c r="E532" s="229"/>
      <c r="F532" s="229"/>
      <c r="G532" s="229"/>
      <c r="H532" s="229"/>
      <c r="I532" s="229"/>
      <c r="J532" s="229"/>
      <c r="K532" s="229"/>
      <c r="L532" s="229"/>
      <c r="M532" s="229"/>
      <c r="N532" s="229"/>
      <c r="O532" s="229"/>
      <c r="P532" s="229"/>
      <c r="Q532" s="229"/>
      <c r="R532" s="229"/>
      <c r="S532" s="229"/>
      <c r="T532" s="229"/>
      <c r="U532" s="229"/>
      <c r="V532" s="229"/>
      <c r="W532" s="229"/>
      <c r="X532" s="229"/>
      <c r="Y532" s="229"/>
      <c r="Z532" s="229"/>
      <c r="AA532" s="229"/>
    </row>
    <row r="533" customFormat="false" ht="13.5" hidden="false" customHeight="true" outlineLevel="0" collapsed="false">
      <c r="A533" s="229"/>
      <c r="B533" s="229"/>
      <c r="C533" s="229"/>
      <c r="D533" s="229"/>
      <c r="E533" s="229"/>
      <c r="F533" s="229"/>
      <c r="G533" s="229"/>
      <c r="H533" s="229"/>
      <c r="I533" s="229"/>
      <c r="J533" s="229"/>
      <c r="K533" s="229"/>
      <c r="L533" s="229"/>
      <c r="M533" s="229"/>
      <c r="N533" s="229"/>
      <c r="O533" s="229"/>
      <c r="P533" s="229"/>
      <c r="Q533" s="229"/>
      <c r="R533" s="229"/>
      <c r="S533" s="229"/>
      <c r="T533" s="229"/>
      <c r="U533" s="229"/>
      <c r="V533" s="229"/>
      <c r="W533" s="229"/>
      <c r="X533" s="229"/>
      <c r="Y533" s="229"/>
      <c r="Z533" s="229"/>
      <c r="AA533" s="229"/>
    </row>
    <row r="534" customFormat="false" ht="13.5" hidden="false" customHeight="true" outlineLevel="0" collapsed="false">
      <c r="A534" s="229"/>
      <c r="B534" s="229"/>
      <c r="C534" s="229"/>
      <c r="D534" s="229"/>
      <c r="E534" s="229"/>
      <c r="F534" s="229"/>
      <c r="G534" s="229"/>
      <c r="H534" s="229"/>
      <c r="I534" s="229"/>
      <c r="J534" s="229"/>
      <c r="K534" s="229"/>
      <c r="L534" s="229"/>
      <c r="M534" s="229"/>
      <c r="N534" s="229"/>
      <c r="O534" s="229"/>
      <c r="P534" s="229"/>
      <c r="Q534" s="229"/>
      <c r="R534" s="229"/>
      <c r="S534" s="229"/>
      <c r="T534" s="229"/>
      <c r="U534" s="229"/>
      <c r="V534" s="229"/>
      <c r="W534" s="229"/>
      <c r="X534" s="229"/>
      <c r="Y534" s="229"/>
      <c r="Z534" s="229"/>
      <c r="AA534" s="229"/>
    </row>
    <row r="535" customFormat="false" ht="13.5" hidden="false" customHeight="true" outlineLevel="0" collapsed="false">
      <c r="A535" s="229"/>
      <c r="B535" s="229"/>
      <c r="C535" s="229"/>
      <c r="D535" s="229"/>
      <c r="E535" s="229"/>
      <c r="F535" s="229"/>
      <c r="G535" s="229"/>
      <c r="H535" s="229"/>
      <c r="I535" s="229"/>
      <c r="J535" s="229"/>
      <c r="K535" s="229"/>
      <c r="L535" s="229"/>
      <c r="M535" s="229"/>
      <c r="N535" s="229"/>
      <c r="O535" s="229"/>
      <c r="P535" s="229"/>
      <c r="Q535" s="229"/>
      <c r="R535" s="229"/>
      <c r="S535" s="229"/>
      <c r="T535" s="229"/>
      <c r="U535" s="229"/>
      <c r="V535" s="229"/>
      <c r="W535" s="229"/>
      <c r="X535" s="229"/>
      <c r="Y535" s="229"/>
      <c r="Z535" s="229"/>
      <c r="AA535" s="229"/>
    </row>
    <row r="536" customFormat="false" ht="13.5" hidden="false" customHeight="true" outlineLevel="0" collapsed="false">
      <c r="A536" s="229"/>
      <c r="B536" s="229"/>
      <c r="C536" s="229"/>
      <c r="D536" s="229"/>
      <c r="E536" s="229"/>
      <c r="F536" s="229"/>
      <c r="G536" s="229"/>
      <c r="H536" s="229"/>
      <c r="I536" s="229"/>
      <c r="J536" s="229"/>
      <c r="K536" s="229"/>
      <c r="L536" s="229"/>
      <c r="M536" s="229"/>
      <c r="N536" s="229"/>
      <c r="O536" s="229"/>
      <c r="P536" s="229"/>
      <c r="Q536" s="229"/>
      <c r="R536" s="229"/>
      <c r="S536" s="229"/>
      <c r="T536" s="229"/>
      <c r="U536" s="229"/>
      <c r="V536" s="229"/>
      <c r="W536" s="229"/>
      <c r="X536" s="229"/>
      <c r="Y536" s="229"/>
      <c r="Z536" s="229"/>
      <c r="AA536" s="229"/>
    </row>
    <row r="537" customFormat="false" ht="13.5" hidden="false" customHeight="true" outlineLevel="0" collapsed="false">
      <c r="A537" s="229"/>
      <c r="B537" s="229"/>
      <c r="C537" s="229"/>
      <c r="D537" s="229"/>
      <c r="E537" s="229"/>
      <c r="F537" s="229"/>
      <c r="G537" s="229"/>
      <c r="H537" s="229"/>
      <c r="I537" s="229"/>
      <c r="J537" s="229"/>
      <c r="K537" s="229"/>
      <c r="L537" s="229"/>
      <c r="M537" s="229"/>
      <c r="N537" s="229"/>
      <c r="O537" s="229"/>
      <c r="P537" s="229"/>
      <c r="Q537" s="229"/>
      <c r="R537" s="229"/>
      <c r="S537" s="229"/>
      <c r="T537" s="229"/>
      <c r="U537" s="229"/>
      <c r="V537" s="229"/>
      <c r="W537" s="229"/>
      <c r="X537" s="229"/>
      <c r="Y537" s="229"/>
      <c r="Z537" s="229"/>
      <c r="AA537" s="229"/>
    </row>
    <row r="538" customFormat="false" ht="13.5" hidden="false" customHeight="true" outlineLevel="0" collapsed="false">
      <c r="A538" s="229"/>
      <c r="B538" s="229"/>
      <c r="C538" s="229"/>
      <c r="D538" s="229"/>
      <c r="E538" s="229"/>
      <c r="F538" s="229"/>
      <c r="G538" s="229"/>
      <c r="H538" s="229"/>
      <c r="I538" s="229"/>
      <c r="J538" s="229"/>
      <c r="K538" s="229"/>
      <c r="L538" s="229"/>
      <c r="M538" s="229"/>
      <c r="N538" s="229"/>
      <c r="O538" s="229"/>
      <c r="P538" s="229"/>
      <c r="Q538" s="229"/>
      <c r="R538" s="229"/>
      <c r="S538" s="229"/>
      <c r="T538" s="229"/>
      <c r="U538" s="229"/>
      <c r="V538" s="229"/>
      <c r="W538" s="229"/>
      <c r="X538" s="229"/>
      <c r="Y538" s="229"/>
      <c r="Z538" s="229"/>
      <c r="AA538" s="229"/>
    </row>
    <row r="539" customFormat="false" ht="13.5" hidden="false" customHeight="true" outlineLevel="0" collapsed="false">
      <c r="A539" s="229"/>
      <c r="B539" s="229"/>
      <c r="C539" s="229"/>
      <c r="D539" s="229"/>
      <c r="E539" s="229"/>
      <c r="F539" s="229"/>
      <c r="G539" s="229"/>
      <c r="H539" s="229"/>
      <c r="I539" s="229"/>
      <c r="J539" s="229"/>
      <c r="K539" s="229"/>
      <c r="L539" s="229"/>
      <c r="M539" s="229"/>
      <c r="N539" s="229"/>
      <c r="O539" s="229"/>
      <c r="P539" s="229"/>
      <c r="Q539" s="229"/>
      <c r="R539" s="229"/>
      <c r="S539" s="229"/>
      <c r="T539" s="229"/>
      <c r="U539" s="229"/>
      <c r="V539" s="229"/>
      <c r="W539" s="229"/>
      <c r="X539" s="229"/>
      <c r="Y539" s="229"/>
      <c r="Z539" s="229"/>
      <c r="AA539" s="229"/>
    </row>
    <row r="540" customFormat="false" ht="13.5" hidden="false" customHeight="true" outlineLevel="0" collapsed="false">
      <c r="A540" s="229"/>
      <c r="B540" s="229"/>
      <c r="C540" s="229"/>
      <c r="D540" s="229"/>
      <c r="E540" s="229"/>
      <c r="F540" s="229"/>
      <c r="G540" s="229"/>
      <c r="H540" s="229"/>
      <c r="I540" s="229"/>
      <c r="J540" s="229"/>
      <c r="K540" s="229"/>
      <c r="L540" s="229"/>
      <c r="M540" s="229"/>
      <c r="N540" s="229"/>
      <c r="O540" s="229"/>
      <c r="P540" s="229"/>
      <c r="Q540" s="229"/>
      <c r="R540" s="229"/>
      <c r="S540" s="229"/>
      <c r="T540" s="229"/>
      <c r="U540" s="229"/>
      <c r="V540" s="229"/>
      <c r="W540" s="229"/>
      <c r="X540" s="229"/>
      <c r="Y540" s="229"/>
      <c r="Z540" s="229"/>
      <c r="AA540" s="229"/>
    </row>
    <row r="541" customFormat="false" ht="13.5" hidden="false" customHeight="true" outlineLevel="0" collapsed="false">
      <c r="A541" s="229"/>
      <c r="B541" s="229"/>
      <c r="C541" s="229"/>
      <c r="D541" s="229"/>
      <c r="E541" s="229"/>
      <c r="F541" s="229"/>
      <c r="G541" s="229"/>
      <c r="H541" s="229"/>
      <c r="I541" s="229"/>
      <c r="J541" s="229"/>
      <c r="K541" s="229"/>
      <c r="L541" s="229"/>
      <c r="M541" s="229"/>
      <c r="N541" s="229"/>
      <c r="O541" s="229"/>
      <c r="P541" s="229"/>
      <c r="Q541" s="229"/>
      <c r="R541" s="229"/>
      <c r="S541" s="229"/>
      <c r="T541" s="229"/>
      <c r="U541" s="229"/>
      <c r="V541" s="229"/>
      <c r="W541" s="229"/>
      <c r="X541" s="229"/>
      <c r="Y541" s="229"/>
      <c r="Z541" s="229"/>
      <c r="AA541" s="229"/>
    </row>
    <row r="542" customFormat="false" ht="13.5" hidden="false" customHeight="true" outlineLevel="0" collapsed="false">
      <c r="A542" s="229"/>
      <c r="B542" s="229"/>
      <c r="C542" s="229"/>
      <c r="D542" s="229"/>
      <c r="E542" s="229"/>
      <c r="F542" s="229"/>
      <c r="G542" s="229"/>
      <c r="H542" s="229"/>
      <c r="I542" s="229"/>
      <c r="J542" s="229"/>
      <c r="K542" s="229"/>
      <c r="L542" s="229"/>
      <c r="M542" s="229"/>
      <c r="N542" s="229"/>
      <c r="O542" s="229"/>
      <c r="P542" s="229"/>
      <c r="Q542" s="229"/>
      <c r="R542" s="229"/>
      <c r="S542" s="229"/>
      <c r="T542" s="229"/>
      <c r="U542" s="229"/>
      <c r="V542" s="229"/>
      <c r="W542" s="229"/>
      <c r="X542" s="229"/>
      <c r="Y542" s="229"/>
      <c r="Z542" s="229"/>
      <c r="AA542" s="229"/>
    </row>
    <row r="543" customFormat="false" ht="13.5" hidden="false" customHeight="true" outlineLevel="0" collapsed="false">
      <c r="A543" s="229"/>
      <c r="B543" s="229"/>
      <c r="C543" s="229"/>
      <c r="D543" s="229"/>
      <c r="E543" s="229"/>
      <c r="F543" s="229"/>
      <c r="G543" s="229"/>
      <c r="H543" s="229"/>
      <c r="I543" s="229"/>
      <c r="J543" s="229"/>
      <c r="K543" s="229"/>
      <c r="L543" s="229"/>
      <c r="M543" s="229"/>
      <c r="N543" s="229"/>
      <c r="O543" s="229"/>
      <c r="P543" s="229"/>
      <c r="Q543" s="229"/>
      <c r="R543" s="229"/>
      <c r="S543" s="229"/>
      <c r="T543" s="229"/>
      <c r="U543" s="229"/>
      <c r="V543" s="229"/>
      <c r="W543" s="229"/>
      <c r="X543" s="229"/>
      <c r="Y543" s="229"/>
      <c r="Z543" s="229"/>
      <c r="AA543" s="229"/>
    </row>
    <row r="544" customFormat="false" ht="13.5" hidden="false" customHeight="true" outlineLevel="0" collapsed="false">
      <c r="A544" s="229"/>
      <c r="B544" s="229"/>
      <c r="C544" s="229"/>
      <c r="D544" s="229"/>
      <c r="E544" s="229"/>
      <c r="F544" s="229"/>
      <c r="G544" s="229"/>
      <c r="H544" s="229"/>
      <c r="I544" s="229"/>
      <c r="J544" s="229"/>
      <c r="K544" s="229"/>
      <c r="L544" s="229"/>
      <c r="M544" s="229"/>
      <c r="N544" s="229"/>
      <c r="O544" s="229"/>
      <c r="P544" s="229"/>
      <c r="Q544" s="229"/>
      <c r="R544" s="229"/>
      <c r="S544" s="229"/>
      <c r="T544" s="229"/>
      <c r="U544" s="229"/>
      <c r="V544" s="229"/>
      <c r="W544" s="229"/>
      <c r="X544" s="229"/>
      <c r="Y544" s="229"/>
      <c r="Z544" s="229"/>
      <c r="AA544" s="229"/>
    </row>
    <row r="545" customFormat="false" ht="13.5" hidden="false" customHeight="true" outlineLevel="0" collapsed="false">
      <c r="A545" s="229"/>
      <c r="B545" s="229"/>
      <c r="C545" s="229"/>
      <c r="D545" s="229"/>
      <c r="E545" s="229"/>
      <c r="F545" s="229"/>
      <c r="G545" s="229"/>
      <c r="H545" s="229"/>
      <c r="I545" s="229"/>
      <c r="J545" s="229"/>
      <c r="K545" s="229"/>
      <c r="L545" s="229"/>
      <c r="M545" s="229"/>
      <c r="N545" s="229"/>
      <c r="O545" s="229"/>
      <c r="P545" s="229"/>
      <c r="Q545" s="229"/>
      <c r="R545" s="229"/>
      <c r="S545" s="229"/>
      <c r="T545" s="229"/>
      <c r="U545" s="229"/>
      <c r="V545" s="229"/>
      <c r="W545" s="229"/>
      <c r="X545" s="229"/>
      <c r="Y545" s="229"/>
      <c r="Z545" s="229"/>
      <c r="AA545" s="229"/>
    </row>
    <row r="546" customFormat="false" ht="13.5" hidden="false" customHeight="true" outlineLevel="0" collapsed="false">
      <c r="A546" s="229"/>
      <c r="B546" s="229"/>
      <c r="C546" s="229"/>
      <c r="D546" s="229"/>
      <c r="E546" s="229"/>
      <c r="F546" s="229"/>
      <c r="G546" s="229"/>
      <c r="H546" s="229"/>
      <c r="I546" s="229"/>
      <c r="J546" s="229"/>
      <c r="K546" s="229"/>
      <c r="L546" s="229"/>
      <c r="M546" s="229"/>
      <c r="N546" s="229"/>
      <c r="O546" s="229"/>
      <c r="P546" s="229"/>
      <c r="Q546" s="229"/>
      <c r="R546" s="229"/>
      <c r="S546" s="229"/>
      <c r="T546" s="229"/>
      <c r="U546" s="229"/>
      <c r="V546" s="229"/>
      <c r="W546" s="229"/>
      <c r="X546" s="229"/>
      <c r="Y546" s="229"/>
      <c r="Z546" s="229"/>
      <c r="AA546" s="229"/>
    </row>
    <row r="547" customFormat="false" ht="13.5" hidden="false" customHeight="true" outlineLevel="0" collapsed="false">
      <c r="A547" s="229"/>
      <c r="B547" s="229"/>
      <c r="C547" s="229"/>
      <c r="D547" s="229"/>
      <c r="E547" s="229"/>
      <c r="F547" s="229"/>
      <c r="G547" s="229"/>
      <c r="H547" s="229"/>
      <c r="I547" s="229"/>
      <c r="J547" s="229"/>
      <c r="K547" s="229"/>
      <c r="L547" s="229"/>
      <c r="M547" s="229"/>
      <c r="N547" s="229"/>
      <c r="O547" s="229"/>
      <c r="P547" s="229"/>
      <c r="Q547" s="229"/>
      <c r="R547" s="229"/>
      <c r="S547" s="229"/>
      <c r="T547" s="229"/>
      <c r="U547" s="229"/>
      <c r="V547" s="229"/>
      <c r="W547" s="229"/>
      <c r="X547" s="229"/>
      <c r="Y547" s="229"/>
      <c r="Z547" s="229"/>
      <c r="AA547" s="229"/>
    </row>
    <row r="548" customFormat="false" ht="13.5" hidden="false" customHeight="true" outlineLevel="0" collapsed="false">
      <c r="A548" s="229"/>
      <c r="B548" s="229"/>
      <c r="C548" s="229"/>
      <c r="D548" s="229"/>
      <c r="E548" s="229"/>
      <c r="F548" s="229"/>
      <c r="G548" s="229"/>
      <c r="H548" s="229"/>
      <c r="I548" s="229"/>
      <c r="J548" s="229"/>
      <c r="K548" s="229"/>
      <c r="L548" s="229"/>
      <c r="M548" s="229"/>
      <c r="N548" s="229"/>
      <c r="O548" s="229"/>
      <c r="P548" s="229"/>
      <c r="Q548" s="229"/>
      <c r="R548" s="229"/>
      <c r="S548" s="229"/>
      <c r="T548" s="229"/>
      <c r="U548" s="229"/>
      <c r="V548" s="229"/>
      <c r="W548" s="229"/>
      <c r="X548" s="229"/>
      <c r="Y548" s="229"/>
      <c r="Z548" s="229"/>
      <c r="AA548" s="229"/>
    </row>
    <row r="549" customFormat="false" ht="13.5" hidden="false" customHeight="true" outlineLevel="0" collapsed="false">
      <c r="A549" s="229"/>
      <c r="B549" s="229"/>
      <c r="C549" s="229"/>
      <c r="D549" s="229"/>
      <c r="E549" s="229"/>
      <c r="F549" s="229"/>
      <c r="G549" s="229"/>
      <c r="H549" s="229"/>
      <c r="I549" s="229"/>
      <c r="J549" s="229"/>
      <c r="K549" s="229"/>
      <c r="L549" s="229"/>
      <c r="M549" s="229"/>
      <c r="N549" s="229"/>
      <c r="O549" s="229"/>
      <c r="P549" s="229"/>
      <c r="Q549" s="229"/>
      <c r="R549" s="229"/>
      <c r="S549" s="229"/>
      <c r="T549" s="229"/>
      <c r="U549" s="229"/>
      <c r="V549" s="229"/>
      <c r="W549" s="229"/>
      <c r="X549" s="229"/>
      <c r="Y549" s="229"/>
      <c r="Z549" s="229"/>
      <c r="AA549" s="229"/>
    </row>
    <row r="550" customFormat="false" ht="13.5" hidden="false" customHeight="true" outlineLevel="0" collapsed="false">
      <c r="A550" s="229"/>
      <c r="B550" s="229"/>
      <c r="C550" s="229"/>
      <c r="D550" s="229"/>
      <c r="E550" s="229"/>
      <c r="F550" s="229"/>
      <c r="G550" s="229"/>
      <c r="H550" s="229"/>
      <c r="I550" s="229"/>
      <c r="J550" s="229"/>
      <c r="K550" s="229"/>
      <c r="L550" s="229"/>
      <c r="M550" s="229"/>
      <c r="N550" s="229"/>
      <c r="O550" s="229"/>
      <c r="P550" s="229"/>
      <c r="Q550" s="229"/>
      <c r="R550" s="229"/>
      <c r="S550" s="229"/>
      <c r="T550" s="229"/>
      <c r="U550" s="229"/>
      <c r="V550" s="229"/>
      <c r="W550" s="229"/>
      <c r="X550" s="229"/>
      <c r="Y550" s="229"/>
      <c r="Z550" s="229"/>
      <c r="AA550" s="229"/>
    </row>
    <row r="551" customFormat="false" ht="13.5" hidden="false" customHeight="true" outlineLevel="0" collapsed="false">
      <c r="A551" s="229"/>
      <c r="B551" s="229"/>
      <c r="C551" s="229"/>
      <c r="D551" s="229"/>
      <c r="E551" s="229"/>
      <c r="F551" s="229"/>
      <c r="G551" s="229"/>
      <c r="H551" s="229"/>
      <c r="I551" s="229"/>
      <c r="J551" s="229"/>
      <c r="K551" s="229"/>
      <c r="L551" s="229"/>
      <c r="M551" s="229"/>
      <c r="N551" s="229"/>
      <c r="O551" s="229"/>
      <c r="P551" s="229"/>
      <c r="Q551" s="229"/>
      <c r="R551" s="229"/>
      <c r="S551" s="229"/>
      <c r="T551" s="229"/>
      <c r="U551" s="229"/>
      <c r="V551" s="229"/>
      <c r="W551" s="229"/>
      <c r="X551" s="229"/>
      <c r="Y551" s="229"/>
      <c r="Z551" s="229"/>
      <c r="AA551" s="229"/>
    </row>
    <row r="552" customFormat="false" ht="13.5" hidden="false" customHeight="true" outlineLevel="0" collapsed="false">
      <c r="A552" s="229"/>
      <c r="B552" s="229"/>
      <c r="C552" s="229"/>
      <c r="D552" s="229"/>
      <c r="E552" s="229"/>
      <c r="F552" s="229"/>
      <c r="G552" s="229"/>
      <c r="H552" s="229"/>
      <c r="I552" s="229"/>
      <c r="J552" s="229"/>
      <c r="K552" s="229"/>
      <c r="L552" s="229"/>
      <c r="M552" s="229"/>
      <c r="N552" s="229"/>
      <c r="O552" s="229"/>
      <c r="P552" s="229"/>
      <c r="Q552" s="229"/>
      <c r="R552" s="229"/>
      <c r="S552" s="229"/>
      <c r="T552" s="229"/>
      <c r="U552" s="229"/>
      <c r="V552" s="229"/>
      <c r="W552" s="229"/>
      <c r="X552" s="229"/>
      <c r="Y552" s="229"/>
      <c r="Z552" s="229"/>
      <c r="AA552" s="229"/>
    </row>
    <row r="553" customFormat="false" ht="13.5" hidden="false" customHeight="true" outlineLevel="0" collapsed="false">
      <c r="A553" s="229"/>
      <c r="B553" s="229"/>
      <c r="C553" s="229"/>
      <c r="D553" s="229"/>
      <c r="E553" s="229"/>
      <c r="F553" s="229"/>
      <c r="G553" s="229"/>
      <c r="H553" s="229"/>
      <c r="I553" s="229"/>
      <c r="J553" s="229"/>
      <c r="K553" s="229"/>
      <c r="L553" s="229"/>
      <c r="M553" s="229"/>
      <c r="N553" s="229"/>
      <c r="O553" s="229"/>
      <c r="P553" s="229"/>
      <c r="Q553" s="229"/>
      <c r="R553" s="229"/>
      <c r="S553" s="229"/>
      <c r="T553" s="229"/>
      <c r="U553" s="229"/>
      <c r="V553" s="229"/>
      <c r="W553" s="229"/>
      <c r="X553" s="229"/>
      <c r="Y553" s="229"/>
      <c r="Z553" s="229"/>
      <c r="AA553" s="229"/>
    </row>
    <row r="554" customFormat="false" ht="13.5" hidden="false" customHeight="true" outlineLevel="0" collapsed="false">
      <c r="A554" s="229"/>
      <c r="B554" s="229"/>
      <c r="C554" s="229"/>
      <c r="D554" s="229"/>
      <c r="E554" s="229"/>
      <c r="F554" s="229"/>
      <c r="G554" s="229"/>
      <c r="H554" s="229"/>
      <c r="I554" s="229"/>
      <c r="J554" s="229"/>
      <c r="K554" s="229"/>
      <c r="L554" s="229"/>
      <c r="M554" s="229"/>
      <c r="N554" s="229"/>
      <c r="O554" s="229"/>
      <c r="P554" s="229"/>
      <c r="Q554" s="229"/>
      <c r="R554" s="229"/>
      <c r="S554" s="229"/>
      <c r="T554" s="229"/>
      <c r="U554" s="229"/>
      <c r="V554" s="229"/>
      <c r="W554" s="229"/>
      <c r="X554" s="229"/>
      <c r="Y554" s="229"/>
      <c r="Z554" s="229"/>
      <c r="AA554" s="229"/>
    </row>
    <row r="555" customFormat="false" ht="13.5" hidden="false" customHeight="true" outlineLevel="0" collapsed="false">
      <c r="A555" s="229"/>
      <c r="B555" s="229"/>
      <c r="C555" s="229"/>
      <c r="D555" s="229"/>
      <c r="E555" s="229"/>
      <c r="F555" s="229"/>
      <c r="G555" s="229"/>
      <c r="H555" s="229"/>
      <c r="I555" s="229"/>
      <c r="J555" s="229"/>
      <c r="K555" s="229"/>
      <c r="L555" s="229"/>
      <c r="M555" s="229"/>
      <c r="N555" s="229"/>
      <c r="O555" s="229"/>
      <c r="P555" s="229"/>
      <c r="Q555" s="229"/>
      <c r="R555" s="229"/>
      <c r="S555" s="229"/>
      <c r="T555" s="229"/>
      <c r="U555" s="229"/>
      <c r="V555" s="229"/>
      <c r="W555" s="229"/>
      <c r="X555" s="229"/>
      <c r="Y555" s="229"/>
      <c r="Z555" s="229"/>
      <c r="AA555" s="229"/>
    </row>
    <row r="556" customFormat="false" ht="13.5" hidden="false" customHeight="true" outlineLevel="0" collapsed="false">
      <c r="A556" s="229"/>
      <c r="B556" s="229"/>
      <c r="C556" s="229"/>
      <c r="D556" s="229"/>
      <c r="E556" s="229"/>
      <c r="F556" s="229"/>
      <c r="G556" s="229"/>
      <c r="H556" s="229"/>
      <c r="I556" s="229"/>
      <c r="J556" s="229"/>
      <c r="K556" s="229"/>
      <c r="L556" s="229"/>
      <c r="M556" s="229"/>
      <c r="N556" s="229"/>
      <c r="O556" s="229"/>
      <c r="P556" s="229"/>
      <c r="Q556" s="229"/>
      <c r="R556" s="229"/>
      <c r="S556" s="229"/>
      <c r="T556" s="229"/>
      <c r="U556" s="229"/>
      <c r="V556" s="229"/>
      <c r="W556" s="229"/>
      <c r="X556" s="229"/>
      <c r="Y556" s="229"/>
      <c r="Z556" s="229"/>
      <c r="AA556" s="229"/>
    </row>
    <row r="557" customFormat="false" ht="13.5" hidden="false" customHeight="true" outlineLevel="0" collapsed="false">
      <c r="A557" s="229"/>
      <c r="B557" s="229"/>
      <c r="C557" s="229"/>
      <c r="D557" s="229"/>
      <c r="E557" s="229"/>
      <c r="F557" s="229"/>
      <c r="G557" s="229"/>
      <c r="H557" s="229"/>
      <c r="I557" s="229"/>
      <c r="J557" s="229"/>
      <c r="K557" s="229"/>
      <c r="L557" s="229"/>
      <c r="M557" s="229"/>
      <c r="N557" s="229"/>
      <c r="O557" s="229"/>
      <c r="P557" s="229"/>
      <c r="Q557" s="229"/>
      <c r="R557" s="229"/>
      <c r="S557" s="229"/>
      <c r="T557" s="229"/>
      <c r="U557" s="229"/>
      <c r="V557" s="229"/>
      <c r="W557" s="229"/>
      <c r="X557" s="229"/>
      <c r="Y557" s="229"/>
      <c r="Z557" s="229"/>
      <c r="AA557" s="229"/>
    </row>
    <row r="558" customFormat="false" ht="13.5" hidden="false" customHeight="true" outlineLevel="0" collapsed="false">
      <c r="A558" s="229"/>
      <c r="B558" s="229"/>
      <c r="C558" s="229"/>
      <c r="D558" s="229"/>
      <c r="E558" s="229"/>
      <c r="F558" s="229"/>
      <c r="G558" s="229"/>
      <c r="H558" s="229"/>
      <c r="I558" s="229"/>
      <c r="J558" s="229"/>
      <c r="K558" s="229"/>
      <c r="L558" s="229"/>
      <c r="M558" s="229"/>
      <c r="N558" s="229"/>
      <c r="O558" s="229"/>
      <c r="P558" s="229"/>
      <c r="Q558" s="229"/>
      <c r="R558" s="229"/>
      <c r="S558" s="229"/>
      <c r="T558" s="229"/>
      <c r="U558" s="229"/>
      <c r="V558" s="229"/>
      <c r="W558" s="229"/>
      <c r="X558" s="229"/>
      <c r="Y558" s="229"/>
      <c r="Z558" s="229"/>
      <c r="AA558" s="229"/>
    </row>
    <row r="559" customFormat="false" ht="13.5" hidden="false" customHeight="true" outlineLevel="0" collapsed="false">
      <c r="A559" s="229"/>
      <c r="B559" s="229"/>
      <c r="C559" s="229"/>
      <c r="D559" s="229"/>
      <c r="E559" s="229"/>
      <c r="F559" s="229"/>
      <c r="G559" s="229"/>
      <c r="H559" s="229"/>
      <c r="I559" s="229"/>
      <c r="J559" s="229"/>
      <c r="K559" s="229"/>
      <c r="L559" s="229"/>
      <c r="M559" s="229"/>
      <c r="N559" s="229"/>
      <c r="O559" s="229"/>
      <c r="P559" s="229"/>
      <c r="Q559" s="229"/>
      <c r="R559" s="229"/>
      <c r="S559" s="229"/>
      <c r="T559" s="229"/>
      <c r="U559" s="229"/>
      <c r="V559" s="229"/>
      <c r="W559" s="229"/>
      <c r="X559" s="229"/>
      <c r="Y559" s="229"/>
      <c r="Z559" s="229"/>
      <c r="AA559" s="229"/>
    </row>
    <row r="560" customFormat="false" ht="13.5" hidden="false" customHeight="true" outlineLevel="0" collapsed="false">
      <c r="A560" s="229"/>
      <c r="B560" s="229"/>
      <c r="C560" s="229"/>
      <c r="D560" s="229"/>
      <c r="E560" s="229"/>
      <c r="F560" s="229"/>
      <c r="G560" s="229"/>
      <c r="H560" s="229"/>
      <c r="I560" s="229"/>
      <c r="J560" s="229"/>
      <c r="K560" s="229"/>
      <c r="L560" s="229"/>
      <c r="M560" s="229"/>
      <c r="N560" s="229"/>
      <c r="O560" s="229"/>
      <c r="P560" s="229"/>
      <c r="Q560" s="229"/>
      <c r="R560" s="229"/>
      <c r="S560" s="229"/>
      <c r="T560" s="229"/>
      <c r="U560" s="229"/>
      <c r="V560" s="229"/>
      <c r="W560" s="229"/>
      <c r="X560" s="229"/>
      <c r="Y560" s="229"/>
      <c r="Z560" s="229"/>
      <c r="AA560" s="229"/>
    </row>
    <row r="561" customFormat="false" ht="13.5" hidden="false" customHeight="true" outlineLevel="0" collapsed="false">
      <c r="A561" s="229"/>
      <c r="B561" s="229"/>
      <c r="C561" s="229"/>
      <c r="D561" s="229"/>
      <c r="E561" s="229"/>
      <c r="F561" s="229"/>
      <c r="G561" s="229"/>
      <c r="H561" s="229"/>
      <c r="I561" s="229"/>
      <c r="J561" s="229"/>
      <c r="K561" s="229"/>
      <c r="L561" s="229"/>
      <c r="M561" s="229"/>
      <c r="N561" s="229"/>
      <c r="O561" s="229"/>
      <c r="P561" s="229"/>
      <c r="Q561" s="229"/>
      <c r="R561" s="229"/>
      <c r="S561" s="229"/>
      <c r="T561" s="229"/>
      <c r="U561" s="229"/>
      <c r="V561" s="229"/>
      <c r="W561" s="229"/>
      <c r="X561" s="229"/>
      <c r="Y561" s="229"/>
      <c r="Z561" s="229"/>
      <c r="AA561" s="229"/>
    </row>
    <row r="562" customFormat="false" ht="13.5" hidden="false" customHeight="true" outlineLevel="0" collapsed="false">
      <c r="A562" s="229"/>
      <c r="B562" s="229"/>
      <c r="C562" s="229"/>
      <c r="D562" s="229"/>
      <c r="E562" s="229"/>
      <c r="F562" s="229"/>
      <c r="G562" s="229"/>
      <c r="H562" s="229"/>
      <c r="I562" s="229"/>
      <c r="J562" s="229"/>
      <c r="K562" s="229"/>
      <c r="L562" s="229"/>
      <c r="M562" s="229"/>
      <c r="N562" s="229"/>
      <c r="O562" s="229"/>
      <c r="P562" s="229"/>
      <c r="Q562" s="229"/>
      <c r="R562" s="229"/>
      <c r="S562" s="229"/>
      <c r="T562" s="229"/>
      <c r="U562" s="229"/>
      <c r="V562" s="229"/>
      <c r="W562" s="229"/>
      <c r="X562" s="229"/>
      <c r="Y562" s="229"/>
      <c r="Z562" s="229"/>
      <c r="AA562" s="229"/>
    </row>
    <row r="563" customFormat="false" ht="13.5" hidden="false" customHeight="true" outlineLevel="0" collapsed="false">
      <c r="A563" s="229"/>
      <c r="B563" s="229"/>
      <c r="C563" s="229"/>
      <c r="D563" s="229"/>
      <c r="E563" s="229"/>
      <c r="F563" s="229"/>
      <c r="G563" s="229"/>
      <c r="H563" s="229"/>
      <c r="I563" s="229"/>
      <c r="J563" s="229"/>
      <c r="K563" s="229"/>
      <c r="L563" s="229"/>
      <c r="M563" s="229"/>
      <c r="N563" s="229"/>
      <c r="O563" s="229"/>
      <c r="P563" s="229"/>
      <c r="Q563" s="229"/>
      <c r="R563" s="229"/>
      <c r="S563" s="229"/>
      <c r="T563" s="229"/>
      <c r="U563" s="229"/>
      <c r="V563" s="229"/>
      <c r="W563" s="229"/>
      <c r="X563" s="229"/>
      <c r="Y563" s="229"/>
      <c r="Z563" s="229"/>
      <c r="AA563" s="229"/>
    </row>
    <row r="564" customFormat="false" ht="13.5" hidden="false" customHeight="true" outlineLevel="0" collapsed="false">
      <c r="A564" s="229"/>
      <c r="B564" s="229"/>
      <c r="C564" s="229"/>
      <c r="D564" s="229"/>
      <c r="E564" s="229"/>
      <c r="F564" s="229"/>
      <c r="G564" s="229"/>
      <c r="H564" s="229"/>
      <c r="I564" s="229"/>
      <c r="J564" s="229"/>
      <c r="K564" s="229"/>
      <c r="L564" s="229"/>
      <c r="M564" s="229"/>
      <c r="N564" s="229"/>
      <c r="O564" s="229"/>
      <c r="P564" s="229"/>
      <c r="Q564" s="229"/>
      <c r="R564" s="229"/>
      <c r="S564" s="229"/>
      <c r="T564" s="229"/>
      <c r="U564" s="229"/>
      <c r="V564" s="229"/>
      <c r="W564" s="229"/>
      <c r="X564" s="229"/>
      <c r="Y564" s="229"/>
      <c r="Z564" s="229"/>
      <c r="AA564" s="229"/>
    </row>
    <row r="565" customFormat="false" ht="13.5" hidden="false" customHeight="true" outlineLevel="0" collapsed="false">
      <c r="A565" s="229"/>
      <c r="B565" s="229"/>
      <c r="C565" s="229"/>
      <c r="D565" s="229"/>
      <c r="E565" s="229"/>
      <c r="F565" s="229"/>
      <c r="G565" s="229"/>
      <c r="H565" s="229"/>
      <c r="I565" s="229"/>
      <c r="J565" s="229"/>
      <c r="K565" s="229"/>
      <c r="L565" s="229"/>
      <c r="M565" s="229"/>
      <c r="N565" s="229"/>
      <c r="O565" s="229"/>
      <c r="P565" s="229"/>
      <c r="Q565" s="229"/>
      <c r="R565" s="229"/>
      <c r="S565" s="229"/>
      <c r="T565" s="229"/>
      <c r="U565" s="229"/>
      <c r="V565" s="229"/>
      <c r="W565" s="229"/>
      <c r="X565" s="229"/>
      <c r="Y565" s="229"/>
      <c r="Z565" s="229"/>
      <c r="AA565" s="229"/>
    </row>
    <row r="566" customFormat="false" ht="13.5" hidden="false" customHeight="true" outlineLevel="0" collapsed="false">
      <c r="A566" s="229"/>
      <c r="B566" s="229"/>
      <c r="C566" s="229"/>
      <c r="D566" s="229"/>
      <c r="E566" s="229"/>
      <c r="F566" s="229"/>
      <c r="G566" s="229"/>
      <c r="H566" s="229"/>
      <c r="I566" s="229"/>
      <c r="J566" s="229"/>
      <c r="K566" s="229"/>
      <c r="L566" s="229"/>
      <c r="M566" s="229"/>
      <c r="N566" s="229"/>
      <c r="O566" s="229"/>
      <c r="P566" s="229"/>
      <c r="Q566" s="229"/>
      <c r="R566" s="229"/>
      <c r="S566" s="229"/>
      <c r="T566" s="229"/>
      <c r="U566" s="229"/>
      <c r="V566" s="229"/>
      <c r="W566" s="229"/>
      <c r="X566" s="229"/>
      <c r="Y566" s="229"/>
      <c r="Z566" s="229"/>
      <c r="AA566" s="229"/>
    </row>
    <row r="567" customFormat="false" ht="13.5" hidden="false" customHeight="true" outlineLevel="0" collapsed="false">
      <c r="A567" s="229"/>
      <c r="B567" s="229"/>
      <c r="C567" s="229"/>
      <c r="D567" s="229"/>
      <c r="E567" s="229"/>
      <c r="F567" s="229"/>
      <c r="G567" s="229"/>
      <c r="H567" s="229"/>
      <c r="I567" s="229"/>
      <c r="J567" s="229"/>
      <c r="K567" s="229"/>
      <c r="L567" s="229"/>
      <c r="M567" s="229"/>
      <c r="N567" s="229"/>
      <c r="O567" s="229"/>
      <c r="P567" s="229"/>
      <c r="Q567" s="229"/>
      <c r="R567" s="229"/>
      <c r="S567" s="229"/>
      <c r="T567" s="229"/>
      <c r="U567" s="229"/>
      <c r="V567" s="229"/>
      <c r="W567" s="229"/>
      <c r="X567" s="229"/>
      <c r="Y567" s="229"/>
      <c r="Z567" s="229"/>
      <c r="AA567" s="229"/>
    </row>
    <row r="568" customFormat="false" ht="13.5" hidden="false" customHeight="true" outlineLevel="0" collapsed="false">
      <c r="A568" s="229"/>
      <c r="B568" s="229"/>
      <c r="C568" s="229"/>
      <c r="D568" s="229"/>
      <c r="E568" s="229"/>
      <c r="F568" s="229"/>
      <c r="G568" s="229"/>
      <c r="H568" s="229"/>
      <c r="I568" s="229"/>
      <c r="J568" s="229"/>
      <c r="K568" s="229"/>
      <c r="L568" s="229"/>
      <c r="M568" s="229"/>
      <c r="N568" s="229"/>
      <c r="O568" s="229"/>
      <c r="P568" s="229"/>
      <c r="Q568" s="229"/>
      <c r="R568" s="229"/>
      <c r="S568" s="229"/>
      <c r="T568" s="229"/>
      <c r="U568" s="229"/>
      <c r="V568" s="229"/>
      <c r="W568" s="229"/>
      <c r="X568" s="229"/>
      <c r="Y568" s="229"/>
      <c r="Z568" s="229"/>
      <c r="AA568" s="229"/>
    </row>
    <row r="569" customFormat="false" ht="13.5" hidden="false" customHeight="true" outlineLevel="0" collapsed="false">
      <c r="A569" s="229"/>
      <c r="B569" s="229"/>
      <c r="C569" s="229"/>
      <c r="D569" s="229"/>
      <c r="E569" s="229"/>
      <c r="F569" s="229"/>
      <c r="G569" s="229"/>
      <c r="H569" s="229"/>
      <c r="I569" s="229"/>
      <c r="J569" s="229"/>
      <c r="K569" s="229"/>
      <c r="L569" s="229"/>
      <c r="M569" s="229"/>
      <c r="N569" s="229"/>
      <c r="O569" s="229"/>
      <c r="P569" s="229"/>
      <c r="Q569" s="229"/>
      <c r="R569" s="229"/>
      <c r="S569" s="229"/>
      <c r="T569" s="229"/>
      <c r="U569" s="229"/>
      <c r="V569" s="229"/>
      <c r="W569" s="229"/>
      <c r="X569" s="229"/>
      <c r="Y569" s="229"/>
      <c r="Z569" s="229"/>
      <c r="AA569" s="229"/>
    </row>
    <row r="570" customFormat="false" ht="13.5" hidden="false" customHeight="true" outlineLevel="0" collapsed="false">
      <c r="A570" s="229"/>
      <c r="B570" s="229"/>
      <c r="C570" s="229"/>
      <c r="D570" s="229"/>
      <c r="E570" s="229"/>
      <c r="F570" s="229"/>
      <c r="G570" s="229"/>
      <c r="H570" s="229"/>
      <c r="I570" s="229"/>
      <c r="J570" s="229"/>
      <c r="K570" s="229"/>
      <c r="L570" s="229"/>
      <c r="M570" s="229"/>
      <c r="N570" s="229"/>
      <c r="O570" s="229"/>
      <c r="P570" s="229"/>
      <c r="Q570" s="229"/>
      <c r="R570" s="229"/>
      <c r="S570" s="229"/>
      <c r="T570" s="229"/>
      <c r="U570" s="229"/>
      <c r="V570" s="229"/>
      <c r="W570" s="229"/>
      <c r="X570" s="229"/>
      <c r="Y570" s="229"/>
      <c r="Z570" s="229"/>
      <c r="AA570" s="229"/>
    </row>
    <row r="571" customFormat="false" ht="13.5" hidden="false" customHeight="true" outlineLevel="0" collapsed="false">
      <c r="A571" s="229"/>
      <c r="B571" s="229"/>
      <c r="C571" s="229"/>
      <c r="D571" s="229"/>
      <c r="E571" s="229"/>
      <c r="F571" s="229"/>
      <c r="G571" s="229"/>
      <c r="H571" s="229"/>
      <c r="I571" s="229"/>
      <c r="J571" s="229"/>
      <c r="K571" s="229"/>
      <c r="L571" s="229"/>
      <c r="M571" s="229"/>
      <c r="N571" s="229"/>
      <c r="O571" s="229"/>
      <c r="P571" s="229"/>
      <c r="Q571" s="229"/>
      <c r="R571" s="229"/>
      <c r="S571" s="229"/>
      <c r="T571" s="229"/>
      <c r="U571" s="229"/>
      <c r="V571" s="229"/>
      <c r="W571" s="229"/>
      <c r="X571" s="229"/>
      <c r="Y571" s="229"/>
      <c r="Z571" s="229"/>
      <c r="AA571" s="229"/>
    </row>
    <row r="572" customFormat="false" ht="13.5" hidden="false" customHeight="true" outlineLevel="0" collapsed="false">
      <c r="A572" s="229"/>
      <c r="B572" s="229"/>
      <c r="C572" s="229"/>
      <c r="D572" s="229"/>
      <c r="E572" s="229"/>
      <c r="F572" s="229"/>
      <c r="G572" s="229"/>
      <c r="H572" s="229"/>
      <c r="I572" s="229"/>
      <c r="J572" s="229"/>
      <c r="K572" s="229"/>
      <c r="L572" s="229"/>
      <c r="M572" s="229"/>
      <c r="N572" s="229"/>
      <c r="O572" s="229"/>
      <c r="P572" s="229"/>
      <c r="Q572" s="229"/>
      <c r="R572" s="229"/>
      <c r="S572" s="229"/>
      <c r="T572" s="229"/>
      <c r="U572" s="229"/>
      <c r="V572" s="229"/>
      <c r="W572" s="229"/>
      <c r="X572" s="229"/>
      <c r="Y572" s="229"/>
      <c r="Z572" s="229"/>
      <c r="AA572" s="229"/>
    </row>
    <row r="573" customFormat="false" ht="13.5" hidden="false" customHeight="true" outlineLevel="0" collapsed="false">
      <c r="A573" s="229"/>
      <c r="B573" s="229"/>
      <c r="C573" s="229"/>
      <c r="D573" s="229"/>
      <c r="E573" s="229"/>
      <c r="F573" s="229"/>
      <c r="G573" s="229"/>
      <c r="H573" s="229"/>
      <c r="I573" s="229"/>
      <c r="J573" s="229"/>
      <c r="K573" s="229"/>
      <c r="L573" s="229"/>
      <c r="M573" s="229"/>
      <c r="N573" s="229"/>
      <c r="O573" s="229"/>
      <c r="P573" s="229"/>
      <c r="Q573" s="229"/>
      <c r="R573" s="229"/>
      <c r="S573" s="229"/>
      <c r="T573" s="229"/>
      <c r="U573" s="229"/>
      <c r="V573" s="229"/>
      <c r="W573" s="229"/>
      <c r="X573" s="229"/>
      <c r="Y573" s="229"/>
      <c r="Z573" s="229"/>
      <c r="AA573" s="229"/>
    </row>
    <row r="574" customFormat="false" ht="13.5" hidden="false" customHeight="true" outlineLevel="0" collapsed="false">
      <c r="A574" s="229"/>
      <c r="B574" s="229"/>
      <c r="C574" s="229"/>
      <c r="D574" s="229"/>
      <c r="E574" s="229"/>
      <c r="F574" s="229"/>
      <c r="G574" s="229"/>
      <c r="H574" s="229"/>
      <c r="I574" s="229"/>
      <c r="J574" s="229"/>
      <c r="K574" s="229"/>
      <c r="L574" s="229"/>
      <c r="M574" s="229"/>
      <c r="N574" s="229"/>
      <c r="O574" s="229"/>
      <c r="P574" s="229"/>
      <c r="Q574" s="229"/>
      <c r="R574" s="229"/>
      <c r="S574" s="229"/>
      <c r="T574" s="229"/>
      <c r="U574" s="229"/>
      <c r="V574" s="229"/>
      <c r="W574" s="229"/>
      <c r="X574" s="229"/>
      <c r="Y574" s="229"/>
      <c r="Z574" s="229"/>
      <c r="AA574" s="229"/>
    </row>
    <row r="575" customFormat="false" ht="13.5" hidden="false" customHeight="true" outlineLevel="0" collapsed="false">
      <c r="A575" s="229"/>
      <c r="B575" s="229"/>
      <c r="C575" s="229"/>
      <c r="D575" s="229"/>
      <c r="E575" s="229"/>
      <c r="F575" s="229"/>
      <c r="G575" s="229"/>
      <c r="H575" s="229"/>
      <c r="I575" s="229"/>
      <c r="J575" s="229"/>
      <c r="K575" s="229"/>
      <c r="L575" s="229"/>
      <c r="M575" s="229"/>
      <c r="N575" s="229"/>
      <c r="O575" s="229"/>
      <c r="P575" s="229"/>
      <c r="Q575" s="229"/>
      <c r="R575" s="229"/>
      <c r="S575" s="229"/>
      <c r="T575" s="229"/>
      <c r="U575" s="229"/>
      <c r="V575" s="229"/>
      <c r="W575" s="229"/>
      <c r="X575" s="229"/>
      <c r="Y575" s="229"/>
      <c r="Z575" s="229"/>
      <c r="AA575" s="229"/>
    </row>
    <row r="576" customFormat="false" ht="13.5" hidden="false" customHeight="true" outlineLevel="0" collapsed="false">
      <c r="A576" s="229"/>
      <c r="B576" s="229"/>
      <c r="C576" s="229"/>
      <c r="D576" s="229"/>
      <c r="E576" s="229"/>
      <c r="F576" s="229"/>
      <c r="G576" s="229"/>
      <c r="H576" s="229"/>
      <c r="I576" s="229"/>
      <c r="J576" s="229"/>
      <c r="K576" s="229"/>
      <c r="L576" s="229"/>
      <c r="M576" s="229"/>
      <c r="N576" s="229"/>
      <c r="O576" s="229"/>
      <c r="P576" s="229"/>
      <c r="Q576" s="229"/>
      <c r="R576" s="229"/>
      <c r="S576" s="229"/>
      <c r="T576" s="229"/>
      <c r="U576" s="229"/>
      <c r="V576" s="229"/>
      <c r="W576" s="229"/>
      <c r="X576" s="229"/>
      <c r="Y576" s="229"/>
      <c r="Z576" s="229"/>
      <c r="AA576" s="229"/>
    </row>
    <row r="577" customFormat="false" ht="13.5" hidden="false" customHeight="true" outlineLevel="0" collapsed="false">
      <c r="A577" s="229"/>
      <c r="B577" s="229"/>
      <c r="C577" s="229"/>
      <c r="D577" s="229"/>
      <c r="E577" s="229"/>
      <c r="F577" s="229"/>
      <c r="G577" s="229"/>
      <c r="H577" s="229"/>
      <c r="I577" s="229"/>
      <c r="J577" s="229"/>
      <c r="K577" s="229"/>
      <c r="L577" s="229"/>
      <c r="M577" s="229"/>
      <c r="N577" s="229"/>
      <c r="O577" s="229"/>
      <c r="P577" s="229"/>
      <c r="Q577" s="229"/>
      <c r="R577" s="229"/>
      <c r="S577" s="229"/>
      <c r="T577" s="229"/>
      <c r="U577" s="229"/>
      <c r="V577" s="229"/>
      <c r="W577" s="229"/>
      <c r="X577" s="229"/>
      <c r="Y577" s="229"/>
      <c r="Z577" s="229"/>
      <c r="AA577" s="229"/>
    </row>
    <row r="578" customFormat="false" ht="13.5" hidden="false" customHeight="true" outlineLevel="0" collapsed="false">
      <c r="A578" s="229"/>
      <c r="B578" s="229"/>
      <c r="C578" s="229"/>
      <c r="D578" s="229"/>
      <c r="E578" s="229"/>
      <c r="F578" s="229"/>
      <c r="G578" s="229"/>
      <c r="H578" s="229"/>
      <c r="I578" s="229"/>
      <c r="J578" s="229"/>
      <c r="K578" s="229"/>
      <c r="L578" s="229"/>
      <c r="M578" s="229"/>
      <c r="N578" s="229"/>
      <c r="O578" s="229"/>
      <c r="P578" s="229"/>
      <c r="Q578" s="229"/>
      <c r="R578" s="229"/>
      <c r="S578" s="229"/>
      <c r="T578" s="229"/>
      <c r="U578" s="229"/>
      <c r="V578" s="229"/>
      <c r="W578" s="229"/>
      <c r="X578" s="229"/>
      <c r="Y578" s="229"/>
      <c r="Z578" s="229"/>
      <c r="AA578" s="229"/>
    </row>
    <row r="579" customFormat="false" ht="13.5" hidden="false" customHeight="true" outlineLevel="0" collapsed="false">
      <c r="A579" s="229"/>
      <c r="B579" s="229"/>
      <c r="C579" s="229"/>
      <c r="D579" s="229"/>
      <c r="E579" s="229"/>
      <c r="F579" s="229"/>
      <c r="G579" s="229"/>
      <c r="H579" s="229"/>
      <c r="I579" s="229"/>
      <c r="J579" s="229"/>
      <c r="K579" s="229"/>
      <c r="L579" s="229"/>
      <c r="M579" s="229"/>
      <c r="N579" s="229"/>
      <c r="O579" s="229"/>
      <c r="P579" s="229"/>
      <c r="Q579" s="229"/>
      <c r="R579" s="229"/>
      <c r="S579" s="229"/>
      <c r="T579" s="229"/>
      <c r="U579" s="229"/>
      <c r="V579" s="229"/>
      <c r="W579" s="229"/>
      <c r="X579" s="229"/>
      <c r="Y579" s="229"/>
      <c r="Z579" s="229"/>
      <c r="AA579" s="229"/>
    </row>
    <row r="580" customFormat="false" ht="13.5" hidden="false" customHeight="true" outlineLevel="0" collapsed="false">
      <c r="A580" s="229"/>
      <c r="B580" s="229"/>
      <c r="C580" s="229"/>
      <c r="D580" s="229"/>
      <c r="E580" s="229"/>
      <c r="F580" s="229"/>
      <c r="G580" s="229"/>
      <c r="H580" s="229"/>
      <c r="I580" s="229"/>
      <c r="J580" s="229"/>
      <c r="K580" s="229"/>
      <c r="L580" s="229"/>
      <c r="M580" s="229"/>
      <c r="N580" s="229"/>
      <c r="O580" s="229"/>
      <c r="P580" s="229"/>
      <c r="Q580" s="229"/>
      <c r="R580" s="229"/>
      <c r="S580" s="229"/>
      <c r="T580" s="229"/>
      <c r="U580" s="229"/>
      <c r="V580" s="229"/>
      <c r="W580" s="229"/>
      <c r="X580" s="229"/>
      <c r="Y580" s="229"/>
      <c r="Z580" s="229"/>
      <c r="AA580" s="229"/>
    </row>
    <row r="581" customFormat="false" ht="13.5" hidden="false" customHeight="true" outlineLevel="0" collapsed="false">
      <c r="A581" s="229"/>
      <c r="B581" s="229"/>
      <c r="C581" s="229"/>
      <c r="D581" s="229"/>
      <c r="E581" s="229"/>
      <c r="F581" s="229"/>
      <c r="G581" s="229"/>
      <c r="H581" s="229"/>
      <c r="I581" s="229"/>
      <c r="J581" s="229"/>
      <c r="K581" s="229"/>
      <c r="L581" s="229"/>
      <c r="M581" s="229"/>
      <c r="N581" s="229"/>
      <c r="O581" s="229"/>
      <c r="P581" s="229"/>
      <c r="Q581" s="229"/>
      <c r="R581" s="229"/>
      <c r="S581" s="229"/>
      <c r="T581" s="229"/>
      <c r="U581" s="229"/>
      <c r="V581" s="229"/>
      <c r="W581" s="229"/>
      <c r="X581" s="229"/>
      <c r="Y581" s="229"/>
      <c r="Z581" s="229"/>
      <c r="AA581" s="229"/>
    </row>
    <row r="582" customFormat="false" ht="13.5" hidden="false" customHeight="true" outlineLevel="0" collapsed="false">
      <c r="A582" s="229"/>
      <c r="B582" s="229"/>
      <c r="C582" s="229"/>
      <c r="D582" s="229"/>
      <c r="E582" s="229"/>
      <c r="F582" s="229"/>
      <c r="G582" s="229"/>
      <c r="H582" s="229"/>
      <c r="I582" s="229"/>
      <c r="J582" s="229"/>
      <c r="K582" s="229"/>
      <c r="L582" s="229"/>
      <c r="M582" s="229"/>
      <c r="N582" s="229"/>
      <c r="O582" s="229"/>
      <c r="P582" s="229"/>
      <c r="Q582" s="229"/>
      <c r="R582" s="229"/>
      <c r="S582" s="229"/>
      <c r="T582" s="229"/>
      <c r="U582" s="229"/>
      <c r="V582" s="229"/>
      <c r="W582" s="229"/>
      <c r="X582" s="229"/>
      <c r="Y582" s="229"/>
      <c r="Z582" s="229"/>
      <c r="AA582" s="229"/>
    </row>
    <row r="583" customFormat="false" ht="13.5" hidden="false" customHeight="true" outlineLevel="0" collapsed="false">
      <c r="A583" s="229"/>
      <c r="B583" s="229"/>
      <c r="C583" s="229"/>
      <c r="D583" s="229"/>
      <c r="E583" s="229"/>
      <c r="F583" s="229"/>
      <c r="G583" s="229"/>
      <c r="H583" s="229"/>
      <c r="I583" s="229"/>
      <c r="J583" s="229"/>
      <c r="K583" s="229"/>
      <c r="L583" s="229"/>
      <c r="M583" s="229"/>
      <c r="N583" s="229"/>
      <c r="O583" s="229"/>
      <c r="P583" s="229"/>
      <c r="Q583" s="229"/>
      <c r="R583" s="229"/>
      <c r="S583" s="229"/>
      <c r="T583" s="229"/>
      <c r="U583" s="229"/>
      <c r="V583" s="229"/>
      <c r="W583" s="229"/>
      <c r="X583" s="229"/>
      <c r="Y583" s="229"/>
      <c r="Z583" s="229"/>
      <c r="AA583" s="229"/>
    </row>
    <row r="584" customFormat="false" ht="13.5" hidden="false" customHeight="true" outlineLevel="0" collapsed="false">
      <c r="A584" s="229"/>
      <c r="B584" s="229"/>
      <c r="C584" s="229"/>
      <c r="D584" s="229"/>
      <c r="E584" s="229"/>
      <c r="F584" s="229"/>
      <c r="G584" s="229"/>
      <c r="H584" s="229"/>
      <c r="I584" s="229"/>
      <c r="J584" s="229"/>
      <c r="K584" s="229"/>
      <c r="L584" s="229"/>
      <c r="M584" s="229"/>
      <c r="N584" s="229"/>
      <c r="O584" s="229"/>
      <c r="P584" s="229"/>
      <c r="Q584" s="229"/>
      <c r="R584" s="229"/>
      <c r="S584" s="229"/>
      <c r="T584" s="229"/>
      <c r="U584" s="229"/>
      <c r="V584" s="229"/>
      <c r="W584" s="229"/>
      <c r="X584" s="229"/>
      <c r="Y584" s="229"/>
      <c r="Z584" s="229"/>
      <c r="AA584" s="229"/>
    </row>
    <row r="585" customFormat="false" ht="13.5" hidden="false" customHeight="true" outlineLevel="0" collapsed="false">
      <c r="A585" s="229"/>
      <c r="B585" s="229"/>
      <c r="C585" s="229"/>
      <c r="D585" s="229"/>
      <c r="E585" s="229"/>
      <c r="F585" s="229"/>
      <c r="G585" s="229"/>
      <c r="H585" s="229"/>
      <c r="I585" s="229"/>
      <c r="J585" s="229"/>
      <c r="K585" s="229"/>
      <c r="L585" s="229"/>
      <c r="M585" s="229"/>
      <c r="N585" s="229"/>
      <c r="O585" s="229"/>
      <c r="P585" s="229"/>
      <c r="Q585" s="229"/>
      <c r="R585" s="229"/>
      <c r="S585" s="229"/>
      <c r="T585" s="229"/>
      <c r="U585" s="229"/>
      <c r="V585" s="229"/>
      <c r="W585" s="229"/>
      <c r="X585" s="229"/>
      <c r="Y585" s="229"/>
      <c r="Z585" s="229"/>
      <c r="AA585" s="229"/>
    </row>
    <row r="586" customFormat="false" ht="13.5" hidden="false" customHeight="true" outlineLevel="0" collapsed="false">
      <c r="A586" s="229"/>
      <c r="B586" s="229"/>
      <c r="C586" s="229"/>
      <c r="D586" s="229"/>
      <c r="E586" s="229"/>
      <c r="F586" s="229"/>
      <c r="G586" s="229"/>
      <c r="H586" s="229"/>
      <c r="I586" s="229"/>
      <c r="J586" s="229"/>
      <c r="K586" s="229"/>
      <c r="L586" s="229"/>
      <c r="M586" s="229"/>
      <c r="N586" s="229"/>
      <c r="O586" s="229"/>
      <c r="P586" s="229"/>
      <c r="Q586" s="229"/>
      <c r="R586" s="229"/>
      <c r="S586" s="229"/>
      <c r="T586" s="229"/>
      <c r="U586" s="229"/>
      <c r="V586" s="229"/>
      <c r="W586" s="229"/>
      <c r="X586" s="229"/>
      <c r="Y586" s="229"/>
      <c r="Z586" s="229"/>
      <c r="AA586" s="229"/>
    </row>
    <row r="587" customFormat="false" ht="13.5" hidden="false" customHeight="true" outlineLevel="0" collapsed="false">
      <c r="A587" s="229"/>
      <c r="B587" s="229"/>
      <c r="C587" s="229"/>
      <c r="D587" s="229"/>
      <c r="E587" s="229"/>
      <c r="F587" s="229"/>
      <c r="G587" s="229"/>
      <c r="H587" s="229"/>
      <c r="I587" s="229"/>
      <c r="J587" s="229"/>
      <c r="K587" s="229"/>
      <c r="L587" s="229"/>
      <c r="M587" s="229"/>
      <c r="N587" s="229"/>
      <c r="O587" s="229"/>
      <c r="P587" s="229"/>
      <c r="Q587" s="229"/>
      <c r="R587" s="229"/>
      <c r="S587" s="229"/>
      <c r="T587" s="229"/>
      <c r="U587" s="229"/>
      <c r="V587" s="229"/>
      <c r="W587" s="229"/>
      <c r="X587" s="229"/>
      <c r="Y587" s="229"/>
      <c r="Z587" s="229"/>
      <c r="AA587" s="229"/>
    </row>
    <row r="588" customFormat="false" ht="13.5" hidden="false" customHeight="true" outlineLevel="0" collapsed="false">
      <c r="A588" s="229"/>
      <c r="B588" s="229"/>
      <c r="C588" s="229"/>
      <c r="D588" s="229"/>
      <c r="E588" s="229"/>
      <c r="F588" s="229"/>
      <c r="G588" s="229"/>
      <c r="H588" s="229"/>
      <c r="I588" s="229"/>
      <c r="J588" s="229"/>
      <c r="K588" s="229"/>
      <c r="L588" s="229"/>
      <c r="M588" s="229"/>
      <c r="N588" s="229"/>
      <c r="O588" s="229"/>
      <c r="P588" s="229"/>
      <c r="Q588" s="229"/>
      <c r="R588" s="229"/>
      <c r="S588" s="229"/>
      <c r="T588" s="229"/>
      <c r="U588" s="229"/>
      <c r="V588" s="229"/>
      <c r="W588" s="229"/>
      <c r="X588" s="229"/>
      <c r="Y588" s="229"/>
      <c r="Z588" s="229"/>
      <c r="AA588" s="229"/>
    </row>
    <row r="589" customFormat="false" ht="13.5" hidden="false" customHeight="true" outlineLevel="0" collapsed="false">
      <c r="A589" s="229"/>
      <c r="B589" s="229"/>
      <c r="C589" s="229"/>
      <c r="D589" s="229"/>
      <c r="E589" s="229"/>
      <c r="F589" s="229"/>
      <c r="G589" s="229"/>
      <c r="H589" s="229"/>
      <c r="I589" s="229"/>
      <c r="J589" s="229"/>
      <c r="K589" s="229"/>
      <c r="L589" s="229"/>
      <c r="M589" s="229"/>
      <c r="N589" s="229"/>
      <c r="O589" s="229"/>
      <c r="P589" s="229"/>
      <c r="Q589" s="229"/>
      <c r="R589" s="229"/>
      <c r="S589" s="229"/>
      <c r="T589" s="229"/>
      <c r="U589" s="229"/>
      <c r="V589" s="229"/>
      <c r="W589" s="229"/>
      <c r="X589" s="229"/>
      <c r="Y589" s="229"/>
      <c r="Z589" s="229"/>
      <c r="AA589" s="229"/>
    </row>
    <row r="590" customFormat="false" ht="13.5" hidden="false" customHeight="true" outlineLevel="0" collapsed="false">
      <c r="A590" s="229"/>
      <c r="B590" s="229"/>
      <c r="C590" s="229"/>
      <c r="D590" s="229"/>
      <c r="E590" s="229"/>
      <c r="F590" s="229"/>
      <c r="G590" s="229"/>
      <c r="H590" s="229"/>
      <c r="I590" s="229"/>
      <c r="J590" s="229"/>
      <c r="K590" s="229"/>
      <c r="L590" s="229"/>
      <c r="M590" s="229"/>
      <c r="N590" s="229"/>
      <c r="O590" s="229"/>
      <c r="P590" s="229"/>
      <c r="Q590" s="229"/>
      <c r="R590" s="229"/>
      <c r="S590" s="229"/>
      <c r="T590" s="229"/>
      <c r="U590" s="229"/>
      <c r="V590" s="229"/>
      <c r="W590" s="229"/>
      <c r="X590" s="229"/>
      <c r="Y590" s="229"/>
      <c r="Z590" s="229"/>
      <c r="AA590" s="229"/>
    </row>
    <row r="591" customFormat="false" ht="13.5" hidden="false" customHeight="true" outlineLevel="0" collapsed="false">
      <c r="A591" s="229"/>
      <c r="B591" s="229"/>
      <c r="C591" s="229"/>
      <c r="D591" s="229"/>
      <c r="E591" s="229"/>
      <c r="F591" s="229"/>
      <c r="G591" s="229"/>
      <c r="H591" s="229"/>
      <c r="I591" s="229"/>
      <c r="J591" s="229"/>
      <c r="K591" s="229"/>
      <c r="L591" s="229"/>
      <c r="M591" s="229"/>
      <c r="N591" s="229"/>
      <c r="O591" s="229"/>
      <c r="P591" s="229"/>
      <c r="Q591" s="229"/>
      <c r="R591" s="229"/>
      <c r="S591" s="229"/>
      <c r="T591" s="229"/>
      <c r="U591" s="229"/>
      <c r="V591" s="229"/>
      <c r="W591" s="229"/>
      <c r="X591" s="229"/>
      <c r="Y591" s="229"/>
      <c r="Z591" s="229"/>
      <c r="AA591" s="229"/>
    </row>
    <row r="592" customFormat="false" ht="13.5" hidden="false" customHeight="true" outlineLevel="0" collapsed="false">
      <c r="A592" s="229"/>
      <c r="B592" s="229"/>
      <c r="C592" s="229"/>
      <c r="D592" s="229"/>
      <c r="E592" s="229"/>
      <c r="F592" s="229"/>
      <c r="G592" s="229"/>
      <c r="H592" s="229"/>
      <c r="I592" s="229"/>
      <c r="J592" s="229"/>
      <c r="K592" s="229"/>
      <c r="L592" s="229"/>
      <c r="M592" s="229"/>
      <c r="N592" s="229"/>
      <c r="O592" s="229"/>
      <c r="P592" s="229"/>
      <c r="Q592" s="229"/>
      <c r="R592" s="229"/>
      <c r="S592" s="229"/>
      <c r="T592" s="229"/>
      <c r="U592" s="229"/>
      <c r="V592" s="229"/>
      <c r="W592" s="229"/>
      <c r="X592" s="229"/>
      <c r="Y592" s="229"/>
      <c r="Z592" s="229"/>
      <c r="AA592" s="229"/>
    </row>
    <row r="593" customFormat="false" ht="13.5" hidden="false" customHeight="true" outlineLevel="0" collapsed="false">
      <c r="A593" s="229"/>
      <c r="B593" s="229"/>
      <c r="C593" s="229"/>
      <c r="D593" s="229"/>
      <c r="E593" s="229"/>
      <c r="F593" s="229"/>
      <c r="G593" s="229"/>
      <c r="H593" s="229"/>
      <c r="I593" s="229"/>
      <c r="J593" s="229"/>
      <c r="K593" s="229"/>
      <c r="L593" s="229"/>
      <c r="M593" s="229"/>
      <c r="N593" s="229"/>
      <c r="O593" s="229"/>
      <c r="P593" s="229"/>
      <c r="Q593" s="229"/>
      <c r="R593" s="229"/>
      <c r="S593" s="229"/>
      <c r="T593" s="229"/>
      <c r="U593" s="229"/>
      <c r="V593" s="229"/>
      <c r="W593" s="229"/>
      <c r="X593" s="229"/>
      <c r="Y593" s="229"/>
      <c r="Z593" s="229"/>
      <c r="AA593" s="229"/>
    </row>
    <row r="594" customFormat="false" ht="13.5" hidden="false" customHeight="true" outlineLevel="0" collapsed="false">
      <c r="A594" s="229"/>
      <c r="B594" s="229"/>
      <c r="C594" s="229"/>
      <c r="D594" s="229"/>
      <c r="E594" s="229"/>
      <c r="F594" s="229"/>
      <c r="G594" s="229"/>
      <c r="H594" s="229"/>
      <c r="I594" s="229"/>
      <c r="J594" s="229"/>
      <c r="K594" s="229"/>
      <c r="L594" s="229"/>
      <c r="M594" s="229"/>
      <c r="N594" s="229"/>
      <c r="O594" s="229"/>
      <c r="P594" s="229"/>
      <c r="Q594" s="229"/>
      <c r="R594" s="229"/>
      <c r="S594" s="229"/>
      <c r="T594" s="229"/>
      <c r="U594" s="229"/>
      <c r="V594" s="229"/>
      <c r="W594" s="229"/>
      <c r="X594" s="229"/>
      <c r="Y594" s="229"/>
      <c r="Z594" s="229"/>
      <c r="AA594" s="229"/>
    </row>
    <row r="595" customFormat="false" ht="13.5" hidden="false" customHeight="true" outlineLevel="0" collapsed="false">
      <c r="A595" s="229"/>
      <c r="B595" s="229"/>
      <c r="C595" s="229"/>
      <c r="D595" s="229"/>
      <c r="E595" s="229"/>
      <c r="F595" s="229"/>
      <c r="G595" s="229"/>
      <c r="H595" s="229"/>
      <c r="I595" s="229"/>
      <c r="J595" s="229"/>
      <c r="K595" s="229"/>
      <c r="L595" s="229"/>
      <c r="M595" s="229"/>
      <c r="N595" s="229"/>
      <c r="O595" s="229"/>
      <c r="P595" s="229"/>
      <c r="Q595" s="229"/>
      <c r="R595" s="229"/>
      <c r="S595" s="229"/>
      <c r="T595" s="229"/>
      <c r="U595" s="229"/>
      <c r="V595" s="229"/>
      <c r="W595" s="229"/>
      <c r="X595" s="229"/>
      <c r="Y595" s="229"/>
      <c r="Z595" s="229"/>
      <c r="AA595" s="229"/>
    </row>
    <row r="596" customFormat="false" ht="13.5" hidden="false" customHeight="true" outlineLevel="0" collapsed="false">
      <c r="A596" s="229"/>
      <c r="B596" s="229"/>
      <c r="C596" s="229"/>
      <c r="D596" s="229"/>
      <c r="E596" s="229"/>
      <c r="F596" s="229"/>
      <c r="G596" s="229"/>
      <c r="H596" s="229"/>
      <c r="I596" s="229"/>
      <c r="J596" s="229"/>
      <c r="K596" s="229"/>
      <c r="L596" s="229"/>
      <c r="M596" s="229"/>
      <c r="N596" s="229"/>
      <c r="O596" s="229"/>
      <c r="P596" s="229"/>
      <c r="Q596" s="229"/>
      <c r="R596" s="229"/>
      <c r="S596" s="229"/>
      <c r="T596" s="229"/>
      <c r="U596" s="229"/>
      <c r="V596" s="229"/>
      <c r="W596" s="229"/>
      <c r="X596" s="229"/>
      <c r="Y596" s="229"/>
      <c r="Z596" s="229"/>
      <c r="AA596" s="229"/>
    </row>
    <row r="597" customFormat="false" ht="13.5" hidden="false" customHeight="true" outlineLevel="0" collapsed="false">
      <c r="A597" s="229"/>
      <c r="B597" s="229"/>
      <c r="C597" s="229"/>
      <c r="D597" s="229"/>
      <c r="E597" s="229"/>
      <c r="F597" s="229"/>
      <c r="G597" s="229"/>
      <c r="H597" s="229"/>
      <c r="I597" s="229"/>
      <c r="J597" s="229"/>
      <c r="K597" s="229"/>
      <c r="L597" s="229"/>
      <c r="M597" s="229"/>
      <c r="N597" s="229"/>
      <c r="O597" s="229"/>
      <c r="P597" s="229"/>
      <c r="Q597" s="229"/>
      <c r="R597" s="229"/>
      <c r="S597" s="229"/>
      <c r="T597" s="229"/>
      <c r="U597" s="229"/>
      <c r="V597" s="229"/>
      <c r="W597" s="229"/>
      <c r="X597" s="229"/>
      <c r="Y597" s="229"/>
      <c r="Z597" s="229"/>
      <c r="AA597" s="229"/>
    </row>
    <row r="598" customFormat="false" ht="13.5" hidden="false" customHeight="true" outlineLevel="0" collapsed="false">
      <c r="A598" s="229"/>
      <c r="B598" s="229"/>
      <c r="C598" s="229"/>
      <c r="D598" s="229"/>
      <c r="E598" s="229"/>
      <c r="F598" s="229"/>
      <c r="G598" s="229"/>
      <c r="H598" s="229"/>
      <c r="I598" s="229"/>
      <c r="J598" s="229"/>
      <c r="K598" s="229"/>
      <c r="L598" s="229"/>
      <c r="M598" s="229"/>
      <c r="N598" s="229"/>
      <c r="O598" s="229"/>
      <c r="P598" s="229"/>
      <c r="Q598" s="229"/>
      <c r="R598" s="229"/>
      <c r="S598" s="229"/>
      <c r="T598" s="229"/>
      <c r="U598" s="229"/>
      <c r="V598" s="229"/>
      <c r="W598" s="229"/>
      <c r="X598" s="229"/>
      <c r="Y598" s="229"/>
      <c r="Z598" s="229"/>
      <c r="AA598" s="229"/>
    </row>
    <row r="599" customFormat="false" ht="13.5" hidden="false" customHeight="true" outlineLevel="0" collapsed="false">
      <c r="A599" s="229"/>
      <c r="B599" s="229"/>
      <c r="C599" s="229"/>
      <c r="D599" s="229"/>
      <c r="E599" s="229"/>
      <c r="F599" s="229"/>
      <c r="G599" s="229"/>
      <c r="H599" s="229"/>
      <c r="I599" s="229"/>
      <c r="J599" s="229"/>
      <c r="K599" s="229"/>
      <c r="L599" s="229"/>
      <c r="M599" s="229"/>
      <c r="N599" s="229"/>
      <c r="O599" s="229"/>
      <c r="P599" s="229"/>
      <c r="Q599" s="229"/>
      <c r="R599" s="229"/>
      <c r="S599" s="229"/>
      <c r="T599" s="229"/>
      <c r="U599" s="229"/>
      <c r="V599" s="229"/>
      <c r="W599" s="229"/>
      <c r="X599" s="229"/>
      <c r="Y599" s="229"/>
      <c r="Z599" s="229"/>
      <c r="AA599" s="229"/>
    </row>
    <row r="600" customFormat="false" ht="13.5" hidden="false" customHeight="true" outlineLevel="0" collapsed="false">
      <c r="A600" s="229"/>
      <c r="B600" s="229"/>
      <c r="C600" s="229"/>
      <c r="D600" s="229"/>
      <c r="E600" s="229"/>
      <c r="F600" s="229"/>
      <c r="G600" s="229"/>
      <c r="H600" s="229"/>
      <c r="I600" s="229"/>
      <c r="J600" s="229"/>
      <c r="K600" s="229"/>
      <c r="L600" s="229"/>
      <c r="M600" s="229"/>
      <c r="N600" s="229"/>
      <c r="O600" s="229"/>
      <c r="P600" s="229"/>
      <c r="Q600" s="229"/>
      <c r="R600" s="229"/>
      <c r="S600" s="229"/>
      <c r="T600" s="229"/>
      <c r="U600" s="229"/>
      <c r="V600" s="229"/>
      <c r="W600" s="229"/>
      <c r="X600" s="229"/>
      <c r="Y600" s="229"/>
      <c r="Z600" s="229"/>
      <c r="AA600" s="229"/>
    </row>
    <row r="601" customFormat="false" ht="13.5" hidden="false" customHeight="true" outlineLevel="0" collapsed="false">
      <c r="A601" s="229"/>
      <c r="B601" s="229"/>
      <c r="C601" s="229"/>
      <c r="D601" s="229"/>
      <c r="E601" s="229"/>
      <c r="F601" s="229"/>
      <c r="G601" s="229"/>
      <c r="H601" s="229"/>
      <c r="I601" s="229"/>
      <c r="J601" s="229"/>
      <c r="K601" s="229"/>
      <c r="L601" s="229"/>
      <c r="M601" s="229"/>
      <c r="N601" s="229"/>
      <c r="O601" s="229"/>
      <c r="P601" s="229"/>
      <c r="Q601" s="229"/>
      <c r="R601" s="229"/>
      <c r="S601" s="229"/>
      <c r="T601" s="229"/>
      <c r="U601" s="229"/>
      <c r="V601" s="229"/>
      <c r="W601" s="229"/>
      <c r="X601" s="229"/>
      <c r="Y601" s="229"/>
      <c r="Z601" s="229"/>
      <c r="AA601" s="229"/>
    </row>
    <row r="602" customFormat="false" ht="13.5" hidden="false" customHeight="true" outlineLevel="0" collapsed="false">
      <c r="A602" s="229"/>
      <c r="B602" s="229"/>
      <c r="C602" s="229"/>
      <c r="D602" s="229"/>
      <c r="E602" s="229"/>
      <c r="F602" s="229"/>
      <c r="G602" s="229"/>
      <c r="H602" s="229"/>
      <c r="I602" s="229"/>
      <c r="J602" s="229"/>
      <c r="K602" s="229"/>
      <c r="L602" s="229"/>
      <c r="M602" s="229"/>
      <c r="N602" s="229"/>
      <c r="O602" s="229"/>
      <c r="P602" s="229"/>
      <c r="Q602" s="229"/>
      <c r="R602" s="229"/>
      <c r="S602" s="229"/>
      <c r="T602" s="229"/>
      <c r="U602" s="229"/>
      <c r="V602" s="229"/>
      <c r="W602" s="229"/>
      <c r="X602" s="229"/>
      <c r="Y602" s="229"/>
      <c r="Z602" s="229"/>
      <c r="AA602" s="229"/>
    </row>
    <row r="603" customFormat="false" ht="13.5" hidden="false" customHeight="true" outlineLevel="0" collapsed="false">
      <c r="A603" s="229"/>
      <c r="B603" s="229"/>
      <c r="C603" s="229"/>
      <c r="D603" s="229"/>
      <c r="E603" s="229"/>
      <c r="F603" s="229"/>
      <c r="G603" s="229"/>
      <c r="H603" s="229"/>
      <c r="I603" s="229"/>
      <c r="J603" s="229"/>
      <c r="K603" s="229"/>
      <c r="L603" s="229"/>
      <c r="M603" s="229"/>
      <c r="N603" s="229"/>
      <c r="O603" s="229"/>
      <c r="P603" s="229"/>
      <c r="Q603" s="229"/>
      <c r="R603" s="229"/>
      <c r="S603" s="229"/>
      <c r="T603" s="229"/>
      <c r="U603" s="229"/>
      <c r="V603" s="229"/>
      <c r="W603" s="229"/>
      <c r="X603" s="229"/>
      <c r="Y603" s="229"/>
      <c r="Z603" s="229"/>
      <c r="AA603" s="229"/>
    </row>
    <row r="604" customFormat="false" ht="13.5" hidden="false" customHeight="true" outlineLevel="0" collapsed="false">
      <c r="A604" s="229"/>
      <c r="B604" s="229"/>
      <c r="C604" s="229"/>
      <c r="D604" s="229"/>
      <c r="E604" s="229"/>
      <c r="F604" s="229"/>
      <c r="G604" s="229"/>
      <c r="H604" s="229"/>
      <c r="I604" s="229"/>
      <c r="J604" s="229"/>
      <c r="K604" s="229"/>
      <c r="L604" s="229"/>
      <c r="M604" s="229"/>
      <c r="N604" s="229"/>
      <c r="O604" s="229"/>
      <c r="P604" s="229"/>
      <c r="Q604" s="229"/>
      <c r="R604" s="229"/>
      <c r="S604" s="229"/>
      <c r="T604" s="229"/>
      <c r="U604" s="229"/>
      <c r="V604" s="229"/>
      <c r="W604" s="229"/>
      <c r="X604" s="229"/>
      <c r="Y604" s="229"/>
      <c r="Z604" s="229"/>
      <c r="AA604" s="229"/>
    </row>
    <row r="605" customFormat="false" ht="13.5" hidden="false" customHeight="true" outlineLevel="0" collapsed="false">
      <c r="A605" s="229"/>
      <c r="B605" s="229"/>
      <c r="C605" s="229"/>
      <c r="D605" s="229"/>
      <c r="E605" s="229"/>
      <c r="F605" s="229"/>
      <c r="G605" s="229"/>
      <c r="H605" s="229"/>
      <c r="I605" s="229"/>
      <c r="J605" s="229"/>
      <c r="K605" s="229"/>
      <c r="L605" s="229"/>
      <c r="M605" s="229"/>
      <c r="N605" s="229"/>
      <c r="O605" s="229"/>
      <c r="P605" s="229"/>
      <c r="Q605" s="229"/>
      <c r="R605" s="229"/>
      <c r="S605" s="229"/>
      <c r="T605" s="229"/>
      <c r="U605" s="229"/>
      <c r="V605" s="229"/>
      <c r="W605" s="229"/>
      <c r="X605" s="229"/>
      <c r="Y605" s="229"/>
      <c r="Z605" s="229"/>
      <c r="AA605" s="229"/>
    </row>
    <row r="606" customFormat="false" ht="13.5" hidden="false" customHeight="true" outlineLevel="0" collapsed="false">
      <c r="A606" s="229"/>
      <c r="B606" s="229"/>
      <c r="C606" s="229"/>
      <c r="D606" s="229"/>
      <c r="E606" s="229"/>
      <c r="F606" s="229"/>
      <c r="G606" s="229"/>
      <c r="H606" s="229"/>
      <c r="I606" s="229"/>
      <c r="J606" s="229"/>
      <c r="K606" s="229"/>
      <c r="L606" s="229"/>
      <c r="M606" s="229"/>
      <c r="N606" s="229"/>
      <c r="O606" s="229"/>
      <c r="P606" s="229"/>
      <c r="Q606" s="229"/>
      <c r="R606" s="229"/>
      <c r="S606" s="229"/>
      <c r="T606" s="229"/>
      <c r="U606" s="229"/>
      <c r="V606" s="229"/>
      <c r="W606" s="229"/>
      <c r="X606" s="229"/>
      <c r="Y606" s="229"/>
      <c r="Z606" s="229"/>
      <c r="AA606" s="229"/>
    </row>
    <row r="607" customFormat="false" ht="13.5" hidden="false" customHeight="true" outlineLevel="0" collapsed="false">
      <c r="A607" s="229"/>
      <c r="B607" s="229"/>
      <c r="C607" s="229"/>
      <c r="D607" s="229"/>
      <c r="E607" s="229"/>
      <c r="F607" s="229"/>
      <c r="G607" s="229"/>
      <c r="H607" s="229"/>
      <c r="I607" s="229"/>
      <c r="J607" s="229"/>
      <c r="K607" s="229"/>
      <c r="L607" s="229"/>
      <c r="M607" s="229"/>
      <c r="N607" s="229"/>
      <c r="O607" s="229"/>
      <c r="P607" s="229"/>
      <c r="Q607" s="229"/>
      <c r="R607" s="229"/>
      <c r="S607" s="229"/>
      <c r="T607" s="229"/>
      <c r="U607" s="229"/>
      <c r="V607" s="229"/>
      <c r="W607" s="229"/>
      <c r="X607" s="229"/>
      <c r="Y607" s="229"/>
      <c r="Z607" s="229"/>
      <c r="AA607" s="229"/>
    </row>
    <row r="608" customFormat="false" ht="13.5" hidden="false" customHeight="true" outlineLevel="0" collapsed="false">
      <c r="A608" s="229"/>
      <c r="B608" s="229"/>
      <c r="C608" s="229"/>
      <c r="D608" s="229"/>
      <c r="E608" s="229"/>
      <c r="F608" s="229"/>
      <c r="G608" s="229"/>
      <c r="H608" s="229"/>
      <c r="I608" s="229"/>
      <c r="J608" s="229"/>
      <c r="K608" s="229"/>
      <c r="L608" s="229"/>
      <c r="M608" s="229"/>
      <c r="N608" s="229"/>
      <c r="O608" s="229"/>
      <c r="P608" s="229"/>
      <c r="Q608" s="229"/>
      <c r="R608" s="229"/>
      <c r="S608" s="229"/>
      <c r="T608" s="229"/>
      <c r="U608" s="229"/>
      <c r="V608" s="229"/>
      <c r="W608" s="229"/>
      <c r="X608" s="229"/>
      <c r="Y608" s="229"/>
      <c r="Z608" s="229"/>
      <c r="AA608" s="229"/>
    </row>
    <row r="609" customFormat="false" ht="13.5" hidden="false" customHeight="true" outlineLevel="0" collapsed="false">
      <c r="A609" s="229"/>
      <c r="B609" s="229"/>
      <c r="C609" s="229"/>
      <c r="D609" s="229"/>
      <c r="E609" s="229"/>
      <c r="F609" s="229"/>
      <c r="G609" s="229"/>
      <c r="H609" s="229"/>
      <c r="I609" s="229"/>
      <c r="J609" s="229"/>
      <c r="K609" s="229"/>
      <c r="L609" s="229"/>
      <c r="M609" s="229"/>
      <c r="N609" s="229"/>
      <c r="O609" s="229"/>
      <c r="P609" s="229"/>
      <c r="Q609" s="229"/>
      <c r="R609" s="229"/>
      <c r="S609" s="229"/>
      <c r="T609" s="229"/>
      <c r="U609" s="229"/>
      <c r="V609" s="229"/>
      <c r="W609" s="229"/>
      <c r="X609" s="229"/>
      <c r="Y609" s="229"/>
      <c r="Z609" s="229"/>
      <c r="AA609" s="229"/>
    </row>
    <row r="610" customFormat="false" ht="13.5" hidden="false" customHeight="true" outlineLevel="0" collapsed="false">
      <c r="A610" s="229"/>
      <c r="B610" s="229"/>
      <c r="C610" s="229"/>
      <c r="D610" s="229"/>
      <c r="E610" s="229"/>
      <c r="F610" s="229"/>
      <c r="G610" s="229"/>
      <c r="H610" s="229"/>
      <c r="I610" s="229"/>
      <c r="J610" s="229"/>
      <c r="K610" s="229"/>
      <c r="L610" s="229"/>
      <c r="M610" s="229"/>
      <c r="N610" s="229"/>
      <c r="O610" s="229"/>
      <c r="P610" s="229"/>
      <c r="Q610" s="229"/>
      <c r="R610" s="229"/>
      <c r="S610" s="229"/>
      <c r="T610" s="229"/>
      <c r="U610" s="229"/>
      <c r="V610" s="229"/>
      <c r="W610" s="229"/>
      <c r="X610" s="229"/>
      <c r="Y610" s="229"/>
      <c r="Z610" s="229"/>
      <c r="AA610" s="229"/>
    </row>
    <row r="611" customFormat="false" ht="13.5" hidden="false" customHeight="true" outlineLevel="0" collapsed="false">
      <c r="A611" s="229"/>
      <c r="B611" s="229"/>
      <c r="C611" s="229"/>
      <c r="D611" s="229"/>
      <c r="E611" s="229"/>
      <c r="F611" s="229"/>
      <c r="G611" s="229"/>
      <c r="H611" s="229"/>
      <c r="I611" s="229"/>
      <c r="J611" s="229"/>
      <c r="K611" s="229"/>
      <c r="L611" s="229"/>
      <c r="M611" s="229"/>
      <c r="N611" s="229"/>
      <c r="O611" s="229"/>
      <c r="P611" s="229"/>
      <c r="Q611" s="229"/>
      <c r="R611" s="229"/>
      <c r="S611" s="229"/>
      <c r="T611" s="229"/>
      <c r="U611" s="229"/>
      <c r="V611" s="229"/>
      <c r="W611" s="229"/>
      <c r="X611" s="229"/>
      <c r="Y611" s="229"/>
      <c r="Z611" s="229"/>
      <c r="AA611" s="229"/>
    </row>
    <row r="612" customFormat="false" ht="13.5" hidden="false" customHeight="true" outlineLevel="0" collapsed="false">
      <c r="A612" s="229"/>
      <c r="B612" s="229"/>
      <c r="C612" s="229"/>
      <c r="D612" s="229"/>
      <c r="E612" s="229"/>
      <c r="F612" s="229"/>
      <c r="G612" s="229"/>
      <c r="H612" s="229"/>
      <c r="I612" s="229"/>
      <c r="J612" s="229"/>
      <c r="K612" s="229"/>
      <c r="L612" s="229"/>
      <c r="M612" s="229"/>
      <c r="N612" s="229"/>
      <c r="O612" s="229"/>
      <c r="P612" s="229"/>
      <c r="Q612" s="229"/>
      <c r="R612" s="229"/>
      <c r="S612" s="229"/>
      <c r="T612" s="229"/>
      <c r="U612" s="229"/>
      <c r="V612" s="229"/>
      <c r="W612" s="229"/>
      <c r="X612" s="229"/>
      <c r="Y612" s="229"/>
      <c r="Z612" s="229"/>
      <c r="AA612" s="229"/>
    </row>
    <row r="613" customFormat="false" ht="13.5" hidden="false" customHeight="true" outlineLevel="0" collapsed="false">
      <c r="A613" s="229"/>
      <c r="B613" s="229"/>
      <c r="C613" s="229"/>
      <c r="D613" s="229"/>
      <c r="E613" s="229"/>
      <c r="F613" s="229"/>
      <c r="G613" s="229"/>
      <c r="H613" s="229"/>
      <c r="I613" s="229"/>
      <c r="J613" s="229"/>
      <c r="K613" s="229"/>
      <c r="L613" s="229"/>
      <c r="M613" s="229"/>
      <c r="N613" s="229"/>
      <c r="O613" s="229"/>
      <c r="P613" s="229"/>
      <c r="Q613" s="229"/>
      <c r="R613" s="229"/>
      <c r="S613" s="229"/>
      <c r="T613" s="229"/>
      <c r="U613" s="229"/>
      <c r="V613" s="229"/>
      <c r="W613" s="229"/>
      <c r="X613" s="229"/>
      <c r="Y613" s="229"/>
      <c r="Z613" s="229"/>
      <c r="AA613" s="229"/>
    </row>
    <row r="614" customFormat="false" ht="13.5" hidden="false" customHeight="true" outlineLevel="0" collapsed="false">
      <c r="A614" s="229"/>
      <c r="B614" s="229"/>
      <c r="C614" s="229"/>
      <c r="D614" s="229"/>
      <c r="E614" s="229"/>
      <c r="F614" s="229"/>
      <c r="G614" s="229"/>
      <c r="H614" s="229"/>
      <c r="I614" s="229"/>
      <c r="J614" s="229"/>
      <c r="K614" s="229"/>
      <c r="L614" s="229"/>
      <c r="M614" s="229"/>
      <c r="N614" s="229"/>
      <c r="O614" s="229"/>
      <c r="P614" s="229"/>
      <c r="Q614" s="229"/>
      <c r="R614" s="229"/>
      <c r="S614" s="229"/>
      <c r="T614" s="229"/>
      <c r="U614" s="229"/>
      <c r="V614" s="229"/>
      <c r="W614" s="229"/>
      <c r="X614" s="229"/>
      <c r="Y614" s="229"/>
      <c r="Z614" s="229"/>
      <c r="AA614" s="229"/>
    </row>
    <row r="615" customFormat="false" ht="13.5" hidden="false" customHeight="true" outlineLevel="0" collapsed="false">
      <c r="A615" s="229"/>
      <c r="B615" s="229"/>
      <c r="C615" s="229"/>
      <c r="D615" s="229"/>
      <c r="E615" s="229"/>
      <c r="F615" s="229"/>
      <c r="G615" s="229"/>
      <c r="H615" s="229"/>
      <c r="I615" s="229"/>
      <c r="J615" s="229"/>
      <c r="K615" s="229"/>
      <c r="L615" s="229"/>
      <c r="M615" s="229"/>
      <c r="N615" s="229"/>
      <c r="O615" s="229"/>
      <c r="P615" s="229"/>
      <c r="Q615" s="229"/>
      <c r="R615" s="229"/>
      <c r="S615" s="229"/>
      <c r="T615" s="229"/>
      <c r="U615" s="229"/>
      <c r="V615" s="229"/>
      <c r="W615" s="229"/>
      <c r="X615" s="229"/>
      <c r="Y615" s="229"/>
      <c r="Z615" s="229"/>
      <c r="AA615" s="229"/>
    </row>
    <row r="616" customFormat="false" ht="13.5" hidden="false" customHeight="true" outlineLevel="0" collapsed="false">
      <c r="A616" s="229"/>
      <c r="B616" s="229"/>
      <c r="C616" s="229"/>
      <c r="D616" s="229"/>
      <c r="E616" s="229"/>
      <c r="F616" s="229"/>
      <c r="G616" s="229"/>
      <c r="H616" s="229"/>
      <c r="I616" s="229"/>
      <c r="J616" s="229"/>
      <c r="K616" s="229"/>
      <c r="L616" s="229"/>
      <c r="M616" s="229"/>
      <c r="N616" s="229"/>
      <c r="O616" s="229"/>
      <c r="P616" s="229"/>
      <c r="Q616" s="229"/>
      <c r="R616" s="229"/>
      <c r="S616" s="229"/>
      <c r="T616" s="229"/>
      <c r="U616" s="229"/>
      <c r="V616" s="229"/>
      <c r="W616" s="229"/>
      <c r="X616" s="229"/>
      <c r="Y616" s="229"/>
      <c r="Z616" s="229"/>
      <c r="AA616" s="229"/>
    </row>
    <row r="617" customFormat="false" ht="13.5" hidden="false" customHeight="true" outlineLevel="0" collapsed="false">
      <c r="A617" s="229"/>
      <c r="B617" s="229"/>
      <c r="C617" s="229"/>
      <c r="D617" s="229"/>
      <c r="E617" s="229"/>
      <c r="F617" s="229"/>
      <c r="G617" s="229"/>
      <c r="H617" s="229"/>
      <c r="I617" s="229"/>
      <c r="J617" s="229"/>
      <c r="K617" s="229"/>
      <c r="L617" s="229"/>
      <c r="M617" s="229"/>
      <c r="N617" s="229"/>
      <c r="O617" s="229"/>
      <c r="P617" s="229"/>
      <c r="Q617" s="229"/>
      <c r="R617" s="229"/>
      <c r="S617" s="229"/>
      <c r="T617" s="229"/>
      <c r="U617" s="229"/>
      <c r="V617" s="229"/>
      <c r="W617" s="229"/>
      <c r="X617" s="229"/>
      <c r="Y617" s="229"/>
      <c r="Z617" s="229"/>
      <c r="AA617" s="229"/>
    </row>
    <row r="618" customFormat="false" ht="13.5" hidden="false" customHeight="true" outlineLevel="0" collapsed="false">
      <c r="A618" s="229"/>
      <c r="B618" s="229"/>
      <c r="C618" s="229"/>
      <c r="D618" s="229"/>
      <c r="E618" s="229"/>
      <c r="F618" s="229"/>
      <c r="G618" s="229"/>
      <c r="H618" s="229"/>
      <c r="I618" s="229"/>
      <c r="J618" s="229"/>
      <c r="K618" s="229"/>
      <c r="L618" s="229"/>
      <c r="M618" s="229"/>
      <c r="N618" s="229"/>
      <c r="O618" s="229"/>
      <c r="P618" s="229"/>
      <c r="Q618" s="229"/>
      <c r="R618" s="229"/>
      <c r="S618" s="229"/>
      <c r="T618" s="229"/>
      <c r="U618" s="229"/>
      <c r="V618" s="229"/>
      <c r="W618" s="229"/>
      <c r="X618" s="229"/>
      <c r="Y618" s="229"/>
      <c r="Z618" s="229"/>
      <c r="AA618" s="229"/>
    </row>
    <row r="619" customFormat="false" ht="13.5" hidden="false" customHeight="true" outlineLevel="0" collapsed="false">
      <c r="A619" s="229"/>
      <c r="B619" s="229"/>
      <c r="C619" s="229"/>
      <c r="D619" s="229"/>
      <c r="E619" s="229"/>
      <c r="F619" s="229"/>
      <c r="G619" s="229"/>
      <c r="H619" s="229"/>
      <c r="I619" s="229"/>
      <c r="J619" s="229"/>
      <c r="K619" s="229"/>
      <c r="L619" s="229"/>
      <c r="M619" s="229"/>
      <c r="N619" s="229"/>
      <c r="O619" s="229"/>
      <c r="P619" s="229"/>
      <c r="Q619" s="229"/>
      <c r="R619" s="229"/>
      <c r="S619" s="229"/>
      <c r="T619" s="229"/>
      <c r="U619" s="229"/>
      <c r="V619" s="229"/>
      <c r="W619" s="229"/>
      <c r="X619" s="229"/>
      <c r="Y619" s="229"/>
      <c r="Z619" s="229"/>
      <c r="AA619" s="229"/>
    </row>
    <row r="620" customFormat="false" ht="13.5" hidden="false" customHeight="true" outlineLevel="0" collapsed="false">
      <c r="A620" s="229"/>
      <c r="B620" s="229"/>
      <c r="C620" s="229"/>
      <c r="D620" s="229"/>
      <c r="E620" s="229"/>
      <c r="F620" s="229"/>
      <c r="G620" s="229"/>
      <c r="H620" s="229"/>
      <c r="I620" s="229"/>
      <c r="J620" s="229"/>
      <c r="K620" s="229"/>
      <c r="L620" s="229"/>
      <c r="M620" s="229"/>
      <c r="N620" s="229"/>
      <c r="O620" s="229"/>
      <c r="P620" s="229"/>
      <c r="Q620" s="229"/>
      <c r="R620" s="229"/>
      <c r="S620" s="229"/>
      <c r="T620" s="229"/>
      <c r="U620" s="229"/>
      <c r="V620" s="229"/>
      <c r="W620" s="229"/>
      <c r="X620" s="229"/>
      <c r="Y620" s="229"/>
      <c r="Z620" s="229"/>
      <c r="AA620" s="229"/>
    </row>
    <row r="621" customFormat="false" ht="13.5" hidden="false" customHeight="true" outlineLevel="0" collapsed="false">
      <c r="A621" s="229"/>
      <c r="B621" s="229"/>
      <c r="C621" s="229"/>
      <c r="D621" s="229"/>
      <c r="E621" s="229"/>
      <c r="F621" s="229"/>
      <c r="G621" s="229"/>
      <c r="H621" s="229"/>
      <c r="I621" s="229"/>
      <c r="J621" s="229"/>
      <c r="K621" s="229"/>
      <c r="L621" s="229"/>
      <c r="M621" s="229"/>
      <c r="N621" s="229"/>
      <c r="O621" s="229"/>
      <c r="P621" s="229"/>
      <c r="Q621" s="229"/>
      <c r="R621" s="229"/>
      <c r="S621" s="229"/>
      <c r="T621" s="229"/>
      <c r="U621" s="229"/>
      <c r="V621" s="229"/>
      <c r="W621" s="229"/>
      <c r="X621" s="229"/>
      <c r="Y621" s="229"/>
      <c r="Z621" s="229"/>
      <c r="AA621" s="229"/>
    </row>
    <row r="622" customFormat="false" ht="13.5" hidden="false" customHeight="true" outlineLevel="0" collapsed="false">
      <c r="A622" s="229"/>
      <c r="B622" s="229"/>
      <c r="C622" s="229"/>
      <c r="D622" s="229"/>
      <c r="E622" s="229"/>
      <c r="F622" s="229"/>
      <c r="G622" s="229"/>
      <c r="H622" s="229"/>
      <c r="I622" s="229"/>
      <c r="J622" s="229"/>
      <c r="K622" s="229"/>
      <c r="L622" s="229"/>
      <c r="M622" s="229"/>
      <c r="N622" s="229"/>
      <c r="O622" s="229"/>
      <c r="P622" s="229"/>
      <c r="Q622" s="229"/>
      <c r="R622" s="229"/>
      <c r="S622" s="229"/>
      <c r="T622" s="229"/>
      <c r="U622" s="229"/>
      <c r="V622" s="229"/>
      <c r="W622" s="229"/>
      <c r="X622" s="229"/>
      <c r="Y622" s="229"/>
      <c r="Z622" s="229"/>
      <c r="AA622" s="229"/>
    </row>
    <row r="623" customFormat="false" ht="13.5" hidden="false" customHeight="true" outlineLevel="0" collapsed="false">
      <c r="A623" s="229"/>
      <c r="B623" s="229"/>
      <c r="C623" s="229"/>
      <c r="D623" s="229"/>
      <c r="E623" s="229"/>
      <c r="F623" s="229"/>
      <c r="G623" s="229"/>
      <c r="H623" s="229"/>
      <c r="I623" s="229"/>
      <c r="J623" s="229"/>
      <c r="K623" s="229"/>
      <c r="L623" s="229"/>
      <c r="M623" s="229"/>
      <c r="N623" s="229"/>
      <c r="O623" s="229"/>
      <c r="P623" s="229"/>
      <c r="Q623" s="229"/>
      <c r="R623" s="229"/>
      <c r="S623" s="229"/>
      <c r="T623" s="229"/>
      <c r="U623" s="229"/>
      <c r="V623" s="229"/>
      <c r="W623" s="229"/>
      <c r="X623" s="229"/>
      <c r="Y623" s="229"/>
      <c r="Z623" s="229"/>
      <c r="AA623" s="229"/>
    </row>
    <row r="624" customFormat="false" ht="13.5" hidden="false" customHeight="true" outlineLevel="0" collapsed="false">
      <c r="A624" s="229"/>
      <c r="B624" s="229"/>
      <c r="C624" s="229"/>
      <c r="D624" s="229"/>
      <c r="E624" s="229"/>
      <c r="F624" s="229"/>
      <c r="G624" s="229"/>
      <c r="H624" s="229"/>
      <c r="I624" s="229"/>
      <c r="J624" s="229"/>
      <c r="K624" s="229"/>
      <c r="L624" s="229"/>
      <c r="M624" s="229"/>
      <c r="N624" s="229"/>
      <c r="O624" s="229"/>
      <c r="P624" s="229"/>
      <c r="Q624" s="229"/>
      <c r="R624" s="229"/>
      <c r="S624" s="229"/>
      <c r="T624" s="229"/>
      <c r="U624" s="229"/>
      <c r="V624" s="229"/>
      <c r="W624" s="229"/>
      <c r="X624" s="229"/>
      <c r="Y624" s="229"/>
      <c r="Z624" s="229"/>
      <c r="AA624" s="229"/>
    </row>
    <row r="625" customFormat="false" ht="13.5" hidden="false" customHeight="true" outlineLevel="0" collapsed="false">
      <c r="A625" s="229"/>
      <c r="B625" s="229"/>
      <c r="C625" s="229"/>
      <c r="D625" s="229"/>
      <c r="E625" s="229"/>
      <c r="F625" s="229"/>
      <c r="G625" s="229"/>
      <c r="H625" s="229"/>
      <c r="I625" s="229"/>
      <c r="J625" s="229"/>
      <c r="K625" s="229"/>
      <c r="L625" s="229"/>
      <c r="M625" s="229"/>
      <c r="N625" s="229"/>
      <c r="O625" s="229"/>
      <c r="P625" s="229"/>
      <c r="Q625" s="229"/>
      <c r="R625" s="229"/>
      <c r="S625" s="229"/>
      <c r="T625" s="229"/>
      <c r="U625" s="229"/>
      <c r="V625" s="229"/>
      <c r="W625" s="229"/>
      <c r="X625" s="229"/>
      <c r="Y625" s="229"/>
      <c r="Z625" s="229"/>
      <c r="AA625" s="229"/>
    </row>
    <row r="626" customFormat="false" ht="13.5" hidden="false" customHeight="true" outlineLevel="0" collapsed="false">
      <c r="A626" s="229"/>
      <c r="B626" s="229"/>
      <c r="C626" s="229"/>
      <c r="D626" s="229"/>
      <c r="E626" s="229"/>
      <c r="F626" s="229"/>
      <c r="G626" s="229"/>
      <c r="H626" s="229"/>
      <c r="I626" s="229"/>
      <c r="J626" s="229"/>
      <c r="K626" s="229"/>
      <c r="L626" s="229"/>
      <c r="M626" s="229"/>
      <c r="N626" s="229"/>
      <c r="O626" s="229"/>
      <c r="P626" s="229"/>
      <c r="Q626" s="229"/>
      <c r="R626" s="229"/>
      <c r="S626" s="229"/>
      <c r="T626" s="229"/>
      <c r="U626" s="229"/>
      <c r="V626" s="229"/>
      <c r="W626" s="229"/>
      <c r="X626" s="229"/>
      <c r="Y626" s="229"/>
      <c r="Z626" s="229"/>
      <c r="AA626" s="229"/>
    </row>
    <row r="627" customFormat="false" ht="13.5" hidden="false" customHeight="true" outlineLevel="0" collapsed="false">
      <c r="A627" s="229"/>
      <c r="B627" s="229"/>
      <c r="C627" s="229"/>
      <c r="D627" s="229"/>
      <c r="E627" s="229"/>
      <c r="F627" s="229"/>
      <c r="G627" s="229"/>
      <c r="H627" s="229"/>
      <c r="I627" s="229"/>
      <c r="J627" s="229"/>
      <c r="K627" s="229"/>
      <c r="L627" s="229"/>
      <c r="M627" s="229"/>
      <c r="N627" s="229"/>
      <c r="O627" s="229"/>
      <c r="P627" s="229"/>
      <c r="Q627" s="229"/>
      <c r="R627" s="229"/>
      <c r="S627" s="229"/>
      <c r="T627" s="229"/>
      <c r="U627" s="229"/>
      <c r="V627" s="229"/>
      <c r="W627" s="229"/>
      <c r="X627" s="229"/>
      <c r="Y627" s="229"/>
      <c r="Z627" s="229"/>
      <c r="AA627" s="229"/>
    </row>
    <row r="628" customFormat="false" ht="13.5" hidden="false" customHeight="true" outlineLevel="0" collapsed="false">
      <c r="A628" s="229"/>
      <c r="B628" s="229"/>
      <c r="C628" s="229"/>
      <c r="D628" s="229"/>
      <c r="E628" s="229"/>
      <c r="F628" s="229"/>
      <c r="G628" s="229"/>
      <c r="H628" s="229"/>
      <c r="I628" s="229"/>
      <c r="J628" s="229"/>
      <c r="K628" s="229"/>
      <c r="L628" s="229"/>
      <c r="M628" s="229"/>
      <c r="N628" s="229"/>
      <c r="O628" s="229"/>
      <c r="P628" s="229"/>
      <c r="Q628" s="229"/>
      <c r="R628" s="229"/>
      <c r="S628" s="229"/>
      <c r="T628" s="229"/>
      <c r="U628" s="229"/>
      <c r="V628" s="229"/>
      <c r="W628" s="229"/>
      <c r="X628" s="229"/>
      <c r="Y628" s="229"/>
      <c r="Z628" s="229"/>
      <c r="AA628" s="229"/>
    </row>
    <row r="629" customFormat="false" ht="13.5" hidden="false" customHeight="true" outlineLevel="0" collapsed="false">
      <c r="A629" s="229"/>
      <c r="B629" s="229"/>
      <c r="C629" s="229"/>
      <c r="D629" s="229"/>
      <c r="E629" s="229"/>
      <c r="F629" s="229"/>
      <c r="G629" s="229"/>
      <c r="H629" s="229"/>
      <c r="I629" s="229"/>
      <c r="J629" s="229"/>
      <c r="K629" s="229"/>
      <c r="L629" s="229"/>
      <c r="M629" s="229"/>
      <c r="N629" s="229"/>
      <c r="O629" s="229"/>
      <c r="P629" s="229"/>
      <c r="Q629" s="229"/>
      <c r="R629" s="229"/>
      <c r="S629" s="229"/>
      <c r="T629" s="229"/>
      <c r="U629" s="229"/>
      <c r="V629" s="229"/>
      <c r="W629" s="229"/>
      <c r="X629" s="229"/>
      <c r="Y629" s="229"/>
      <c r="Z629" s="229"/>
      <c r="AA629" s="229"/>
    </row>
    <row r="630" customFormat="false" ht="13.5" hidden="false" customHeight="true" outlineLevel="0" collapsed="false">
      <c r="A630" s="229"/>
      <c r="B630" s="229"/>
      <c r="C630" s="229"/>
      <c r="D630" s="229"/>
      <c r="E630" s="229"/>
      <c r="F630" s="229"/>
      <c r="G630" s="229"/>
      <c r="H630" s="229"/>
      <c r="I630" s="229"/>
      <c r="J630" s="229"/>
      <c r="K630" s="229"/>
      <c r="L630" s="229"/>
      <c r="M630" s="229"/>
      <c r="N630" s="229"/>
      <c r="O630" s="229"/>
      <c r="P630" s="229"/>
      <c r="Q630" s="229"/>
      <c r="R630" s="229"/>
      <c r="S630" s="229"/>
      <c r="T630" s="229"/>
      <c r="U630" s="229"/>
      <c r="V630" s="229"/>
      <c r="W630" s="229"/>
      <c r="X630" s="229"/>
      <c r="Y630" s="229"/>
      <c r="Z630" s="229"/>
      <c r="AA630" s="229"/>
    </row>
    <row r="631" customFormat="false" ht="13.5" hidden="false" customHeight="true" outlineLevel="0" collapsed="false">
      <c r="A631" s="229"/>
      <c r="B631" s="229"/>
      <c r="C631" s="229"/>
      <c r="D631" s="229"/>
      <c r="E631" s="229"/>
      <c r="F631" s="229"/>
      <c r="G631" s="229"/>
      <c r="H631" s="229"/>
      <c r="I631" s="229"/>
      <c r="J631" s="229"/>
      <c r="K631" s="229"/>
      <c r="L631" s="229"/>
      <c r="M631" s="229"/>
      <c r="N631" s="229"/>
      <c r="O631" s="229"/>
      <c r="P631" s="229"/>
      <c r="Q631" s="229"/>
      <c r="R631" s="229"/>
      <c r="S631" s="229"/>
      <c r="T631" s="229"/>
      <c r="U631" s="229"/>
      <c r="V631" s="229"/>
      <c r="W631" s="229"/>
      <c r="X631" s="229"/>
      <c r="Y631" s="229"/>
      <c r="Z631" s="229"/>
      <c r="AA631" s="229"/>
    </row>
    <row r="632" customFormat="false" ht="13.5" hidden="false" customHeight="true" outlineLevel="0" collapsed="false">
      <c r="A632" s="229"/>
      <c r="B632" s="229"/>
      <c r="C632" s="229"/>
      <c r="D632" s="229"/>
      <c r="E632" s="229"/>
      <c r="F632" s="229"/>
      <c r="G632" s="229"/>
      <c r="H632" s="229"/>
      <c r="I632" s="229"/>
      <c r="J632" s="229"/>
      <c r="K632" s="229"/>
      <c r="L632" s="229"/>
      <c r="M632" s="229"/>
      <c r="N632" s="229"/>
      <c r="O632" s="229"/>
      <c r="P632" s="229"/>
      <c r="Q632" s="229"/>
      <c r="R632" s="229"/>
      <c r="S632" s="229"/>
      <c r="T632" s="229"/>
      <c r="U632" s="229"/>
      <c r="V632" s="229"/>
      <c r="W632" s="229"/>
      <c r="X632" s="229"/>
      <c r="Y632" s="229"/>
      <c r="Z632" s="229"/>
      <c r="AA632" s="229"/>
    </row>
    <row r="633" customFormat="false" ht="13.5" hidden="false" customHeight="true" outlineLevel="0" collapsed="false">
      <c r="A633" s="229"/>
      <c r="B633" s="229"/>
      <c r="C633" s="229"/>
      <c r="D633" s="229"/>
      <c r="E633" s="229"/>
      <c r="F633" s="229"/>
      <c r="G633" s="229"/>
      <c r="H633" s="229"/>
      <c r="I633" s="229"/>
      <c r="J633" s="229"/>
      <c r="K633" s="229"/>
      <c r="L633" s="229"/>
      <c r="M633" s="229"/>
      <c r="N633" s="229"/>
      <c r="O633" s="229"/>
      <c r="P633" s="229"/>
      <c r="Q633" s="229"/>
      <c r="R633" s="229"/>
      <c r="S633" s="229"/>
      <c r="T633" s="229"/>
      <c r="U633" s="229"/>
      <c r="V633" s="229"/>
      <c r="W633" s="229"/>
      <c r="X633" s="229"/>
      <c r="Y633" s="229"/>
      <c r="Z633" s="229"/>
      <c r="AA633" s="229"/>
    </row>
    <row r="634" customFormat="false" ht="13.5" hidden="false" customHeight="true" outlineLevel="0" collapsed="false">
      <c r="A634" s="229"/>
      <c r="B634" s="229"/>
      <c r="C634" s="229"/>
      <c r="D634" s="229"/>
      <c r="E634" s="229"/>
      <c r="F634" s="229"/>
      <c r="G634" s="229"/>
      <c r="H634" s="229"/>
      <c r="I634" s="229"/>
      <c r="J634" s="229"/>
      <c r="K634" s="229"/>
      <c r="L634" s="229"/>
      <c r="M634" s="229"/>
      <c r="N634" s="229"/>
      <c r="O634" s="229"/>
      <c r="P634" s="229"/>
      <c r="Q634" s="229"/>
      <c r="R634" s="229"/>
      <c r="S634" s="229"/>
      <c r="T634" s="229"/>
      <c r="U634" s="229"/>
      <c r="V634" s="229"/>
      <c r="W634" s="229"/>
      <c r="X634" s="229"/>
      <c r="Y634" s="229"/>
      <c r="Z634" s="229"/>
      <c r="AA634" s="229"/>
    </row>
    <row r="635" customFormat="false" ht="13.5" hidden="false" customHeight="true" outlineLevel="0" collapsed="false">
      <c r="A635" s="229"/>
      <c r="B635" s="229"/>
      <c r="C635" s="229"/>
      <c r="D635" s="229"/>
      <c r="E635" s="229"/>
      <c r="F635" s="229"/>
      <c r="G635" s="229"/>
      <c r="H635" s="229"/>
      <c r="I635" s="229"/>
      <c r="J635" s="229"/>
      <c r="K635" s="229"/>
      <c r="L635" s="229"/>
      <c r="M635" s="229"/>
      <c r="N635" s="229"/>
      <c r="O635" s="229"/>
      <c r="P635" s="229"/>
      <c r="Q635" s="229"/>
      <c r="R635" s="229"/>
      <c r="S635" s="229"/>
      <c r="T635" s="229"/>
      <c r="U635" s="229"/>
      <c r="V635" s="229"/>
      <c r="W635" s="229"/>
      <c r="X635" s="229"/>
      <c r="Y635" s="229"/>
      <c r="Z635" s="229"/>
      <c r="AA635" s="229"/>
    </row>
    <row r="636" customFormat="false" ht="13.5" hidden="false" customHeight="true" outlineLevel="0" collapsed="false">
      <c r="A636" s="229"/>
      <c r="B636" s="229"/>
      <c r="C636" s="229"/>
      <c r="D636" s="229"/>
      <c r="E636" s="229"/>
      <c r="F636" s="229"/>
      <c r="G636" s="229"/>
      <c r="H636" s="229"/>
      <c r="I636" s="229"/>
      <c r="J636" s="229"/>
      <c r="K636" s="229"/>
      <c r="L636" s="229"/>
      <c r="M636" s="229"/>
      <c r="N636" s="229"/>
      <c r="O636" s="229"/>
      <c r="P636" s="229"/>
      <c r="Q636" s="229"/>
      <c r="R636" s="229"/>
      <c r="S636" s="229"/>
      <c r="T636" s="229"/>
      <c r="U636" s="229"/>
      <c r="V636" s="229"/>
      <c r="W636" s="229"/>
      <c r="X636" s="229"/>
      <c r="Y636" s="229"/>
      <c r="Z636" s="229"/>
      <c r="AA636" s="229"/>
    </row>
    <row r="637" customFormat="false" ht="13.5" hidden="false" customHeight="true" outlineLevel="0" collapsed="false">
      <c r="A637" s="229"/>
      <c r="B637" s="229"/>
      <c r="C637" s="229"/>
      <c r="D637" s="229"/>
      <c r="E637" s="229"/>
      <c r="F637" s="229"/>
      <c r="G637" s="229"/>
      <c r="H637" s="229"/>
      <c r="I637" s="229"/>
      <c r="J637" s="229"/>
      <c r="K637" s="229"/>
      <c r="L637" s="229"/>
      <c r="M637" s="229"/>
      <c r="N637" s="229"/>
      <c r="O637" s="229"/>
      <c r="P637" s="229"/>
      <c r="Q637" s="229"/>
      <c r="R637" s="229"/>
      <c r="S637" s="229"/>
      <c r="T637" s="229"/>
      <c r="U637" s="229"/>
      <c r="V637" s="229"/>
      <c r="W637" s="229"/>
      <c r="X637" s="229"/>
      <c r="Y637" s="229"/>
      <c r="Z637" s="229"/>
      <c r="AA637" s="229"/>
    </row>
    <row r="638" customFormat="false" ht="13.5" hidden="false" customHeight="true" outlineLevel="0" collapsed="false">
      <c r="A638" s="229"/>
      <c r="B638" s="229"/>
      <c r="C638" s="229"/>
      <c r="D638" s="229"/>
      <c r="E638" s="229"/>
      <c r="F638" s="229"/>
      <c r="G638" s="229"/>
      <c r="H638" s="229"/>
      <c r="I638" s="229"/>
      <c r="J638" s="229"/>
      <c r="K638" s="229"/>
      <c r="L638" s="229"/>
      <c r="M638" s="229"/>
      <c r="N638" s="229"/>
      <c r="O638" s="229"/>
      <c r="P638" s="229"/>
      <c r="Q638" s="229"/>
      <c r="R638" s="229"/>
      <c r="S638" s="229"/>
      <c r="T638" s="229"/>
      <c r="U638" s="229"/>
      <c r="V638" s="229"/>
      <c r="W638" s="229"/>
      <c r="X638" s="229"/>
      <c r="Y638" s="229"/>
      <c r="Z638" s="229"/>
      <c r="AA638" s="229"/>
    </row>
    <row r="639" customFormat="false" ht="13.5" hidden="false" customHeight="true" outlineLevel="0" collapsed="false">
      <c r="A639" s="229"/>
      <c r="B639" s="229"/>
      <c r="C639" s="229"/>
      <c r="D639" s="229"/>
      <c r="E639" s="229"/>
      <c r="F639" s="229"/>
      <c r="G639" s="229"/>
      <c r="H639" s="229"/>
      <c r="I639" s="229"/>
      <c r="J639" s="229"/>
      <c r="K639" s="229"/>
      <c r="L639" s="229"/>
      <c r="M639" s="229"/>
      <c r="N639" s="229"/>
      <c r="O639" s="229"/>
      <c r="P639" s="229"/>
      <c r="Q639" s="229"/>
      <c r="R639" s="229"/>
      <c r="S639" s="229"/>
      <c r="T639" s="229"/>
      <c r="U639" s="229"/>
      <c r="V639" s="229"/>
      <c r="W639" s="229"/>
      <c r="X639" s="229"/>
      <c r="Y639" s="229"/>
      <c r="Z639" s="229"/>
      <c r="AA639" s="229"/>
    </row>
    <row r="640" customFormat="false" ht="13.5" hidden="false" customHeight="true" outlineLevel="0" collapsed="false">
      <c r="A640" s="229"/>
      <c r="B640" s="229"/>
      <c r="C640" s="229"/>
      <c r="D640" s="229"/>
      <c r="E640" s="229"/>
      <c r="F640" s="229"/>
      <c r="G640" s="229"/>
      <c r="H640" s="229"/>
      <c r="I640" s="229"/>
      <c r="J640" s="229"/>
      <c r="K640" s="229"/>
      <c r="L640" s="229"/>
      <c r="M640" s="229"/>
      <c r="N640" s="229"/>
      <c r="O640" s="229"/>
      <c r="P640" s="229"/>
      <c r="Q640" s="229"/>
      <c r="R640" s="229"/>
      <c r="S640" s="229"/>
      <c r="T640" s="229"/>
      <c r="U640" s="229"/>
      <c r="V640" s="229"/>
      <c r="W640" s="229"/>
      <c r="X640" s="229"/>
      <c r="Y640" s="229"/>
      <c r="Z640" s="229"/>
      <c r="AA640" s="229"/>
    </row>
    <row r="641" customFormat="false" ht="13.5" hidden="false" customHeight="true" outlineLevel="0" collapsed="false">
      <c r="A641" s="229"/>
      <c r="B641" s="229"/>
      <c r="C641" s="229"/>
      <c r="D641" s="229"/>
      <c r="E641" s="229"/>
      <c r="F641" s="229"/>
      <c r="G641" s="229"/>
      <c r="H641" s="229"/>
      <c r="I641" s="229"/>
      <c r="J641" s="229"/>
      <c r="K641" s="229"/>
      <c r="L641" s="229"/>
      <c r="M641" s="229"/>
      <c r="N641" s="229"/>
      <c r="O641" s="229"/>
      <c r="P641" s="229"/>
      <c r="Q641" s="229"/>
      <c r="R641" s="229"/>
      <c r="S641" s="229"/>
      <c r="T641" s="229"/>
      <c r="U641" s="229"/>
      <c r="V641" s="229"/>
      <c r="W641" s="229"/>
      <c r="X641" s="229"/>
      <c r="Y641" s="229"/>
      <c r="Z641" s="229"/>
      <c r="AA641" s="229"/>
    </row>
    <row r="642" customFormat="false" ht="13.5" hidden="false" customHeight="true" outlineLevel="0" collapsed="false">
      <c r="A642" s="229"/>
      <c r="B642" s="229"/>
      <c r="C642" s="229"/>
      <c r="D642" s="229"/>
      <c r="E642" s="229"/>
      <c r="F642" s="229"/>
      <c r="G642" s="229"/>
      <c r="H642" s="229"/>
      <c r="I642" s="229"/>
      <c r="J642" s="229"/>
      <c r="K642" s="229"/>
      <c r="L642" s="229"/>
      <c r="M642" s="229"/>
      <c r="N642" s="229"/>
      <c r="O642" s="229"/>
      <c r="P642" s="229"/>
      <c r="Q642" s="229"/>
      <c r="R642" s="229"/>
      <c r="S642" s="229"/>
      <c r="T642" s="229"/>
      <c r="U642" s="229"/>
      <c r="V642" s="229"/>
      <c r="W642" s="229"/>
      <c r="X642" s="229"/>
      <c r="Y642" s="229"/>
      <c r="Z642" s="229"/>
      <c r="AA642" s="229"/>
    </row>
    <row r="643" customFormat="false" ht="13.5" hidden="false" customHeight="true" outlineLevel="0" collapsed="false">
      <c r="A643" s="229"/>
      <c r="B643" s="229"/>
      <c r="C643" s="229"/>
      <c r="D643" s="229"/>
      <c r="E643" s="229"/>
      <c r="F643" s="229"/>
      <c r="G643" s="229"/>
      <c r="H643" s="229"/>
      <c r="I643" s="229"/>
      <c r="J643" s="229"/>
      <c r="K643" s="229"/>
      <c r="L643" s="229"/>
      <c r="M643" s="229"/>
      <c r="N643" s="229"/>
      <c r="O643" s="229"/>
      <c r="P643" s="229"/>
      <c r="Q643" s="229"/>
      <c r="R643" s="229"/>
      <c r="S643" s="229"/>
      <c r="T643" s="229"/>
      <c r="U643" s="229"/>
      <c r="V643" s="229"/>
      <c r="W643" s="229"/>
      <c r="X643" s="229"/>
      <c r="Y643" s="229"/>
      <c r="Z643" s="229"/>
      <c r="AA643" s="229"/>
    </row>
    <row r="644" customFormat="false" ht="13.5" hidden="false" customHeight="true" outlineLevel="0" collapsed="false">
      <c r="A644" s="229"/>
      <c r="B644" s="229"/>
      <c r="C644" s="229"/>
      <c r="D644" s="229"/>
      <c r="E644" s="229"/>
      <c r="F644" s="229"/>
      <c r="G644" s="229"/>
      <c r="H644" s="229"/>
      <c r="I644" s="229"/>
      <c r="J644" s="229"/>
      <c r="K644" s="229"/>
      <c r="L644" s="229"/>
      <c r="M644" s="229"/>
      <c r="N644" s="229"/>
      <c r="O644" s="229"/>
      <c r="P644" s="229"/>
      <c r="Q644" s="229"/>
      <c r="R644" s="229"/>
      <c r="S644" s="229"/>
      <c r="T644" s="229"/>
      <c r="U644" s="229"/>
      <c r="V644" s="229"/>
      <c r="W644" s="229"/>
      <c r="X644" s="229"/>
      <c r="Y644" s="229"/>
      <c r="Z644" s="229"/>
      <c r="AA644" s="229"/>
    </row>
    <row r="645" customFormat="false" ht="13.5" hidden="false" customHeight="true" outlineLevel="0" collapsed="false">
      <c r="A645" s="229"/>
      <c r="B645" s="229"/>
      <c r="C645" s="229"/>
      <c r="D645" s="229"/>
      <c r="E645" s="229"/>
      <c r="F645" s="229"/>
      <c r="G645" s="229"/>
      <c r="H645" s="229"/>
      <c r="I645" s="229"/>
      <c r="J645" s="229"/>
      <c r="K645" s="229"/>
      <c r="L645" s="229"/>
      <c r="M645" s="229"/>
      <c r="N645" s="229"/>
      <c r="O645" s="229"/>
      <c r="P645" s="229"/>
      <c r="Q645" s="229"/>
      <c r="R645" s="229"/>
      <c r="S645" s="229"/>
      <c r="T645" s="229"/>
      <c r="U645" s="229"/>
      <c r="V645" s="229"/>
      <c r="W645" s="229"/>
      <c r="X645" s="229"/>
      <c r="Y645" s="229"/>
      <c r="Z645" s="229"/>
      <c r="AA645" s="229"/>
    </row>
    <row r="646" customFormat="false" ht="13.5" hidden="false" customHeight="true" outlineLevel="0" collapsed="false">
      <c r="A646" s="229"/>
      <c r="B646" s="229"/>
      <c r="C646" s="229"/>
      <c r="D646" s="229"/>
      <c r="E646" s="229"/>
      <c r="F646" s="229"/>
      <c r="G646" s="229"/>
      <c r="H646" s="229"/>
      <c r="I646" s="229"/>
      <c r="J646" s="229"/>
      <c r="K646" s="229"/>
      <c r="L646" s="229"/>
      <c r="M646" s="229"/>
      <c r="N646" s="229"/>
      <c r="O646" s="229"/>
      <c r="P646" s="229"/>
      <c r="Q646" s="229"/>
      <c r="R646" s="229"/>
      <c r="S646" s="229"/>
      <c r="T646" s="229"/>
      <c r="U646" s="229"/>
      <c r="V646" s="229"/>
      <c r="W646" s="229"/>
      <c r="X646" s="229"/>
      <c r="Y646" s="229"/>
      <c r="Z646" s="229"/>
      <c r="AA646" s="229"/>
    </row>
    <row r="647" customFormat="false" ht="13.5" hidden="false" customHeight="true" outlineLevel="0" collapsed="false">
      <c r="A647" s="229"/>
      <c r="B647" s="229"/>
      <c r="C647" s="229"/>
      <c r="D647" s="229"/>
      <c r="E647" s="229"/>
      <c r="F647" s="229"/>
      <c r="G647" s="229"/>
      <c r="H647" s="229"/>
      <c r="I647" s="229"/>
      <c r="J647" s="229"/>
      <c r="K647" s="229"/>
      <c r="L647" s="229"/>
      <c r="M647" s="229"/>
      <c r="N647" s="229"/>
      <c r="O647" s="229"/>
      <c r="P647" s="229"/>
      <c r="Q647" s="229"/>
      <c r="R647" s="229"/>
      <c r="S647" s="229"/>
      <c r="T647" s="229"/>
      <c r="U647" s="229"/>
      <c r="V647" s="229"/>
      <c r="W647" s="229"/>
      <c r="X647" s="229"/>
      <c r="Y647" s="229"/>
      <c r="Z647" s="229"/>
      <c r="AA647" s="229"/>
    </row>
    <row r="648" customFormat="false" ht="13.5" hidden="false" customHeight="true" outlineLevel="0" collapsed="false">
      <c r="A648" s="229"/>
      <c r="B648" s="229"/>
      <c r="C648" s="229"/>
      <c r="D648" s="229"/>
      <c r="E648" s="229"/>
      <c r="F648" s="229"/>
      <c r="G648" s="229"/>
      <c r="H648" s="229"/>
      <c r="I648" s="229"/>
      <c r="J648" s="229"/>
      <c r="K648" s="229"/>
      <c r="L648" s="229"/>
      <c r="M648" s="229"/>
      <c r="N648" s="229"/>
      <c r="O648" s="229"/>
      <c r="P648" s="229"/>
      <c r="Q648" s="229"/>
      <c r="R648" s="229"/>
      <c r="S648" s="229"/>
      <c r="T648" s="229"/>
      <c r="U648" s="229"/>
      <c r="V648" s="229"/>
      <c r="W648" s="229"/>
      <c r="X648" s="229"/>
      <c r="Y648" s="229"/>
      <c r="Z648" s="229"/>
      <c r="AA648" s="229"/>
    </row>
    <row r="649" customFormat="false" ht="13.5" hidden="false" customHeight="true" outlineLevel="0" collapsed="false">
      <c r="A649" s="229"/>
      <c r="B649" s="229"/>
      <c r="C649" s="229"/>
      <c r="D649" s="229"/>
      <c r="E649" s="229"/>
      <c r="F649" s="229"/>
      <c r="G649" s="229"/>
      <c r="H649" s="229"/>
      <c r="I649" s="229"/>
      <c r="J649" s="229"/>
      <c r="K649" s="229"/>
      <c r="L649" s="229"/>
      <c r="M649" s="229"/>
      <c r="N649" s="229"/>
      <c r="O649" s="229"/>
      <c r="P649" s="229"/>
      <c r="Q649" s="229"/>
      <c r="R649" s="229"/>
      <c r="S649" s="229"/>
      <c r="T649" s="229"/>
      <c r="U649" s="229"/>
      <c r="V649" s="229"/>
      <c r="W649" s="229"/>
      <c r="X649" s="229"/>
      <c r="Y649" s="229"/>
      <c r="Z649" s="229"/>
      <c r="AA649" s="229"/>
    </row>
    <row r="650" customFormat="false" ht="13.5" hidden="false" customHeight="true" outlineLevel="0" collapsed="false">
      <c r="A650" s="229"/>
      <c r="B650" s="229"/>
      <c r="C650" s="229"/>
      <c r="D650" s="229"/>
      <c r="E650" s="229"/>
      <c r="F650" s="229"/>
      <c r="G650" s="229"/>
      <c r="H650" s="229"/>
      <c r="I650" s="229"/>
      <c r="J650" s="229"/>
      <c r="K650" s="229"/>
      <c r="L650" s="229"/>
      <c r="M650" s="229"/>
      <c r="N650" s="229"/>
      <c r="O650" s="229"/>
      <c r="P650" s="229"/>
      <c r="Q650" s="229"/>
      <c r="R650" s="229"/>
      <c r="S650" s="229"/>
      <c r="T650" s="229"/>
      <c r="U650" s="229"/>
      <c r="V650" s="229"/>
      <c r="W650" s="229"/>
      <c r="X650" s="229"/>
      <c r="Y650" s="229"/>
      <c r="Z650" s="229"/>
      <c r="AA650" s="229"/>
    </row>
    <row r="651" customFormat="false" ht="13.5" hidden="false" customHeight="true" outlineLevel="0" collapsed="false">
      <c r="A651" s="229"/>
      <c r="B651" s="229"/>
      <c r="C651" s="229"/>
      <c r="D651" s="229"/>
      <c r="E651" s="229"/>
      <c r="F651" s="229"/>
      <c r="G651" s="229"/>
      <c r="H651" s="229"/>
      <c r="I651" s="229"/>
      <c r="J651" s="229"/>
      <c r="K651" s="229"/>
      <c r="L651" s="229"/>
      <c r="M651" s="229"/>
      <c r="N651" s="229"/>
      <c r="O651" s="229"/>
      <c r="P651" s="229"/>
      <c r="Q651" s="229"/>
      <c r="R651" s="229"/>
      <c r="S651" s="229"/>
      <c r="T651" s="229"/>
      <c r="U651" s="229"/>
      <c r="V651" s="229"/>
      <c r="W651" s="229"/>
      <c r="X651" s="229"/>
      <c r="Y651" s="229"/>
      <c r="Z651" s="229"/>
      <c r="AA651" s="229"/>
    </row>
    <row r="652" customFormat="false" ht="13.5" hidden="false" customHeight="true" outlineLevel="0" collapsed="false">
      <c r="A652" s="229"/>
      <c r="B652" s="229"/>
      <c r="C652" s="229"/>
      <c r="D652" s="229"/>
      <c r="E652" s="229"/>
      <c r="F652" s="229"/>
      <c r="G652" s="229"/>
      <c r="H652" s="229"/>
      <c r="I652" s="229"/>
      <c r="J652" s="229"/>
      <c r="K652" s="229"/>
      <c r="L652" s="229"/>
      <c r="M652" s="229"/>
      <c r="N652" s="229"/>
      <c r="O652" s="229"/>
      <c r="P652" s="229"/>
      <c r="Q652" s="229"/>
      <c r="R652" s="229"/>
      <c r="S652" s="229"/>
      <c r="T652" s="229"/>
      <c r="U652" s="229"/>
      <c r="V652" s="229"/>
      <c r="W652" s="229"/>
      <c r="X652" s="229"/>
      <c r="Y652" s="229"/>
      <c r="Z652" s="229"/>
      <c r="AA652" s="229"/>
    </row>
    <row r="653" customFormat="false" ht="13.5" hidden="false" customHeight="true" outlineLevel="0" collapsed="false">
      <c r="A653" s="229"/>
      <c r="B653" s="229"/>
      <c r="C653" s="229"/>
      <c r="D653" s="229"/>
      <c r="E653" s="229"/>
      <c r="F653" s="229"/>
      <c r="G653" s="229"/>
      <c r="H653" s="229"/>
      <c r="I653" s="229"/>
      <c r="J653" s="229"/>
      <c r="K653" s="229"/>
      <c r="L653" s="229"/>
      <c r="M653" s="229"/>
      <c r="N653" s="229"/>
      <c r="O653" s="229"/>
      <c r="P653" s="229"/>
      <c r="Q653" s="229"/>
      <c r="R653" s="229"/>
      <c r="S653" s="229"/>
      <c r="T653" s="229"/>
      <c r="U653" s="229"/>
      <c r="V653" s="229"/>
      <c r="W653" s="229"/>
      <c r="X653" s="229"/>
      <c r="Y653" s="229"/>
      <c r="Z653" s="229"/>
      <c r="AA653" s="229"/>
    </row>
    <row r="654" customFormat="false" ht="13.5" hidden="false" customHeight="true" outlineLevel="0" collapsed="false">
      <c r="A654" s="229"/>
      <c r="B654" s="229"/>
      <c r="C654" s="229"/>
      <c r="D654" s="229"/>
      <c r="E654" s="229"/>
      <c r="F654" s="229"/>
      <c r="G654" s="229"/>
      <c r="H654" s="229"/>
      <c r="I654" s="229"/>
      <c r="J654" s="229"/>
      <c r="K654" s="229"/>
      <c r="L654" s="229"/>
      <c r="M654" s="229"/>
      <c r="N654" s="229"/>
      <c r="O654" s="229"/>
      <c r="P654" s="229"/>
      <c r="Q654" s="229"/>
      <c r="R654" s="229"/>
      <c r="S654" s="229"/>
      <c r="T654" s="229"/>
      <c r="U654" s="229"/>
      <c r="V654" s="229"/>
      <c r="W654" s="229"/>
      <c r="X654" s="229"/>
      <c r="Y654" s="229"/>
      <c r="Z654" s="229"/>
      <c r="AA654" s="229"/>
    </row>
    <row r="655" customFormat="false" ht="13.5" hidden="false" customHeight="true" outlineLevel="0" collapsed="false">
      <c r="A655" s="229"/>
      <c r="B655" s="229"/>
      <c r="C655" s="229"/>
      <c r="D655" s="229"/>
      <c r="E655" s="229"/>
      <c r="F655" s="229"/>
      <c r="G655" s="229"/>
      <c r="H655" s="229"/>
      <c r="I655" s="229"/>
      <c r="J655" s="229"/>
      <c r="K655" s="229"/>
      <c r="L655" s="229"/>
      <c r="M655" s="229"/>
      <c r="N655" s="229"/>
      <c r="O655" s="229"/>
      <c r="P655" s="229"/>
      <c r="Q655" s="229"/>
      <c r="R655" s="229"/>
      <c r="S655" s="229"/>
      <c r="T655" s="229"/>
      <c r="U655" s="229"/>
      <c r="V655" s="229"/>
      <c r="W655" s="229"/>
      <c r="X655" s="229"/>
      <c r="Y655" s="229"/>
      <c r="Z655" s="229"/>
      <c r="AA655" s="229"/>
    </row>
    <row r="656" customFormat="false" ht="13.5" hidden="false" customHeight="true" outlineLevel="0" collapsed="false">
      <c r="A656" s="229"/>
      <c r="B656" s="229"/>
      <c r="C656" s="229"/>
      <c r="D656" s="229"/>
      <c r="E656" s="229"/>
      <c r="F656" s="229"/>
      <c r="G656" s="229"/>
      <c r="H656" s="229"/>
      <c r="I656" s="229"/>
      <c r="J656" s="229"/>
      <c r="K656" s="229"/>
      <c r="L656" s="229"/>
      <c r="M656" s="229"/>
      <c r="N656" s="229"/>
      <c r="O656" s="229"/>
      <c r="P656" s="229"/>
      <c r="Q656" s="229"/>
      <c r="R656" s="229"/>
      <c r="S656" s="229"/>
      <c r="T656" s="229"/>
      <c r="U656" s="229"/>
      <c r="V656" s="229"/>
      <c r="W656" s="229"/>
      <c r="X656" s="229"/>
      <c r="Y656" s="229"/>
      <c r="Z656" s="229"/>
      <c r="AA656" s="229"/>
    </row>
    <row r="657" customFormat="false" ht="13.5" hidden="false" customHeight="true" outlineLevel="0" collapsed="false">
      <c r="A657" s="229"/>
      <c r="B657" s="229"/>
      <c r="C657" s="229"/>
      <c r="D657" s="229"/>
      <c r="E657" s="229"/>
      <c r="F657" s="229"/>
      <c r="G657" s="229"/>
      <c r="H657" s="229"/>
      <c r="I657" s="229"/>
      <c r="J657" s="229"/>
      <c r="K657" s="229"/>
      <c r="L657" s="229"/>
      <c r="M657" s="229"/>
      <c r="N657" s="229"/>
      <c r="O657" s="229"/>
      <c r="P657" s="229"/>
      <c r="Q657" s="229"/>
      <c r="R657" s="229"/>
      <c r="S657" s="229"/>
      <c r="T657" s="229"/>
      <c r="U657" s="229"/>
      <c r="V657" s="229"/>
      <c r="W657" s="229"/>
      <c r="X657" s="229"/>
      <c r="Y657" s="229"/>
      <c r="Z657" s="229"/>
      <c r="AA657" s="229"/>
    </row>
    <row r="658" customFormat="false" ht="13.5" hidden="false" customHeight="true" outlineLevel="0" collapsed="false">
      <c r="A658" s="229"/>
      <c r="B658" s="229"/>
      <c r="C658" s="229"/>
      <c r="D658" s="229"/>
      <c r="E658" s="229"/>
      <c r="F658" s="229"/>
      <c r="G658" s="229"/>
      <c r="H658" s="229"/>
      <c r="I658" s="229"/>
      <c r="J658" s="229"/>
      <c r="K658" s="229"/>
      <c r="L658" s="229"/>
      <c r="M658" s="229"/>
      <c r="N658" s="229"/>
      <c r="O658" s="229"/>
      <c r="P658" s="229"/>
      <c r="Q658" s="229"/>
      <c r="R658" s="229"/>
      <c r="S658" s="229"/>
      <c r="T658" s="229"/>
      <c r="U658" s="229"/>
      <c r="V658" s="229"/>
      <c r="W658" s="229"/>
      <c r="X658" s="229"/>
      <c r="Y658" s="229"/>
      <c r="Z658" s="229"/>
      <c r="AA658" s="229"/>
    </row>
    <row r="659" customFormat="false" ht="13.5" hidden="false" customHeight="true" outlineLevel="0" collapsed="false">
      <c r="A659" s="229"/>
      <c r="B659" s="229"/>
      <c r="C659" s="229"/>
      <c r="D659" s="229"/>
      <c r="E659" s="229"/>
      <c r="F659" s="229"/>
      <c r="G659" s="229"/>
      <c r="H659" s="229"/>
      <c r="I659" s="229"/>
      <c r="J659" s="229"/>
      <c r="K659" s="229"/>
      <c r="L659" s="229"/>
      <c r="M659" s="229"/>
      <c r="N659" s="229"/>
      <c r="O659" s="229"/>
      <c r="P659" s="229"/>
      <c r="Q659" s="229"/>
      <c r="R659" s="229"/>
      <c r="S659" s="229"/>
      <c r="T659" s="229"/>
      <c r="U659" s="229"/>
      <c r="V659" s="229"/>
      <c r="W659" s="229"/>
      <c r="X659" s="229"/>
      <c r="Y659" s="229"/>
      <c r="Z659" s="229"/>
      <c r="AA659" s="229"/>
    </row>
    <row r="660" customFormat="false" ht="13.5" hidden="false" customHeight="true" outlineLevel="0" collapsed="false">
      <c r="A660" s="229"/>
      <c r="B660" s="229"/>
      <c r="C660" s="229"/>
      <c r="D660" s="229"/>
      <c r="E660" s="229"/>
      <c r="F660" s="229"/>
      <c r="G660" s="229"/>
      <c r="H660" s="229"/>
      <c r="I660" s="229"/>
      <c r="J660" s="229"/>
      <c r="K660" s="229"/>
      <c r="L660" s="229"/>
      <c r="M660" s="229"/>
      <c r="N660" s="229"/>
      <c r="O660" s="229"/>
      <c r="P660" s="229"/>
      <c r="Q660" s="229"/>
      <c r="R660" s="229"/>
      <c r="S660" s="229"/>
      <c r="T660" s="229"/>
      <c r="U660" s="229"/>
      <c r="V660" s="229"/>
      <c r="W660" s="229"/>
      <c r="X660" s="229"/>
      <c r="Y660" s="229"/>
      <c r="Z660" s="229"/>
      <c r="AA660" s="229"/>
    </row>
    <row r="661" customFormat="false" ht="13.5" hidden="false" customHeight="true" outlineLevel="0" collapsed="false">
      <c r="A661" s="229"/>
      <c r="B661" s="229"/>
      <c r="C661" s="229"/>
      <c r="D661" s="229"/>
      <c r="E661" s="229"/>
      <c r="F661" s="229"/>
      <c r="G661" s="229"/>
      <c r="H661" s="229"/>
      <c r="I661" s="229"/>
      <c r="J661" s="229"/>
      <c r="K661" s="229"/>
      <c r="L661" s="229"/>
      <c r="M661" s="229"/>
      <c r="N661" s="229"/>
      <c r="O661" s="229"/>
      <c r="P661" s="229"/>
      <c r="Q661" s="229"/>
      <c r="R661" s="229"/>
      <c r="S661" s="229"/>
      <c r="T661" s="229"/>
      <c r="U661" s="229"/>
      <c r="V661" s="229"/>
      <c r="W661" s="229"/>
      <c r="X661" s="229"/>
      <c r="Y661" s="229"/>
      <c r="Z661" s="229"/>
      <c r="AA661" s="229"/>
    </row>
    <row r="662" customFormat="false" ht="13.5" hidden="false" customHeight="true" outlineLevel="0" collapsed="false">
      <c r="A662" s="229"/>
      <c r="B662" s="229"/>
      <c r="C662" s="229"/>
      <c r="D662" s="229"/>
      <c r="E662" s="229"/>
      <c r="F662" s="229"/>
      <c r="G662" s="229"/>
      <c r="H662" s="229"/>
      <c r="I662" s="229"/>
      <c r="J662" s="229"/>
      <c r="K662" s="229"/>
      <c r="L662" s="229"/>
      <c r="M662" s="229"/>
      <c r="N662" s="229"/>
      <c r="O662" s="229"/>
      <c r="P662" s="229"/>
      <c r="Q662" s="229"/>
      <c r="R662" s="229"/>
      <c r="S662" s="229"/>
      <c r="T662" s="229"/>
      <c r="U662" s="229"/>
      <c r="V662" s="229"/>
      <c r="W662" s="229"/>
      <c r="X662" s="229"/>
      <c r="Y662" s="229"/>
      <c r="Z662" s="229"/>
      <c r="AA662" s="229"/>
    </row>
    <row r="663" customFormat="false" ht="13.5" hidden="false" customHeight="true" outlineLevel="0" collapsed="false">
      <c r="A663" s="229"/>
      <c r="B663" s="229"/>
      <c r="C663" s="229"/>
      <c r="D663" s="229"/>
      <c r="E663" s="229"/>
      <c r="F663" s="229"/>
      <c r="G663" s="229"/>
      <c r="H663" s="229"/>
      <c r="I663" s="229"/>
      <c r="J663" s="229"/>
      <c r="K663" s="229"/>
      <c r="L663" s="229"/>
      <c r="M663" s="229"/>
      <c r="N663" s="229"/>
      <c r="O663" s="229"/>
      <c r="P663" s="229"/>
      <c r="Q663" s="229"/>
      <c r="R663" s="229"/>
      <c r="S663" s="229"/>
      <c r="T663" s="229"/>
      <c r="U663" s="229"/>
      <c r="V663" s="229"/>
      <c r="W663" s="229"/>
      <c r="X663" s="229"/>
      <c r="Y663" s="229"/>
      <c r="Z663" s="229"/>
      <c r="AA663" s="229"/>
    </row>
    <row r="664" customFormat="false" ht="13.5" hidden="false" customHeight="true" outlineLevel="0" collapsed="false">
      <c r="A664" s="229"/>
      <c r="B664" s="229"/>
      <c r="C664" s="229"/>
      <c r="D664" s="229"/>
      <c r="E664" s="229"/>
      <c r="F664" s="229"/>
      <c r="G664" s="229"/>
      <c r="H664" s="229"/>
      <c r="I664" s="229"/>
      <c r="J664" s="229"/>
      <c r="K664" s="229"/>
      <c r="L664" s="229"/>
      <c r="M664" s="229"/>
      <c r="N664" s="229"/>
      <c r="O664" s="229"/>
      <c r="P664" s="229"/>
      <c r="Q664" s="229"/>
      <c r="R664" s="229"/>
      <c r="S664" s="229"/>
      <c r="T664" s="229"/>
      <c r="U664" s="229"/>
      <c r="V664" s="229"/>
      <c r="W664" s="229"/>
      <c r="X664" s="229"/>
      <c r="Y664" s="229"/>
      <c r="Z664" s="229"/>
      <c r="AA664" s="229"/>
    </row>
    <row r="665" customFormat="false" ht="13.5" hidden="false" customHeight="true" outlineLevel="0" collapsed="false">
      <c r="A665" s="229"/>
      <c r="B665" s="229"/>
      <c r="C665" s="229"/>
      <c r="D665" s="229"/>
      <c r="E665" s="229"/>
      <c r="F665" s="229"/>
      <c r="G665" s="229"/>
      <c r="H665" s="229"/>
      <c r="I665" s="229"/>
      <c r="J665" s="229"/>
      <c r="K665" s="229"/>
      <c r="L665" s="229"/>
      <c r="M665" s="229"/>
      <c r="N665" s="229"/>
      <c r="O665" s="229"/>
      <c r="P665" s="229"/>
      <c r="Q665" s="229"/>
      <c r="R665" s="229"/>
      <c r="S665" s="229"/>
      <c r="T665" s="229"/>
      <c r="U665" s="229"/>
      <c r="V665" s="229"/>
      <c r="W665" s="229"/>
      <c r="X665" s="229"/>
      <c r="Y665" s="229"/>
      <c r="Z665" s="229"/>
      <c r="AA665" s="229"/>
    </row>
    <row r="666" customFormat="false" ht="13.5" hidden="false" customHeight="true" outlineLevel="0" collapsed="false">
      <c r="A666" s="229"/>
      <c r="B666" s="229"/>
      <c r="C666" s="229"/>
      <c r="D666" s="229"/>
      <c r="E666" s="229"/>
      <c r="F666" s="229"/>
      <c r="G666" s="229"/>
      <c r="H666" s="229"/>
      <c r="I666" s="229"/>
      <c r="J666" s="229"/>
      <c r="K666" s="229"/>
      <c r="L666" s="229"/>
      <c r="M666" s="229"/>
      <c r="N666" s="229"/>
      <c r="O666" s="229"/>
      <c r="P666" s="229"/>
      <c r="Q666" s="229"/>
      <c r="R666" s="229"/>
      <c r="S666" s="229"/>
      <c r="T666" s="229"/>
      <c r="U666" s="229"/>
      <c r="V666" s="229"/>
      <c r="W666" s="229"/>
      <c r="X666" s="229"/>
      <c r="Y666" s="229"/>
      <c r="Z666" s="229"/>
      <c r="AA666" s="229"/>
    </row>
    <row r="667" customFormat="false" ht="13.5" hidden="false" customHeight="true" outlineLevel="0" collapsed="false">
      <c r="A667" s="229"/>
      <c r="B667" s="229"/>
      <c r="C667" s="229"/>
      <c r="D667" s="229"/>
      <c r="E667" s="229"/>
      <c r="F667" s="229"/>
      <c r="G667" s="229"/>
      <c r="H667" s="229"/>
      <c r="I667" s="229"/>
      <c r="J667" s="229"/>
      <c r="K667" s="229"/>
      <c r="L667" s="229"/>
      <c r="M667" s="229"/>
      <c r="N667" s="229"/>
      <c r="O667" s="229"/>
      <c r="P667" s="229"/>
      <c r="Q667" s="229"/>
      <c r="R667" s="229"/>
      <c r="S667" s="229"/>
      <c r="T667" s="229"/>
      <c r="U667" s="229"/>
      <c r="V667" s="229"/>
      <c r="W667" s="229"/>
      <c r="X667" s="229"/>
      <c r="Y667" s="229"/>
      <c r="Z667" s="229"/>
      <c r="AA667" s="229"/>
    </row>
    <row r="668" customFormat="false" ht="13.5" hidden="false" customHeight="true" outlineLevel="0" collapsed="false">
      <c r="A668" s="229"/>
      <c r="B668" s="229"/>
      <c r="C668" s="229"/>
      <c r="D668" s="229"/>
      <c r="E668" s="229"/>
      <c r="F668" s="229"/>
      <c r="G668" s="229"/>
      <c r="H668" s="229"/>
      <c r="I668" s="229"/>
      <c r="J668" s="229"/>
      <c r="K668" s="229"/>
      <c r="L668" s="229"/>
      <c r="M668" s="229"/>
      <c r="N668" s="229"/>
      <c r="O668" s="229"/>
      <c r="P668" s="229"/>
      <c r="Q668" s="229"/>
      <c r="R668" s="229"/>
      <c r="S668" s="229"/>
      <c r="T668" s="229"/>
      <c r="U668" s="229"/>
      <c r="V668" s="229"/>
      <c r="W668" s="229"/>
      <c r="X668" s="229"/>
      <c r="Y668" s="229"/>
      <c r="Z668" s="229"/>
      <c r="AA668" s="229"/>
    </row>
    <row r="669" customFormat="false" ht="13.5" hidden="false" customHeight="true" outlineLevel="0" collapsed="false">
      <c r="A669" s="229"/>
      <c r="B669" s="229"/>
      <c r="C669" s="229"/>
      <c r="D669" s="229"/>
      <c r="E669" s="229"/>
      <c r="F669" s="229"/>
      <c r="G669" s="229"/>
      <c r="H669" s="229"/>
      <c r="I669" s="229"/>
      <c r="J669" s="229"/>
      <c r="K669" s="229"/>
      <c r="L669" s="229"/>
      <c r="M669" s="229"/>
      <c r="N669" s="229"/>
      <c r="O669" s="229"/>
      <c r="P669" s="229"/>
      <c r="Q669" s="229"/>
      <c r="R669" s="229"/>
      <c r="S669" s="229"/>
      <c r="T669" s="229"/>
      <c r="U669" s="229"/>
      <c r="V669" s="229"/>
      <c r="W669" s="229"/>
      <c r="X669" s="229"/>
      <c r="Y669" s="229"/>
      <c r="Z669" s="229"/>
      <c r="AA669" s="229"/>
    </row>
    <row r="670" customFormat="false" ht="13.5" hidden="false" customHeight="true" outlineLevel="0" collapsed="false">
      <c r="A670" s="229"/>
      <c r="B670" s="229"/>
      <c r="C670" s="229"/>
      <c r="D670" s="229"/>
      <c r="E670" s="229"/>
      <c r="F670" s="229"/>
      <c r="G670" s="229"/>
      <c r="H670" s="229"/>
      <c r="I670" s="229"/>
      <c r="J670" s="229"/>
      <c r="K670" s="229"/>
      <c r="L670" s="229"/>
      <c r="M670" s="229"/>
      <c r="N670" s="229"/>
      <c r="O670" s="229"/>
      <c r="P670" s="229"/>
      <c r="Q670" s="229"/>
      <c r="R670" s="229"/>
      <c r="S670" s="229"/>
      <c r="T670" s="229"/>
      <c r="U670" s="229"/>
      <c r="V670" s="229"/>
      <c r="W670" s="229"/>
      <c r="X670" s="229"/>
      <c r="Y670" s="229"/>
      <c r="Z670" s="229"/>
      <c r="AA670" s="229"/>
    </row>
    <row r="671" customFormat="false" ht="13.5" hidden="false" customHeight="true" outlineLevel="0" collapsed="false">
      <c r="A671" s="229"/>
      <c r="B671" s="229"/>
      <c r="C671" s="229"/>
      <c r="D671" s="229"/>
      <c r="E671" s="229"/>
      <c r="F671" s="229"/>
      <c r="G671" s="229"/>
      <c r="H671" s="229"/>
      <c r="I671" s="229"/>
      <c r="J671" s="229"/>
      <c r="K671" s="229"/>
      <c r="L671" s="229"/>
      <c r="M671" s="229"/>
      <c r="N671" s="229"/>
      <c r="O671" s="229"/>
      <c r="P671" s="229"/>
      <c r="Q671" s="229"/>
      <c r="R671" s="229"/>
      <c r="S671" s="229"/>
      <c r="T671" s="229"/>
      <c r="U671" s="229"/>
      <c r="V671" s="229"/>
      <c r="W671" s="229"/>
      <c r="X671" s="229"/>
      <c r="Y671" s="229"/>
      <c r="Z671" s="229"/>
      <c r="AA671" s="229"/>
    </row>
    <row r="672" customFormat="false" ht="13.5" hidden="false" customHeight="true" outlineLevel="0" collapsed="false">
      <c r="A672" s="229"/>
      <c r="B672" s="229"/>
      <c r="C672" s="229"/>
      <c r="D672" s="229"/>
      <c r="E672" s="229"/>
      <c r="F672" s="229"/>
      <c r="G672" s="229"/>
      <c r="H672" s="229"/>
      <c r="I672" s="229"/>
      <c r="J672" s="229"/>
      <c r="K672" s="229"/>
      <c r="L672" s="229"/>
      <c r="M672" s="229"/>
      <c r="N672" s="229"/>
      <c r="O672" s="229"/>
      <c r="P672" s="229"/>
      <c r="Q672" s="229"/>
      <c r="R672" s="229"/>
      <c r="S672" s="229"/>
      <c r="T672" s="229"/>
      <c r="U672" s="229"/>
      <c r="V672" s="229"/>
      <c r="W672" s="229"/>
      <c r="X672" s="229"/>
      <c r="Y672" s="229"/>
      <c r="Z672" s="229"/>
      <c r="AA672" s="229"/>
    </row>
    <row r="673" customFormat="false" ht="13.5" hidden="false" customHeight="true" outlineLevel="0" collapsed="false">
      <c r="A673" s="229"/>
      <c r="B673" s="229"/>
      <c r="C673" s="229"/>
      <c r="D673" s="229"/>
      <c r="E673" s="229"/>
      <c r="F673" s="229"/>
      <c r="G673" s="229"/>
      <c r="H673" s="229"/>
      <c r="I673" s="229"/>
      <c r="J673" s="229"/>
      <c r="K673" s="229"/>
      <c r="L673" s="229"/>
      <c r="M673" s="229"/>
      <c r="N673" s="229"/>
      <c r="O673" s="229"/>
      <c r="P673" s="229"/>
      <c r="Q673" s="229"/>
      <c r="R673" s="229"/>
      <c r="S673" s="229"/>
      <c r="T673" s="229"/>
      <c r="U673" s="229"/>
      <c r="V673" s="229"/>
      <c r="W673" s="229"/>
      <c r="X673" s="229"/>
      <c r="Y673" s="229"/>
      <c r="Z673" s="229"/>
      <c r="AA673" s="229"/>
    </row>
    <row r="674" customFormat="false" ht="13.5" hidden="false" customHeight="true" outlineLevel="0" collapsed="false">
      <c r="A674" s="229"/>
      <c r="B674" s="229"/>
      <c r="C674" s="229"/>
      <c r="D674" s="229"/>
      <c r="E674" s="229"/>
      <c r="F674" s="229"/>
      <c r="G674" s="229"/>
      <c r="H674" s="229"/>
      <c r="I674" s="229"/>
      <c r="J674" s="229"/>
      <c r="K674" s="229"/>
      <c r="L674" s="229"/>
      <c r="M674" s="229"/>
      <c r="N674" s="229"/>
      <c r="O674" s="229"/>
      <c r="P674" s="229"/>
      <c r="Q674" s="229"/>
      <c r="R674" s="229"/>
      <c r="S674" s="229"/>
      <c r="T674" s="229"/>
      <c r="U674" s="229"/>
      <c r="V674" s="229"/>
      <c r="W674" s="229"/>
      <c r="X674" s="229"/>
      <c r="Y674" s="229"/>
      <c r="Z674" s="229"/>
      <c r="AA674" s="229"/>
    </row>
    <row r="675" customFormat="false" ht="13.5" hidden="false" customHeight="true" outlineLevel="0" collapsed="false">
      <c r="A675" s="229"/>
      <c r="B675" s="229"/>
      <c r="C675" s="229"/>
      <c r="D675" s="229"/>
      <c r="E675" s="229"/>
      <c r="F675" s="229"/>
      <c r="G675" s="229"/>
      <c r="H675" s="229"/>
      <c r="I675" s="229"/>
      <c r="J675" s="229"/>
      <c r="K675" s="229"/>
      <c r="L675" s="229"/>
      <c r="M675" s="229"/>
      <c r="N675" s="229"/>
      <c r="O675" s="229"/>
      <c r="P675" s="229"/>
      <c r="Q675" s="229"/>
      <c r="R675" s="229"/>
      <c r="S675" s="229"/>
      <c r="T675" s="229"/>
      <c r="U675" s="229"/>
      <c r="V675" s="229"/>
      <c r="W675" s="229"/>
      <c r="X675" s="229"/>
      <c r="Y675" s="229"/>
      <c r="Z675" s="229"/>
      <c r="AA675" s="229"/>
    </row>
    <row r="676" customFormat="false" ht="13.5" hidden="false" customHeight="true" outlineLevel="0" collapsed="false">
      <c r="A676" s="229"/>
      <c r="B676" s="229"/>
      <c r="C676" s="229"/>
      <c r="D676" s="229"/>
      <c r="E676" s="229"/>
      <c r="F676" s="229"/>
      <c r="G676" s="229"/>
      <c r="H676" s="229"/>
      <c r="I676" s="229"/>
      <c r="J676" s="229"/>
      <c r="K676" s="229"/>
      <c r="L676" s="229"/>
      <c r="M676" s="229"/>
      <c r="N676" s="229"/>
      <c r="O676" s="229"/>
      <c r="P676" s="229"/>
      <c r="Q676" s="229"/>
      <c r="R676" s="229"/>
      <c r="S676" s="229"/>
      <c r="T676" s="229"/>
      <c r="U676" s="229"/>
      <c r="V676" s="229"/>
      <c r="W676" s="229"/>
      <c r="X676" s="229"/>
      <c r="Y676" s="229"/>
      <c r="Z676" s="229"/>
      <c r="AA676" s="229"/>
    </row>
    <row r="677" customFormat="false" ht="13.5" hidden="false" customHeight="true" outlineLevel="0" collapsed="false">
      <c r="A677" s="229"/>
      <c r="B677" s="229"/>
      <c r="C677" s="229"/>
      <c r="D677" s="229"/>
      <c r="E677" s="229"/>
      <c r="F677" s="229"/>
      <c r="G677" s="229"/>
      <c r="H677" s="229"/>
      <c r="I677" s="229"/>
      <c r="J677" s="229"/>
      <c r="K677" s="229"/>
      <c r="L677" s="229"/>
      <c r="M677" s="229"/>
      <c r="N677" s="229"/>
      <c r="O677" s="229"/>
      <c r="P677" s="229"/>
      <c r="Q677" s="229"/>
      <c r="R677" s="229"/>
      <c r="S677" s="229"/>
      <c r="T677" s="229"/>
      <c r="U677" s="229"/>
      <c r="V677" s="229"/>
      <c r="W677" s="229"/>
      <c r="X677" s="229"/>
      <c r="Y677" s="229"/>
      <c r="Z677" s="229"/>
      <c r="AA677" s="229"/>
    </row>
    <row r="678" customFormat="false" ht="13.5" hidden="false" customHeight="true" outlineLevel="0" collapsed="false">
      <c r="A678" s="229"/>
      <c r="B678" s="229"/>
      <c r="C678" s="229"/>
      <c r="D678" s="229"/>
      <c r="E678" s="229"/>
      <c r="F678" s="229"/>
      <c r="G678" s="229"/>
      <c r="H678" s="229"/>
      <c r="I678" s="229"/>
      <c r="J678" s="229"/>
      <c r="K678" s="229"/>
      <c r="L678" s="229"/>
      <c r="M678" s="229"/>
      <c r="N678" s="229"/>
      <c r="O678" s="229"/>
      <c r="P678" s="229"/>
      <c r="Q678" s="229"/>
      <c r="R678" s="229"/>
      <c r="S678" s="229"/>
      <c r="T678" s="229"/>
      <c r="U678" s="229"/>
      <c r="V678" s="229"/>
      <c r="W678" s="229"/>
      <c r="X678" s="229"/>
      <c r="Y678" s="229"/>
      <c r="Z678" s="229"/>
      <c r="AA678" s="229"/>
    </row>
    <row r="679" customFormat="false" ht="13.5" hidden="false" customHeight="true" outlineLevel="0" collapsed="false">
      <c r="A679" s="229"/>
      <c r="B679" s="229"/>
      <c r="C679" s="229"/>
      <c r="D679" s="229"/>
      <c r="E679" s="229"/>
      <c r="F679" s="229"/>
      <c r="G679" s="229"/>
      <c r="H679" s="229"/>
      <c r="I679" s="229"/>
      <c r="J679" s="229"/>
      <c r="K679" s="229"/>
      <c r="L679" s="229"/>
      <c r="M679" s="229"/>
      <c r="N679" s="229"/>
      <c r="O679" s="229"/>
      <c r="P679" s="229"/>
      <c r="Q679" s="229"/>
      <c r="R679" s="229"/>
      <c r="S679" s="229"/>
      <c r="T679" s="229"/>
      <c r="U679" s="229"/>
      <c r="V679" s="229"/>
      <c r="W679" s="229"/>
      <c r="X679" s="229"/>
      <c r="Y679" s="229"/>
      <c r="Z679" s="229"/>
      <c r="AA679" s="229"/>
    </row>
    <row r="680" customFormat="false" ht="13.5" hidden="false" customHeight="true" outlineLevel="0" collapsed="false">
      <c r="A680" s="229"/>
      <c r="B680" s="229"/>
      <c r="C680" s="229"/>
      <c r="D680" s="229"/>
      <c r="E680" s="229"/>
      <c r="F680" s="229"/>
      <c r="G680" s="229"/>
      <c r="H680" s="229"/>
      <c r="I680" s="229"/>
      <c r="J680" s="229"/>
      <c r="K680" s="229"/>
      <c r="L680" s="229"/>
      <c r="M680" s="229"/>
      <c r="N680" s="229"/>
      <c r="O680" s="229"/>
      <c r="P680" s="229"/>
      <c r="Q680" s="229"/>
      <c r="R680" s="229"/>
      <c r="S680" s="229"/>
      <c r="T680" s="229"/>
      <c r="U680" s="229"/>
      <c r="V680" s="229"/>
      <c r="W680" s="229"/>
      <c r="X680" s="229"/>
      <c r="Y680" s="229"/>
      <c r="Z680" s="229"/>
      <c r="AA680" s="229"/>
    </row>
    <row r="681" customFormat="false" ht="13.5" hidden="false" customHeight="true" outlineLevel="0" collapsed="false">
      <c r="A681" s="229"/>
      <c r="B681" s="229"/>
      <c r="C681" s="229"/>
      <c r="D681" s="229"/>
      <c r="E681" s="229"/>
      <c r="F681" s="229"/>
      <c r="G681" s="229"/>
      <c r="H681" s="229"/>
      <c r="I681" s="229"/>
      <c r="J681" s="229"/>
      <c r="K681" s="229"/>
      <c r="L681" s="229"/>
      <c r="M681" s="229"/>
      <c r="N681" s="229"/>
      <c r="O681" s="229"/>
      <c r="P681" s="229"/>
      <c r="Q681" s="229"/>
      <c r="R681" s="229"/>
      <c r="S681" s="229"/>
      <c r="T681" s="229"/>
      <c r="U681" s="229"/>
      <c r="V681" s="229"/>
      <c r="W681" s="229"/>
      <c r="X681" s="229"/>
      <c r="Y681" s="229"/>
      <c r="Z681" s="229"/>
      <c r="AA681" s="229"/>
    </row>
    <row r="682" customFormat="false" ht="13.5" hidden="false" customHeight="true" outlineLevel="0" collapsed="false">
      <c r="A682" s="229"/>
      <c r="B682" s="229"/>
      <c r="C682" s="229"/>
      <c r="D682" s="229"/>
      <c r="E682" s="229"/>
      <c r="F682" s="229"/>
      <c r="G682" s="229"/>
      <c r="H682" s="229"/>
      <c r="I682" s="229"/>
      <c r="J682" s="229"/>
      <c r="K682" s="229"/>
      <c r="L682" s="229"/>
      <c r="M682" s="229"/>
      <c r="N682" s="229"/>
      <c r="O682" s="229"/>
      <c r="P682" s="229"/>
      <c r="Q682" s="229"/>
      <c r="R682" s="229"/>
      <c r="S682" s="229"/>
      <c r="T682" s="229"/>
      <c r="U682" s="229"/>
      <c r="V682" s="229"/>
      <c r="W682" s="229"/>
      <c r="X682" s="229"/>
      <c r="Y682" s="229"/>
      <c r="Z682" s="229"/>
      <c r="AA682" s="229"/>
    </row>
    <row r="683" customFormat="false" ht="13.5" hidden="false" customHeight="true" outlineLevel="0" collapsed="false">
      <c r="A683" s="229"/>
      <c r="B683" s="229"/>
      <c r="C683" s="229"/>
      <c r="D683" s="229"/>
      <c r="E683" s="229"/>
      <c r="F683" s="229"/>
      <c r="G683" s="229"/>
      <c r="H683" s="229"/>
      <c r="I683" s="229"/>
      <c r="J683" s="229"/>
      <c r="K683" s="229"/>
      <c r="L683" s="229"/>
      <c r="M683" s="229"/>
      <c r="N683" s="229"/>
      <c r="O683" s="229"/>
      <c r="P683" s="229"/>
      <c r="Q683" s="229"/>
      <c r="R683" s="229"/>
      <c r="S683" s="229"/>
      <c r="T683" s="229"/>
      <c r="U683" s="229"/>
      <c r="V683" s="229"/>
      <c r="W683" s="229"/>
      <c r="X683" s="229"/>
      <c r="Y683" s="229"/>
      <c r="Z683" s="229"/>
      <c r="AA683" s="229"/>
    </row>
    <row r="684" customFormat="false" ht="13.5" hidden="false" customHeight="true" outlineLevel="0" collapsed="false">
      <c r="A684" s="229"/>
      <c r="B684" s="229"/>
      <c r="C684" s="229"/>
      <c r="D684" s="229"/>
      <c r="E684" s="229"/>
      <c r="F684" s="229"/>
      <c r="G684" s="229"/>
      <c r="H684" s="229"/>
      <c r="I684" s="229"/>
      <c r="J684" s="229"/>
      <c r="K684" s="229"/>
      <c r="L684" s="229"/>
      <c r="M684" s="229"/>
      <c r="N684" s="229"/>
      <c r="O684" s="229"/>
      <c r="P684" s="229"/>
      <c r="Q684" s="229"/>
      <c r="R684" s="229"/>
      <c r="S684" s="229"/>
      <c r="T684" s="229"/>
      <c r="U684" s="229"/>
      <c r="V684" s="229"/>
      <c r="W684" s="229"/>
      <c r="X684" s="229"/>
      <c r="Y684" s="229"/>
      <c r="Z684" s="229"/>
      <c r="AA684" s="229"/>
    </row>
    <row r="685" customFormat="false" ht="13.5" hidden="false" customHeight="true" outlineLevel="0" collapsed="false">
      <c r="A685" s="229"/>
      <c r="B685" s="229"/>
      <c r="C685" s="229"/>
      <c r="D685" s="229"/>
      <c r="E685" s="229"/>
      <c r="F685" s="229"/>
      <c r="G685" s="229"/>
      <c r="H685" s="229"/>
      <c r="I685" s="229"/>
      <c r="J685" s="229"/>
      <c r="K685" s="229"/>
      <c r="L685" s="229"/>
      <c r="M685" s="229"/>
      <c r="N685" s="229"/>
      <c r="O685" s="229"/>
      <c r="P685" s="229"/>
      <c r="Q685" s="229"/>
      <c r="R685" s="229"/>
      <c r="S685" s="229"/>
      <c r="T685" s="229"/>
      <c r="U685" s="229"/>
      <c r="V685" s="229"/>
      <c r="W685" s="229"/>
      <c r="X685" s="229"/>
      <c r="Y685" s="229"/>
      <c r="Z685" s="229"/>
      <c r="AA685" s="229"/>
    </row>
    <row r="686" customFormat="false" ht="13.5" hidden="false" customHeight="true" outlineLevel="0" collapsed="false">
      <c r="A686" s="229"/>
      <c r="B686" s="229"/>
      <c r="C686" s="229"/>
      <c r="D686" s="229"/>
      <c r="E686" s="229"/>
      <c r="F686" s="229"/>
      <c r="G686" s="229"/>
      <c r="H686" s="229"/>
      <c r="I686" s="229"/>
      <c r="J686" s="229"/>
      <c r="K686" s="229"/>
      <c r="L686" s="229"/>
      <c r="M686" s="229"/>
      <c r="N686" s="229"/>
      <c r="O686" s="229"/>
      <c r="P686" s="229"/>
      <c r="Q686" s="229"/>
      <c r="R686" s="229"/>
      <c r="S686" s="229"/>
      <c r="T686" s="229"/>
      <c r="U686" s="229"/>
      <c r="V686" s="229"/>
      <c r="W686" s="229"/>
      <c r="X686" s="229"/>
      <c r="Y686" s="229"/>
      <c r="Z686" s="229"/>
      <c r="AA686" s="229"/>
    </row>
    <row r="687" customFormat="false" ht="13.5" hidden="false" customHeight="true" outlineLevel="0" collapsed="false">
      <c r="A687" s="229"/>
      <c r="B687" s="229"/>
      <c r="C687" s="229"/>
      <c r="D687" s="229"/>
      <c r="E687" s="229"/>
      <c r="F687" s="229"/>
      <c r="G687" s="229"/>
      <c r="H687" s="229"/>
      <c r="I687" s="229"/>
      <c r="J687" s="229"/>
      <c r="K687" s="229"/>
      <c r="L687" s="229"/>
      <c r="M687" s="229"/>
      <c r="N687" s="229"/>
      <c r="O687" s="229"/>
      <c r="P687" s="229"/>
      <c r="Q687" s="229"/>
      <c r="R687" s="229"/>
      <c r="S687" s="229"/>
      <c r="T687" s="229"/>
      <c r="U687" s="229"/>
      <c r="V687" s="229"/>
      <c r="W687" s="229"/>
      <c r="X687" s="229"/>
      <c r="Y687" s="229"/>
      <c r="Z687" s="229"/>
      <c r="AA687" s="229"/>
    </row>
    <row r="688" customFormat="false" ht="13.5" hidden="false" customHeight="true" outlineLevel="0" collapsed="false">
      <c r="A688" s="229"/>
      <c r="B688" s="229"/>
      <c r="C688" s="229"/>
      <c r="D688" s="229"/>
      <c r="E688" s="229"/>
      <c r="F688" s="229"/>
      <c r="G688" s="229"/>
      <c r="H688" s="229"/>
      <c r="I688" s="229"/>
      <c r="J688" s="229"/>
      <c r="K688" s="229"/>
      <c r="L688" s="229"/>
      <c r="M688" s="229"/>
      <c r="N688" s="229"/>
      <c r="O688" s="229"/>
      <c r="P688" s="229"/>
      <c r="Q688" s="229"/>
      <c r="R688" s="229"/>
      <c r="S688" s="229"/>
      <c r="T688" s="229"/>
      <c r="U688" s="229"/>
      <c r="V688" s="229"/>
      <c r="W688" s="229"/>
      <c r="X688" s="229"/>
      <c r="Y688" s="229"/>
      <c r="Z688" s="229"/>
      <c r="AA688" s="229"/>
    </row>
    <row r="689" customFormat="false" ht="13.5" hidden="false" customHeight="true" outlineLevel="0" collapsed="false">
      <c r="A689" s="229"/>
      <c r="B689" s="229"/>
      <c r="C689" s="229"/>
      <c r="D689" s="229"/>
      <c r="E689" s="229"/>
      <c r="F689" s="229"/>
      <c r="G689" s="229"/>
      <c r="H689" s="229"/>
      <c r="I689" s="229"/>
      <c r="J689" s="229"/>
      <c r="K689" s="229"/>
      <c r="L689" s="229"/>
      <c r="M689" s="229"/>
      <c r="N689" s="229"/>
      <c r="O689" s="229"/>
      <c r="P689" s="229"/>
      <c r="Q689" s="229"/>
      <c r="R689" s="229"/>
      <c r="S689" s="229"/>
      <c r="T689" s="229"/>
      <c r="U689" s="229"/>
      <c r="V689" s="229"/>
      <c r="W689" s="229"/>
      <c r="X689" s="229"/>
      <c r="Y689" s="229"/>
      <c r="Z689" s="229"/>
      <c r="AA689" s="229"/>
    </row>
    <row r="690" customFormat="false" ht="13.5" hidden="false" customHeight="true" outlineLevel="0" collapsed="false">
      <c r="A690" s="229"/>
      <c r="B690" s="229"/>
      <c r="C690" s="229"/>
      <c r="D690" s="229"/>
      <c r="E690" s="229"/>
      <c r="F690" s="229"/>
      <c r="G690" s="229"/>
      <c r="H690" s="229"/>
      <c r="I690" s="229"/>
      <c r="J690" s="229"/>
      <c r="K690" s="229"/>
      <c r="L690" s="229"/>
      <c r="M690" s="229"/>
      <c r="N690" s="229"/>
      <c r="O690" s="229"/>
      <c r="P690" s="229"/>
      <c r="Q690" s="229"/>
      <c r="R690" s="229"/>
      <c r="S690" s="229"/>
      <c r="T690" s="229"/>
      <c r="U690" s="229"/>
      <c r="V690" s="229"/>
      <c r="W690" s="229"/>
      <c r="X690" s="229"/>
      <c r="Y690" s="229"/>
      <c r="Z690" s="229"/>
      <c r="AA690" s="229"/>
    </row>
    <row r="691" customFormat="false" ht="13.5" hidden="false" customHeight="true" outlineLevel="0" collapsed="false">
      <c r="A691" s="229"/>
      <c r="B691" s="229"/>
      <c r="C691" s="229"/>
      <c r="D691" s="229"/>
      <c r="E691" s="229"/>
      <c r="F691" s="229"/>
      <c r="G691" s="229"/>
      <c r="H691" s="229"/>
      <c r="I691" s="229"/>
      <c r="J691" s="229"/>
      <c r="K691" s="229"/>
      <c r="L691" s="229"/>
      <c r="M691" s="229"/>
      <c r="N691" s="229"/>
      <c r="O691" s="229"/>
      <c r="P691" s="229"/>
      <c r="Q691" s="229"/>
      <c r="R691" s="229"/>
      <c r="S691" s="229"/>
      <c r="T691" s="229"/>
      <c r="U691" s="229"/>
      <c r="V691" s="229"/>
      <c r="W691" s="229"/>
      <c r="X691" s="229"/>
      <c r="Y691" s="229"/>
      <c r="Z691" s="229"/>
      <c r="AA691" s="229"/>
    </row>
    <row r="692" customFormat="false" ht="13.5" hidden="false" customHeight="true" outlineLevel="0" collapsed="false">
      <c r="A692" s="229"/>
      <c r="B692" s="229"/>
      <c r="C692" s="229"/>
      <c r="D692" s="229"/>
      <c r="E692" s="229"/>
      <c r="F692" s="229"/>
      <c r="G692" s="229"/>
      <c r="H692" s="229"/>
      <c r="I692" s="229"/>
      <c r="J692" s="229"/>
      <c r="K692" s="229"/>
      <c r="L692" s="229"/>
      <c r="M692" s="229"/>
      <c r="N692" s="229"/>
      <c r="O692" s="229"/>
      <c r="P692" s="229"/>
      <c r="Q692" s="229"/>
      <c r="R692" s="229"/>
      <c r="S692" s="229"/>
      <c r="T692" s="229"/>
      <c r="U692" s="229"/>
      <c r="V692" s="229"/>
      <c r="W692" s="229"/>
      <c r="X692" s="229"/>
      <c r="Y692" s="229"/>
      <c r="Z692" s="229"/>
      <c r="AA692" s="229"/>
    </row>
    <row r="693" customFormat="false" ht="13.5" hidden="false" customHeight="true" outlineLevel="0" collapsed="false">
      <c r="A693" s="229"/>
      <c r="B693" s="229"/>
      <c r="C693" s="229"/>
      <c r="D693" s="229"/>
      <c r="E693" s="229"/>
      <c r="F693" s="229"/>
      <c r="G693" s="229"/>
      <c r="H693" s="229"/>
      <c r="I693" s="229"/>
      <c r="J693" s="229"/>
      <c r="K693" s="229"/>
      <c r="L693" s="229"/>
      <c r="M693" s="229"/>
      <c r="N693" s="229"/>
      <c r="O693" s="229"/>
      <c r="P693" s="229"/>
      <c r="Q693" s="229"/>
      <c r="R693" s="229"/>
      <c r="S693" s="229"/>
      <c r="T693" s="229"/>
      <c r="U693" s="229"/>
      <c r="V693" s="229"/>
      <c r="W693" s="229"/>
      <c r="X693" s="229"/>
      <c r="Y693" s="229"/>
      <c r="Z693" s="229"/>
      <c r="AA693" s="229"/>
    </row>
    <row r="694" customFormat="false" ht="13.5" hidden="false" customHeight="true" outlineLevel="0" collapsed="false">
      <c r="A694" s="229"/>
      <c r="B694" s="229"/>
      <c r="C694" s="229"/>
      <c r="D694" s="229"/>
      <c r="E694" s="229"/>
      <c r="F694" s="229"/>
      <c r="G694" s="229"/>
      <c r="H694" s="229"/>
      <c r="I694" s="229"/>
      <c r="J694" s="229"/>
      <c r="K694" s="229"/>
      <c r="L694" s="229"/>
      <c r="M694" s="229"/>
      <c r="N694" s="229"/>
      <c r="O694" s="229"/>
      <c r="P694" s="229"/>
      <c r="Q694" s="229"/>
      <c r="R694" s="229"/>
      <c r="S694" s="229"/>
      <c r="T694" s="229"/>
      <c r="U694" s="229"/>
      <c r="V694" s="229"/>
      <c r="W694" s="229"/>
      <c r="X694" s="229"/>
      <c r="Y694" s="229"/>
      <c r="Z694" s="229"/>
      <c r="AA694" s="229"/>
    </row>
    <row r="695" customFormat="false" ht="13.5" hidden="false" customHeight="true" outlineLevel="0" collapsed="false">
      <c r="A695" s="229"/>
      <c r="B695" s="229"/>
      <c r="C695" s="229"/>
      <c r="D695" s="229"/>
      <c r="E695" s="229"/>
      <c r="F695" s="229"/>
      <c r="G695" s="229"/>
      <c r="H695" s="229"/>
      <c r="I695" s="229"/>
      <c r="J695" s="229"/>
      <c r="K695" s="229"/>
      <c r="L695" s="229"/>
      <c r="M695" s="229"/>
      <c r="N695" s="229"/>
      <c r="O695" s="229"/>
      <c r="P695" s="229"/>
      <c r="Q695" s="229"/>
      <c r="R695" s="229"/>
      <c r="S695" s="229"/>
      <c r="T695" s="229"/>
      <c r="U695" s="229"/>
      <c r="V695" s="229"/>
      <c r="W695" s="229"/>
      <c r="X695" s="229"/>
      <c r="Y695" s="229"/>
      <c r="Z695" s="229"/>
      <c r="AA695" s="229"/>
    </row>
    <row r="696" customFormat="false" ht="13.5" hidden="false" customHeight="true" outlineLevel="0" collapsed="false">
      <c r="A696" s="229"/>
      <c r="B696" s="229"/>
      <c r="C696" s="229"/>
      <c r="D696" s="229"/>
      <c r="E696" s="229"/>
      <c r="F696" s="229"/>
      <c r="G696" s="229"/>
      <c r="H696" s="229"/>
      <c r="I696" s="229"/>
      <c r="J696" s="229"/>
      <c r="K696" s="229"/>
      <c r="L696" s="229"/>
      <c r="M696" s="229"/>
      <c r="N696" s="229"/>
      <c r="O696" s="229"/>
      <c r="P696" s="229"/>
      <c r="Q696" s="229"/>
      <c r="R696" s="229"/>
      <c r="S696" s="229"/>
      <c r="T696" s="229"/>
      <c r="U696" s="229"/>
      <c r="V696" s="229"/>
      <c r="W696" s="229"/>
      <c r="X696" s="229"/>
      <c r="Y696" s="229"/>
      <c r="Z696" s="229"/>
      <c r="AA696" s="229"/>
    </row>
    <row r="697" customFormat="false" ht="13.5" hidden="false" customHeight="true" outlineLevel="0" collapsed="false">
      <c r="A697" s="229"/>
      <c r="B697" s="229"/>
      <c r="C697" s="229"/>
      <c r="D697" s="229"/>
      <c r="E697" s="229"/>
      <c r="F697" s="229"/>
      <c r="G697" s="229"/>
      <c r="H697" s="229"/>
      <c r="I697" s="229"/>
      <c r="J697" s="229"/>
      <c r="K697" s="229"/>
      <c r="L697" s="229"/>
      <c r="M697" s="229"/>
      <c r="N697" s="229"/>
      <c r="O697" s="229"/>
      <c r="P697" s="229"/>
      <c r="Q697" s="229"/>
      <c r="R697" s="229"/>
      <c r="S697" s="229"/>
      <c r="T697" s="229"/>
      <c r="U697" s="229"/>
      <c r="V697" s="229"/>
      <c r="W697" s="229"/>
      <c r="X697" s="229"/>
      <c r="Y697" s="229"/>
      <c r="Z697" s="229"/>
      <c r="AA697" s="229"/>
    </row>
    <row r="698" customFormat="false" ht="13.5" hidden="false" customHeight="true" outlineLevel="0" collapsed="false">
      <c r="A698" s="229"/>
      <c r="B698" s="229"/>
      <c r="C698" s="229"/>
      <c r="D698" s="229"/>
      <c r="E698" s="229"/>
      <c r="F698" s="229"/>
      <c r="G698" s="229"/>
      <c r="H698" s="229"/>
      <c r="I698" s="229"/>
      <c r="J698" s="229"/>
      <c r="K698" s="229"/>
      <c r="L698" s="229"/>
      <c r="M698" s="229"/>
      <c r="N698" s="229"/>
      <c r="O698" s="229"/>
      <c r="P698" s="229"/>
      <c r="Q698" s="229"/>
      <c r="R698" s="229"/>
      <c r="S698" s="229"/>
      <c r="T698" s="229"/>
      <c r="U698" s="229"/>
      <c r="V698" s="229"/>
      <c r="W698" s="229"/>
      <c r="X698" s="229"/>
      <c r="Y698" s="229"/>
      <c r="Z698" s="229"/>
      <c r="AA698" s="229"/>
    </row>
    <row r="699" customFormat="false" ht="13.5" hidden="false" customHeight="true" outlineLevel="0" collapsed="false">
      <c r="A699" s="229"/>
      <c r="B699" s="229"/>
      <c r="C699" s="229"/>
      <c r="D699" s="229"/>
      <c r="E699" s="229"/>
      <c r="F699" s="229"/>
      <c r="G699" s="229"/>
      <c r="H699" s="229"/>
      <c r="I699" s="229"/>
      <c r="J699" s="229"/>
      <c r="K699" s="229"/>
      <c r="L699" s="229"/>
      <c r="M699" s="229"/>
      <c r="N699" s="229"/>
      <c r="O699" s="229"/>
      <c r="P699" s="229"/>
      <c r="Q699" s="229"/>
      <c r="R699" s="229"/>
      <c r="S699" s="229"/>
      <c r="T699" s="229"/>
      <c r="U699" s="229"/>
      <c r="V699" s="229"/>
      <c r="W699" s="229"/>
      <c r="X699" s="229"/>
      <c r="Y699" s="229"/>
      <c r="Z699" s="229"/>
      <c r="AA699" s="229"/>
    </row>
    <row r="700" customFormat="false" ht="13.5" hidden="false" customHeight="true" outlineLevel="0" collapsed="false">
      <c r="A700" s="229"/>
      <c r="B700" s="229"/>
      <c r="C700" s="229"/>
      <c r="D700" s="229"/>
      <c r="E700" s="229"/>
      <c r="F700" s="229"/>
      <c r="G700" s="229"/>
      <c r="H700" s="229"/>
      <c r="I700" s="229"/>
      <c r="J700" s="229"/>
      <c r="K700" s="229"/>
      <c r="L700" s="229"/>
      <c r="M700" s="229"/>
      <c r="N700" s="229"/>
      <c r="O700" s="229"/>
      <c r="P700" s="229"/>
      <c r="Q700" s="229"/>
      <c r="R700" s="229"/>
      <c r="S700" s="229"/>
      <c r="T700" s="229"/>
      <c r="U700" s="229"/>
      <c r="V700" s="229"/>
      <c r="W700" s="229"/>
      <c r="X700" s="229"/>
      <c r="Y700" s="229"/>
      <c r="Z700" s="229"/>
      <c r="AA700" s="229"/>
    </row>
    <row r="701" customFormat="false" ht="13.5" hidden="false" customHeight="true" outlineLevel="0" collapsed="false">
      <c r="A701" s="229"/>
      <c r="B701" s="229"/>
      <c r="C701" s="229"/>
      <c r="D701" s="229"/>
      <c r="E701" s="229"/>
      <c r="F701" s="229"/>
      <c r="G701" s="229"/>
      <c r="H701" s="229"/>
      <c r="I701" s="229"/>
      <c r="J701" s="229"/>
      <c r="K701" s="229"/>
      <c r="L701" s="229"/>
      <c r="M701" s="229"/>
      <c r="N701" s="229"/>
      <c r="O701" s="229"/>
      <c r="P701" s="229"/>
      <c r="Q701" s="229"/>
      <c r="R701" s="229"/>
      <c r="S701" s="229"/>
      <c r="T701" s="229"/>
      <c r="U701" s="229"/>
      <c r="V701" s="229"/>
      <c r="W701" s="229"/>
      <c r="X701" s="229"/>
      <c r="Y701" s="229"/>
      <c r="Z701" s="229"/>
      <c r="AA701" s="229"/>
    </row>
    <row r="702" customFormat="false" ht="13.5" hidden="false" customHeight="true" outlineLevel="0" collapsed="false">
      <c r="A702" s="229"/>
      <c r="B702" s="229"/>
      <c r="C702" s="229"/>
      <c r="D702" s="229"/>
      <c r="E702" s="229"/>
      <c r="F702" s="229"/>
      <c r="G702" s="229"/>
      <c r="H702" s="229"/>
      <c r="I702" s="229"/>
      <c r="J702" s="229"/>
      <c r="K702" s="229"/>
      <c r="L702" s="229"/>
      <c r="M702" s="229"/>
      <c r="N702" s="229"/>
      <c r="O702" s="229"/>
      <c r="P702" s="229"/>
      <c r="Q702" s="229"/>
      <c r="R702" s="229"/>
      <c r="S702" s="229"/>
      <c r="T702" s="229"/>
      <c r="U702" s="229"/>
      <c r="V702" s="229"/>
      <c r="W702" s="229"/>
      <c r="X702" s="229"/>
      <c r="Y702" s="229"/>
      <c r="Z702" s="229"/>
      <c r="AA702" s="229"/>
    </row>
    <row r="703" customFormat="false" ht="13.5" hidden="false" customHeight="true" outlineLevel="0" collapsed="false">
      <c r="A703" s="229"/>
      <c r="B703" s="229"/>
      <c r="C703" s="229"/>
      <c r="D703" s="229"/>
      <c r="E703" s="229"/>
      <c r="F703" s="229"/>
      <c r="G703" s="229"/>
      <c r="H703" s="229"/>
      <c r="I703" s="229"/>
      <c r="J703" s="229"/>
      <c r="K703" s="229"/>
      <c r="L703" s="229"/>
      <c r="M703" s="229"/>
      <c r="N703" s="229"/>
      <c r="O703" s="229"/>
      <c r="P703" s="229"/>
      <c r="Q703" s="229"/>
      <c r="R703" s="229"/>
      <c r="S703" s="229"/>
      <c r="T703" s="229"/>
      <c r="U703" s="229"/>
      <c r="V703" s="229"/>
      <c r="W703" s="229"/>
      <c r="X703" s="229"/>
      <c r="Y703" s="229"/>
      <c r="Z703" s="229"/>
      <c r="AA703" s="229"/>
    </row>
    <row r="704" customFormat="false" ht="13.5" hidden="false" customHeight="true" outlineLevel="0" collapsed="false">
      <c r="A704" s="229"/>
      <c r="B704" s="229"/>
      <c r="C704" s="229"/>
      <c r="D704" s="229"/>
      <c r="E704" s="229"/>
      <c r="F704" s="229"/>
      <c r="G704" s="229"/>
      <c r="H704" s="229"/>
      <c r="I704" s="229"/>
      <c r="J704" s="229"/>
      <c r="K704" s="229"/>
      <c r="L704" s="229"/>
      <c r="M704" s="229"/>
      <c r="N704" s="229"/>
      <c r="O704" s="229"/>
      <c r="P704" s="229"/>
      <c r="Q704" s="229"/>
      <c r="R704" s="229"/>
      <c r="S704" s="229"/>
      <c r="T704" s="229"/>
      <c r="U704" s="229"/>
      <c r="V704" s="229"/>
      <c r="W704" s="229"/>
      <c r="X704" s="229"/>
      <c r="Y704" s="229"/>
      <c r="Z704" s="229"/>
      <c r="AA704" s="229"/>
    </row>
    <row r="705" customFormat="false" ht="13.5" hidden="false" customHeight="true" outlineLevel="0" collapsed="false">
      <c r="A705" s="229"/>
      <c r="B705" s="229"/>
      <c r="C705" s="229"/>
      <c r="D705" s="229"/>
      <c r="E705" s="229"/>
      <c r="F705" s="229"/>
      <c r="G705" s="229"/>
      <c r="H705" s="229"/>
      <c r="I705" s="229"/>
      <c r="J705" s="229"/>
      <c r="K705" s="229"/>
      <c r="L705" s="229"/>
      <c r="M705" s="229"/>
      <c r="N705" s="229"/>
      <c r="O705" s="229"/>
      <c r="P705" s="229"/>
      <c r="Q705" s="229"/>
      <c r="R705" s="229"/>
      <c r="S705" s="229"/>
      <c r="T705" s="229"/>
      <c r="U705" s="229"/>
      <c r="V705" s="229"/>
      <c r="W705" s="229"/>
      <c r="X705" s="229"/>
      <c r="Y705" s="229"/>
      <c r="Z705" s="229"/>
      <c r="AA705" s="229"/>
    </row>
    <row r="706" customFormat="false" ht="13.5" hidden="false" customHeight="true" outlineLevel="0" collapsed="false">
      <c r="A706" s="229"/>
      <c r="B706" s="229"/>
      <c r="C706" s="229"/>
      <c r="D706" s="229"/>
      <c r="E706" s="229"/>
      <c r="F706" s="229"/>
      <c r="G706" s="229"/>
      <c r="H706" s="229"/>
      <c r="I706" s="229"/>
      <c r="J706" s="229"/>
      <c r="K706" s="229"/>
      <c r="L706" s="229"/>
      <c r="M706" s="229"/>
      <c r="N706" s="229"/>
      <c r="O706" s="229"/>
      <c r="P706" s="229"/>
      <c r="Q706" s="229"/>
      <c r="R706" s="229"/>
      <c r="S706" s="229"/>
      <c r="T706" s="229"/>
      <c r="U706" s="229"/>
      <c r="V706" s="229"/>
      <c r="W706" s="229"/>
      <c r="X706" s="229"/>
      <c r="Y706" s="229"/>
      <c r="Z706" s="229"/>
      <c r="AA706" s="229"/>
    </row>
    <row r="707" customFormat="false" ht="13.5" hidden="false" customHeight="true" outlineLevel="0" collapsed="false">
      <c r="A707" s="229"/>
      <c r="B707" s="229"/>
      <c r="C707" s="229"/>
      <c r="D707" s="229"/>
      <c r="E707" s="229"/>
      <c r="F707" s="229"/>
      <c r="G707" s="229"/>
      <c r="H707" s="229"/>
      <c r="I707" s="229"/>
      <c r="J707" s="229"/>
      <c r="K707" s="229"/>
      <c r="L707" s="229"/>
      <c r="M707" s="229"/>
      <c r="N707" s="229"/>
      <c r="O707" s="229"/>
      <c r="P707" s="229"/>
      <c r="Q707" s="229"/>
      <c r="R707" s="229"/>
      <c r="S707" s="229"/>
      <c r="T707" s="229"/>
      <c r="U707" s="229"/>
      <c r="V707" s="229"/>
      <c r="W707" s="229"/>
      <c r="X707" s="229"/>
      <c r="Y707" s="229"/>
      <c r="Z707" s="229"/>
      <c r="AA707" s="229"/>
    </row>
    <row r="708" customFormat="false" ht="13.5" hidden="false" customHeight="true" outlineLevel="0" collapsed="false">
      <c r="A708" s="229"/>
      <c r="B708" s="229"/>
      <c r="C708" s="229"/>
      <c r="D708" s="229"/>
      <c r="E708" s="229"/>
      <c r="F708" s="229"/>
      <c r="G708" s="229"/>
      <c r="H708" s="229"/>
      <c r="I708" s="229"/>
      <c r="J708" s="229"/>
      <c r="K708" s="229"/>
      <c r="L708" s="229"/>
      <c r="M708" s="229"/>
      <c r="N708" s="229"/>
      <c r="O708" s="229"/>
      <c r="P708" s="229"/>
      <c r="Q708" s="229"/>
      <c r="R708" s="229"/>
      <c r="S708" s="229"/>
      <c r="T708" s="229"/>
      <c r="U708" s="229"/>
      <c r="V708" s="229"/>
      <c r="W708" s="229"/>
      <c r="X708" s="229"/>
      <c r="Y708" s="229"/>
      <c r="Z708" s="229"/>
      <c r="AA708" s="229"/>
    </row>
    <row r="709" customFormat="false" ht="13.5" hidden="false" customHeight="true" outlineLevel="0" collapsed="false">
      <c r="A709" s="229"/>
      <c r="B709" s="229"/>
      <c r="C709" s="229"/>
      <c r="D709" s="229"/>
      <c r="E709" s="229"/>
      <c r="F709" s="229"/>
      <c r="G709" s="229"/>
      <c r="H709" s="229"/>
      <c r="I709" s="229"/>
      <c r="J709" s="229"/>
      <c r="K709" s="229"/>
      <c r="L709" s="229"/>
      <c r="M709" s="229"/>
      <c r="N709" s="229"/>
      <c r="O709" s="229"/>
      <c r="P709" s="229"/>
      <c r="Q709" s="229"/>
      <c r="R709" s="229"/>
      <c r="S709" s="229"/>
      <c r="T709" s="229"/>
      <c r="U709" s="229"/>
      <c r="V709" s="229"/>
      <c r="W709" s="229"/>
      <c r="X709" s="229"/>
      <c r="Y709" s="229"/>
      <c r="Z709" s="229"/>
      <c r="AA709" s="229"/>
    </row>
    <row r="710" customFormat="false" ht="13.5" hidden="false" customHeight="true" outlineLevel="0" collapsed="false">
      <c r="A710" s="229"/>
      <c r="B710" s="229"/>
      <c r="C710" s="229"/>
      <c r="D710" s="229"/>
      <c r="E710" s="229"/>
      <c r="F710" s="229"/>
      <c r="G710" s="229"/>
      <c r="H710" s="229"/>
      <c r="I710" s="229"/>
      <c r="J710" s="229"/>
      <c r="K710" s="229"/>
      <c r="L710" s="229"/>
      <c r="M710" s="229"/>
      <c r="N710" s="229"/>
      <c r="O710" s="229"/>
      <c r="P710" s="229"/>
      <c r="Q710" s="229"/>
      <c r="R710" s="229"/>
      <c r="S710" s="229"/>
      <c r="T710" s="229"/>
      <c r="U710" s="229"/>
      <c r="V710" s="229"/>
      <c r="W710" s="229"/>
      <c r="X710" s="229"/>
      <c r="Y710" s="229"/>
      <c r="Z710" s="229"/>
      <c r="AA710" s="229"/>
    </row>
    <row r="711" customFormat="false" ht="13.5" hidden="false" customHeight="true" outlineLevel="0" collapsed="false">
      <c r="A711" s="229"/>
      <c r="B711" s="229"/>
      <c r="C711" s="229"/>
      <c r="D711" s="229"/>
      <c r="E711" s="229"/>
      <c r="F711" s="229"/>
      <c r="G711" s="229"/>
      <c r="H711" s="229"/>
      <c r="I711" s="229"/>
      <c r="J711" s="229"/>
      <c r="K711" s="229"/>
      <c r="L711" s="229"/>
      <c r="M711" s="229"/>
      <c r="N711" s="229"/>
      <c r="O711" s="229"/>
      <c r="P711" s="229"/>
      <c r="Q711" s="229"/>
      <c r="R711" s="229"/>
      <c r="S711" s="229"/>
      <c r="T711" s="229"/>
      <c r="U711" s="229"/>
      <c r="V711" s="229"/>
      <c r="W711" s="229"/>
      <c r="X711" s="229"/>
      <c r="Y711" s="229"/>
      <c r="Z711" s="229"/>
      <c r="AA711" s="229"/>
    </row>
    <row r="712" customFormat="false" ht="13.5" hidden="false" customHeight="true" outlineLevel="0" collapsed="false">
      <c r="A712" s="229"/>
      <c r="B712" s="229"/>
      <c r="C712" s="229"/>
      <c r="D712" s="229"/>
      <c r="E712" s="229"/>
      <c r="F712" s="229"/>
      <c r="G712" s="229"/>
      <c r="H712" s="229"/>
      <c r="I712" s="229"/>
      <c r="J712" s="229"/>
      <c r="K712" s="229"/>
      <c r="L712" s="229"/>
      <c r="M712" s="229"/>
      <c r="N712" s="229"/>
      <c r="O712" s="229"/>
      <c r="P712" s="229"/>
      <c r="Q712" s="229"/>
      <c r="R712" s="229"/>
      <c r="S712" s="229"/>
      <c r="T712" s="229"/>
      <c r="U712" s="229"/>
      <c r="V712" s="229"/>
      <c r="W712" s="229"/>
      <c r="X712" s="229"/>
      <c r="Y712" s="229"/>
      <c r="Z712" s="229"/>
      <c r="AA712" s="229"/>
    </row>
    <row r="713" customFormat="false" ht="13.5" hidden="false" customHeight="true" outlineLevel="0" collapsed="false">
      <c r="A713" s="229"/>
      <c r="B713" s="229"/>
      <c r="C713" s="229"/>
      <c r="D713" s="229"/>
      <c r="E713" s="229"/>
      <c r="F713" s="229"/>
      <c r="G713" s="229"/>
      <c r="H713" s="229"/>
      <c r="I713" s="229"/>
      <c r="J713" s="229"/>
      <c r="K713" s="229"/>
      <c r="L713" s="229"/>
      <c r="M713" s="229"/>
      <c r="N713" s="229"/>
      <c r="O713" s="229"/>
      <c r="P713" s="229"/>
      <c r="Q713" s="229"/>
      <c r="R713" s="229"/>
      <c r="S713" s="229"/>
      <c r="T713" s="229"/>
      <c r="U713" s="229"/>
      <c r="V713" s="229"/>
      <c r="W713" s="229"/>
      <c r="X713" s="229"/>
      <c r="Y713" s="229"/>
      <c r="Z713" s="229"/>
      <c r="AA713" s="229"/>
    </row>
    <row r="714" customFormat="false" ht="13.5" hidden="false" customHeight="true" outlineLevel="0" collapsed="false">
      <c r="A714" s="229"/>
      <c r="B714" s="229"/>
      <c r="C714" s="229"/>
      <c r="D714" s="229"/>
      <c r="E714" s="229"/>
      <c r="F714" s="229"/>
      <c r="G714" s="229"/>
      <c r="H714" s="229"/>
      <c r="I714" s="229"/>
      <c r="J714" s="229"/>
      <c r="K714" s="229"/>
      <c r="L714" s="229"/>
      <c r="M714" s="229"/>
      <c r="N714" s="229"/>
      <c r="O714" s="229"/>
      <c r="P714" s="229"/>
      <c r="Q714" s="229"/>
      <c r="R714" s="229"/>
      <c r="S714" s="229"/>
      <c r="T714" s="229"/>
      <c r="U714" s="229"/>
      <c r="V714" s="229"/>
      <c r="W714" s="229"/>
      <c r="X714" s="229"/>
      <c r="Y714" s="229"/>
      <c r="Z714" s="229"/>
      <c r="AA714" s="229"/>
    </row>
    <row r="715" customFormat="false" ht="13.5" hidden="false" customHeight="true" outlineLevel="0" collapsed="false">
      <c r="A715" s="229"/>
      <c r="B715" s="229"/>
      <c r="C715" s="229"/>
      <c r="D715" s="229"/>
      <c r="E715" s="229"/>
      <c r="F715" s="229"/>
      <c r="G715" s="229"/>
      <c r="H715" s="229"/>
      <c r="I715" s="229"/>
      <c r="J715" s="229"/>
      <c r="K715" s="229"/>
      <c r="L715" s="229"/>
      <c r="M715" s="229"/>
      <c r="N715" s="229"/>
      <c r="O715" s="229"/>
      <c r="P715" s="229"/>
      <c r="Q715" s="229"/>
      <c r="R715" s="229"/>
      <c r="S715" s="229"/>
      <c r="T715" s="229"/>
      <c r="U715" s="229"/>
      <c r="V715" s="229"/>
      <c r="W715" s="229"/>
      <c r="X715" s="229"/>
      <c r="Y715" s="229"/>
      <c r="Z715" s="229"/>
      <c r="AA715" s="229"/>
    </row>
    <row r="716" customFormat="false" ht="13.5" hidden="false" customHeight="true" outlineLevel="0" collapsed="false">
      <c r="A716" s="229"/>
      <c r="B716" s="229"/>
      <c r="C716" s="229"/>
      <c r="D716" s="229"/>
      <c r="E716" s="229"/>
      <c r="F716" s="229"/>
      <c r="G716" s="229"/>
      <c r="H716" s="229"/>
      <c r="I716" s="229"/>
      <c r="J716" s="229"/>
      <c r="K716" s="229"/>
      <c r="L716" s="229"/>
      <c r="M716" s="229"/>
      <c r="N716" s="229"/>
      <c r="O716" s="229"/>
      <c r="P716" s="229"/>
      <c r="Q716" s="229"/>
      <c r="R716" s="229"/>
      <c r="S716" s="229"/>
      <c r="T716" s="229"/>
      <c r="U716" s="229"/>
      <c r="V716" s="229"/>
      <c r="W716" s="229"/>
      <c r="X716" s="229"/>
      <c r="Y716" s="229"/>
      <c r="Z716" s="229"/>
      <c r="AA716" s="229"/>
    </row>
    <row r="717" customFormat="false" ht="13.5" hidden="false" customHeight="true" outlineLevel="0" collapsed="false">
      <c r="A717" s="229"/>
      <c r="B717" s="229"/>
      <c r="C717" s="229"/>
      <c r="D717" s="229"/>
      <c r="E717" s="229"/>
      <c r="F717" s="229"/>
      <c r="G717" s="229"/>
      <c r="H717" s="229"/>
      <c r="I717" s="229"/>
      <c r="J717" s="229"/>
      <c r="K717" s="229"/>
      <c r="L717" s="229"/>
      <c r="M717" s="229"/>
      <c r="N717" s="229"/>
      <c r="O717" s="229"/>
      <c r="P717" s="229"/>
      <c r="Q717" s="229"/>
      <c r="R717" s="229"/>
      <c r="S717" s="229"/>
      <c r="T717" s="229"/>
      <c r="U717" s="229"/>
      <c r="V717" s="229"/>
      <c r="W717" s="229"/>
      <c r="X717" s="229"/>
      <c r="Y717" s="229"/>
      <c r="Z717" s="229"/>
      <c r="AA717" s="229"/>
    </row>
    <row r="718" customFormat="false" ht="13.5" hidden="false" customHeight="true" outlineLevel="0" collapsed="false">
      <c r="A718" s="229"/>
      <c r="B718" s="229"/>
      <c r="C718" s="229"/>
      <c r="D718" s="229"/>
      <c r="E718" s="229"/>
      <c r="F718" s="229"/>
      <c r="G718" s="229"/>
      <c r="H718" s="229"/>
      <c r="I718" s="229"/>
      <c r="J718" s="229"/>
      <c r="K718" s="229"/>
      <c r="L718" s="229"/>
      <c r="M718" s="229"/>
      <c r="N718" s="229"/>
      <c r="O718" s="229"/>
      <c r="P718" s="229"/>
      <c r="Q718" s="229"/>
      <c r="R718" s="229"/>
      <c r="S718" s="229"/>
      <c r="T718" s="229"/>
      <c r="U718" s="229"/>
      <c r="V718" s="229"/>
      <c r="W718" s="229"/>
      <c r="X718" s="229"/>
      <c r="Y718" s="229"/>
      <c r="Z718" s="229"/>
      <c r="AA718" s="229"/>
    </row>
    <row r="719" customFormat="false" ht="13.5" hidden="false" customHeight="true" outlineLevel="0" collapsed="false">
      <c r="A719" s="229"/>
      <c r="B719" s="229"/>
      <c r="C719" s="229"/>
      <c r="D719" s="229"/>
      <c r="E719" s="229"/>
      <c r="F719" s="229"/>
      <c r="G719" s="229"/>
      <c r="H719" s="229"/>
      <c r="I719" s="229"/>
      <c r="J719" s="229"/>
      <c r="K719" s="229"/>
      <c r="L719" s="229"/>
      <c r="M719" s="229"/>
      <c r="N719" s="229"/>
      <c r="O719" s="229"/>
      <c r="P719" s="229"/>
      <c r="Q719" s="229"/>
      <c r="R719" s="229"/>
      <c r="S719" s="229"/>
      <c r="T719" s="229"/>
      <c r="U719" s="229"/>
      <c r="V719" s="229"/>
      <c r="W719" s="229"/>
      <c r="X719" s="229"/>
      <c r="Y719" s="229"/>
      <c r="Z719" s="229"/>
      <c r="AA719" s="229"/>
    </row>
    <row r="720" customFormat="false" ht="13.5" hidden="false" customHeight="true" outlineLevel="0" collapsed="false">
      <c r="A720" s="229"/>
      <c r="B720" s="229"/>
      <c r="C720" s="229"/>
      <c r="D720" s="229"/>
      <c r="E720" s="229"/>
      <c r="F720" s="229"/>
      <c r="G720" s="229"/>
      <c r="H720" s="229"/>
      <c r="I720" s="229"/>
      <c r="J720" s="229"/>
      <c r="K720" s="229"/>
      <c r="L720" s="229"/>
      <c r="M720" s="229"/>
      <c r="N720" s="229"/>
      <c r="O720" s="229"/>
      <c r="P720" s="229"/>
      <c r="Q720" s="229"/>
      <c r="R720" s="229"/>
      <c r="S720" s="229"/>
      <c r="T720" s="229"/>
      <c r="U720" s="229"/>
      <c r="V720" s="229"/>
      <c r="W720" s="229"/>
      <c r="X720" s="229"/>
      <c r="Y720" s="229"/>
      <c r="Z720" s="229"/>
      <c r="AA720" s="229"/>
    </row>
    <row r="721" customFormat="false" ht="13.5" hidden="false" customHeight="true" outlineLevel="0" collapsed="false">
      <c r="A721" s="229"/>
      <c r="B721" s="229"/>
      <c r="C721" s="229"/>
      <c r="D721" s="229"/>
      <c r="E721" s="229"/>
      <c r="F721" s="229"/>
      <c r="G721" s="229"/>
      <c r="H721" s="229"/>
      <c r="I721" s="229"/>
      <c r="J721" s="229"/>
      <c r="K721" s="229"/>
      <c r="L721" s="229"/>
      <c r="M721" s="229"/>
      <c r="N721" s="229"/>
      <c r="O721" s="229"/>
      <c r="P721" s="229"/>
      <c r="Q721" s="229"/>
      <c r="R721" s="229"/>
      <c r="S721" s="229"/>
      <c r="T721" s="229"/>
      <c r="U721" s="229"/>
      <c r="V721" s="229"/>
      <c r="W721" s="229"/>
      <c r="X721" s="229"/>
      <c r="Y721" s="229"/>
      <c r="Z721" s="229"/>
      <c r="AA721" s="229"/>
    </row>
    <row r="722" customFormat="false" ht="13.5" hidden="false" customHeight="true" outlineLevel="0" collapsed="false">
      <c r="A722" s="229"/>
      <c r="B722" s="229"/>
      <c r="C722" s="229"/>
      <c r="D722" s="229"/>
      <c r="E722" s="229"/>
      <c r="F722" s="229"/>
      <c r="G722" s="229"/>
      <c r="H722" s="229"/>
      <c r="I722" s="229"/>
      <c r="J722" s="229"/>
      <c r="K722" s="229"/>
      <c r="L722" s="229"/>
      <c r="M722" s="229"/>
      <c r="N722" s="229"/>
      <c r="O722" s="229"/>
      <c r="P722" s="229"/>
      <c r="Q722" s="229"/>
      <c r="R722" s="229"/>
      <c r="S722" s="229"/>
      <c r="T722" s="229"/>
      <c r="U722" s="229"/>
      <c r="V722" s="229"/>
      <c r="W722" s="229"/>
      <c r="X722" s="229"/>
      <c r="Y722" s="229"/>
      <c r="Z722" s="229"/>
      <c r="AA722" s="229"/>
    </row>
    <row r="723" customFormat="false" ht="13.5" hidden="false" customHeight="true" outlineLevel="0" collapsed="false">
      <c r="A723" s="229"/>
      <c r="B723" s="229"/>
      <c r="C723" s="229"/>
      <c r="D723" s="229"/>
      <c r="E723" s="229"/>
      <c r="F723" s="229"/>
      <c r="G723" s="229"/>
      <c r="H723" s="229"/>
      <c r="I723" s="229"/>
      <c r="J723" s="229"/>
      <c r="K723" s="229"/>
      <c r="L723" s="229"/>
      <c r="M723" s="229"/>
      <c r="N723" s="229"/>
      <c r="O723" s="229"/>
      <c r="P723" s="229"/>
      <c r="Q723" s="229"/>
      <c r="R723" s="229"/>
      <c r="S723" s="229"/>
      <c r="T723" s="229"/>
      <c r="U723" s="229"/>
      <c r="V723" s="229"/>
      <c r="W723" s="229"/>
      <c r="X723" s="229"/>
      <c r="Y723" s="229"/>
      <c r="Z723" s="229"/>
      <c r="AA723" s="229"/>
    </row>
    <row r="724" customFormat="false" ht="13.5" hidden="false" customHeight="true" outlineLevel="0" collapsed="false">
      <c r="A724" s="229"/>
      <c r="B724" s="229"/>
      <c r="C724" s="229"/>
      <c r="D724" s="229"/>
      <c r="E724" s="229"/>
      <c r="F724" s="229"/>
      <c r="G724" s="229"/>
      <c r="H724" s="229"/>
      <c r="I724" s="229"/>
      <c r="J724" s="229"/>
      <c r="K724" s="229"/>
      <c r="L724" s="229"/>
      <c r="M724" s="229"/>
      <c r="N724" s="229"/>
      <c r="O724" s="229"/>
      <c r="P724" s="229"/>
      <c r="Q724" s="229"/>
      <c r="R724" s="229"/>
      <c r="S724" s="229"/>
      <c r="T724" s="229"/>
      <c r="U724" s="229"/>
      <c r="V724" s="229"/>
      <c r="W724" s="229"/>
      <c r="X724" s="229"/>
      <c r="Y724" s="229"/>
      <c r="Z724" s="229"/>
      <c r="AA724" s="229"/>
    </row>
    <row r="725" customFormat="false" ht="13.5" hidden="false" customHeight="true" outlineLevel="0" collapsed="false">
      <c r="A725" s="229"/>
      <c r="B725" s="229"/>
      <c r="C725" s="229"/>
      <c r="D725" s="229"/>
      <c r="E725" s="229"/>
      <c r="F725" s="229"/>
      <c r="G725" s="229"/>
      <c r="H725" s="229"/>
      <c r="I725" s="229"/>
      <c r="J725" s="229"/>
      <c r="K725" s="229"/>
      <c r="L725" s="229"/>
      <c r="M725" s="229"/>
      <c r="N725" s="229"/>
      <c r="O725" s="229"/>
      <c r="P725" s="229"/>
      <c r="Q725" s="229"/>
      <c r="R725" s="229"/>
      <c r="S725" s="229"/>
      <c r="T725" s="229"/>
      <c r="U725" s="229"/>
      <c r="V725" s="229"/>
      <c r="W725" s="229"/>
      <c r="X725" s="229"/>
      <c r="Y725" s="229"/>
      <c r="Z725" s="229"/>
      <c r="AA725" s="229"/>
    </row>
    <row r="726" customFormat="false" ht="13.5" hidden="false" customHeight="true" outlineLevel="0" collapsed="false">
      <c r="A726" s="229"/>
      <c r="B726" s="229"/>
      <c r="C726" s="229"/>
      <c r="D726" s="229"/>
      <c r="E726" s="229"/>
      <c r="F726" s="229"/>
      <c r="G726" s="229"/>
      <c r="H726" s="229"/>
      <c r="I726" s="229"/>
      <c r="J726" s="229"/>
      <c r="K726" s="229"/>
      <c r="L726" s="229"/>
      <c r="M726" s="229"/>
      <c r="N726" s="229"/>
      <c r="O726" s="229"/>
      <c r="P726" s="229"/>
      <c r="Q726" s="229"/>
      <c r="R726" s="229"/>
      <c r="S726" s="229"/>
      <c r="T726" s="229"/>
      <c r="U726" s="229"/>
      <c r="V726" s="229"/>
      <c r="W726" s="229"/>
      <c r="X726" s="229"/>
      <c r="Y726" s="229"/>
      <c r="Z726" s="229"/>
      <c r="AA726" s="229"/>
    </row>
    <row r="727" customFormat="false" ht="13.5" hidden="false" customHeight="true" outlineLevel="0" collapsed="false">
      <c r="A727" s="229"/>
      <c r="B727" s="229"/>
      <c r="C727" s="229"/>
      <c r="D727" s="229"/>
      <c r="E727" s="229"/>
      <c r="F727" s="229"/>
      <c r="G727" s="229"/>
      <c r="H727" s="229"/>
      <c r="I727" s="229"/>
      <c r="J727" s="229"/>
      <c r="K727" s="229"/>
      <c r="L727" s="229"/>
      <c r="M727" s="229"/>
      <c r="N727" s="229"/>
      <c r="O727" s="229"/>
      <c r="P727" s="229"/>
      <c r="Q727" s="229"/>
      <c r="R727" s="229"/>
      <c r="S727" s="229"/>
      <c r="T727" s="229"/>
      <c r="U727" s="229"/>
      <c r="V727" s="229"/>
      <c r="W727" s="229"/>
      <c r="X727" s="229"/>
      <c r="Y727" s="229"/>
      <c r="Z727" s="229"/>
      <c r="AA727" s="229"/>
    </row>
    <row r="728" customFormat="false" ht="13.5" hidden="false" customHeight="true" outlineLevel="0" collapsed="false">
      <c r="A728" s="229"/>
      <c r="B728" s="229"/>
      <c r="C728" s="229"/>
      <c r="D728" s="229"/>
      <c r="E728" s="229"/>
      <c r="F728" s="229"/>
      <c r="G728" s="229"/>
      <c r="H728" s="229"/>
      <c r="I728" s="229"/>
      <c r="J728" s="229"/>
      <c r="K728" s="229"/>
      <c r="L728" s="229"/>
      <c r="M728" s="229"/>
      <c r="N728" s="229"/>
      <c r="O728" s="229"/>
      <c r="P728" s="229"/>
      <c r="Q728" s="229"/>
      <c r="R728" s="229"/>
      <c r="S728" s="229"/>
      <c r="T728" s="229"/>
      <c r="U728" s="229"/>
      <c r="V728" s="229"/>
      <c r="W728" s="229"/>
      <c r="X728" s="229"/>
      <c r="Y728" s="229"/>
      <c r="Z728" s="229"/>
      <c r="AA728" s="229"/>
    </row>
    <row r="729" customFormat="false" ht="13.5" hidden="false" customHeight="true" outlineLevel="0" collapsed="false">
      <c r="A729" s="229"/>
      <c r="B729" s="229"/>
      <c r="C729" s="229"/>
      <c r="D729" s="229"/>
      <c r="E729" s="229"/>
      <c r="F729" s="229"/>
      <c r="G729" s="229"/>
      <c r="H729" s="229"/>
      <c r="I729" s="229"/>
      <c r="J729" s="229"/>
      <c r="K729" s="229"/>
      <c r="L729" s="229"/>
      <c r="M729" s="229"/>
      <c r="N729" s="229"/>
      <c r="O729" s="229"/>
      <c r="P729" s="229"/>
      <c r="Q729" s="229"/>
      <c r="R729" s="229"/>
      <c r="S729" s="229"/>
      <c r="T729" s="229"/>
      <c r="U729" s="229"/>
      <c r="V729" s="229"/>
      <c r="W729" s="229"/>
      <c r="X729" s="229"/>
      <c r="Y729" s="229"/>
      <c r="Z729" s="229"/>
      <c r="AA729" s="229"/>
    </row>
    <row r="730" customFormat="false" ht="13.5" hidden="false" customHeight="true" outlineLevel="0" collapsed="false">
      <c r="A730" s="229"/>
      <c r="B730" s="229"/>
      <c r="C730" s="229"/>
      <c r="D730" s="229"/>
      <c r="E730" s="229"/>
      <c r="F730" s="229"/>
      <c r="G730" s="229"/>
      <c r="H730" s="229"/>
      <c r="I730" s="229"/>
      <c r="J730" s="229"/>
      <c r="K730" s="229"/>
      <c r="L730" s="229"/>
      <c r="M730" s="229"/>
      <c r="N730" s="229"/>
      <c r="O730" s="229"/>
      <c r="P730" s="229"/>
      <c r="Q730" s="229"/>
      <c r="R730" s="229"/>
      <c r="S730" s="229"/>
      <c r="T730" s="229"/>
      <c r="U730" s="229"/>
      <c r="V730" s="229"/>
      <c r="W730" s="229"/>
      <c r="X730" s="229"/>
      <c r="Y730" s="229"/>
      <c r="Z730" s="229"/>
      <c r="AA730" s="229"/>
    </row>
    <row r="731" customFormat="false" ht="13.5" hidden="false" customHeight="true" outlineLevel="0" collapsed="false">
      <c r="A731" s="229"/>
      <c r="B731" s="229"/>
      <c r="C731" s="229"/>
      <c r="D731" s="229"/>
      <c r="E731" s="229"/>
      <c r="F731" s="229"/>
      <c r="G731" s="229"/>
      <c r="H731" s="229"/>
      <c r="I731" s="229"/>
      <c r="J731" s="229"/>
      <c r="K731" s="229"/>
      <c r="L731" s="229"/>
      <c r="M731" s="229"/>
      <c r="N731" s="229"/>
      <c r="O731" s="229"/>
      <c r="P731" s="229"/>
      <c r="Q731" s="229"/>
      <c r="R731" s="229"/>
      <c r="S731" s="229"/>
      <c r="T731" s="229"/>
      <c r="U731" s="229"/>
      <c r="V731" s="229"/>
      <c r="W731" s="229"/>
      <c r="X731" s="229"/>
      <c r="Y731" s="229"/>
      <c r="Z731" s="229"/>
      <c r="AA731" s="229"/>
    </row>
    <row r="732" customFormat="false" ht="13.5" hidden="false" customHeight="true" outlineLevel="0" collapsed="false">
      <c r="A732" s="229"/>
      <c r="B732" s="229"/>
      <c r="C732" s="229"/>
      <c r="D732" s="229"/>
      <c r="E732" s="229"/>
      <c r="F732" s="229"/>
      <c r="G732" s="229"/>
      <c r="H732" s="229"/>
      <c r="I732" s="229"/>
      <c r="J732" s="229"/>
      <c r="K732" s="229"/>
      <c r="L732" s="229"/>
      <c r="M732" s="229"/>
      <c r="N732" s="229"/>
      <c r="O732" s="229"/>
      <c r="P732" s="229"/>
      <c r="Q732" s="229"/>
      <c r="R732" s="229"/>
      <c r="S732" s="229"/>
      <c r="T732" s="229"/>
      <c r="U732" s="229"/>
      <c r="V732" s="229"/>
      <c r="W732" s="229"/>
      <c r="X732" s="229"/>
      <c r="Y732" s="229"/>
      <c r="Z732" s="229"/>
      <c r="AA732" s="229"/>
    </row>
    <row r="733" customFormat="false" ht="13.5" hidden="false" customHeight="true" outlineLevel="0" collapsed="false">
      <c r="A733" s="229"/>
      <c r="B733" s="229"/>
      <c r="C733" s="229"/>
      <c r="D733" s="229"/>
      <c r="E733" s="229"/>
      <c r="F733" s="229"/>
      <c r="G733" s="229"/>
      <c r="H733" s="229"/>
      <c r="I733" s="229"/>
      <c r="J733" s="229"/>
      <c r="K733" s="229"/>
      <c r="L733" s="229"/>
      <c r="M733" s="229"/>
      <c r="N733" s="229"/>
      <c r="O733" s="229"/>
      <c r="P733" s="229"/>
      <c r="Q733" s="229"/>
      <c r="R733" s="229"/>
      <c r="S733" s="229"/>
      <c r="T733" s="229"/>
      <c r="U733" s="229"/>
      <c r="V733" s="229"/>
      <c r="W733" s="229"/>
      <c r="X733" s="229"/>
      <c r="Y733" s="229"/>
      <c r="Z733" s="229"/>
      <c r="AA733" s="229"/>
    </row>
    <row r="734" customFormat="false" ht="13.5" hidden="false" customHeight="true" outlineLevel="0" collapsed="false">
      <c r="A734" s="229"/>
      <c r="B734" s="229"/>
      <c r="C734" s="229"/>
      <c r="D734" s="229"/>
      <c r="E734" s="229"/>
      <c r="F734" s="229"/>
      <c r="G734" s="229"/>
      <c r="H734" s="229"/>
      <c r="I734" s="229"/>
      <c r="J734" s="229"/>
      <c r="K734" s="229"/>
      <c r="L734" s="229"/>
      <c r="M734" s="229"/>
      <c r="N734" s="229"/>
      <c r="O734" s="229"/>
      <c r="P734" s="229"/>
      <c r="Q734" s="229"/>
      <c r="R734" s="229"/>
      <c r="S734" s="229"/>
      <c r="T734" s="229"/>
      <c r="U734" s="229"/>
      <c r="V734" s="229"/>
      <c r="W734" s="229"/>
      <c r="X734" s="229"/>
      <c r="Y734" s="229"/>
      <c r="Z734" s="229"/>
      <c r="AA734" s="229"/>
    </row>
    <row r="735" customFormat="false" ht="13.5" hidden="false" customHeight="true" outlineLevel="0" collapsed="false">
      <c r="A735" s="229"/>
      <c r="B735" s="229"/>
      <c r="C735" s="229"/>
      <c r="D735" s="229"/>
      <c r="E735" s="229"/>
      <c r="F735" s="229"/>
      <c r="G735" s="229"/>
      <c r="H735" s="229"/>
      <c r="I735" s="229"/>
      <c r="J735" s="229"/>
      <c r="K735" s="229"/>
      <c r="L735" s="229"/>
      <c r="M735" s="229"/>
      <c r="N735" s="229"/>
      <c r="O735" s="229"/>
      <c r="P735" s="229"/>
      <c r="Q735" s="229"/>
      <c r="R735" s="229"/>
      <c r="S735" s="229"/>
      <c r="T735" s="229"/>
      <c r="U735" s="229"/>
      <c r="V735" s="229"/>
      <c r="W735" s="229"/>
      <c r="X735" s="229"/>
      <c r="Y735" s="229"/>
      <c r="Z735" s="229"/>
      <c r="AA735" s="229"/>
    </row>
    <row r="736" customFormat="false" ht="13.5" hidden="false" customHeight="true" outlineLevel="0" collapsed="false">
      <c r="A736" s="229"/>
      <c r="B736" s="229"/>
      <c r="C736" s="229"/>
      <c r="D736" s="229"/>
      <c r="E736" s="229"/>
      <c r="F736" s="229"/>
      <c r="G736" s="229"/>
      <c r="H736" s="229"/>
      <c r="I736" s="229"/>
      <c r="J736" s="229"/>
      <c r="K736" s="229"/>
      <c r="L736" s="229"/>
      <c r="M736" s="229"/>
      <c r="N736" s="229"/>
      <c r="O736" s="229"/>
      <c r="P736" s="229"/>
      <c r="Q736" s="229"/>
      <c r="R736" s="229"/>
      <c r="S736" s="229"/>
      <c r="T736" s="229"/>
      <c r="U736" s="229"/>
      <c r="V736" s="229"/>
      <c r="W736" s="229"/>
      <c r="X736" s="229"/>
      <c r="Y736" s="229"/>
      <c r="Z736" s="229"/>
      <c r="AA736" s="229"/>
    </row>
    <row r="737" customFormat="false" ht="13.5" hidden="false" customHeight="true" outlineLevel="0" collapsed="false">
      <c r="A737" s="229"/>
      <c r="B737" s="229"/>
      <c r="C737" s="229"/>
      <c r="D737" s="229"/>
      <c r="E737" s="229"/>
      <c r="F737" s="229"/>
      <c r="G737" s="229"/>
      <c r="H737" s="229"/>
      <c r="I737" s="229"/>
      <c r="J737" s="229"/>
      <c r="K737" s="229"/>
      <c r="L737" s="229"/>
      <c r="M737" s="229"/>
      <c r="N737" s="229"/>
      <c r="O737" s="229"/>
      <c r="P737" s="229"/>
      <c r="Q737" s="229"/>
      <c r="R737" s="229"/>
      <c r="S737" s="229"/>
      <c r="T737" s="229"/>
      <c r="U737" s="229"/>
      <c r="V737" s="229"/>
      <c r="W737" s="229"/>
      <c r="X737" s="229"/>
      <c r="Y737" s="229"/>
      <c r="Z737" s="229"/>
      <c r="AA737" s="229"/>
    </row>
    <row r="738" customFormat="false" ht="13.5" hidden="false" customHeight="true" outlineLevel="0" collapsed="false">
      <c r="A738" s="229"/>
      <c r="B738" s="229"/>
      <c r="C738" s="229"/>
      <c r="D738" s="229"/>
      <c r="E738" s="229"/>
      <c r="F738" s="229"/>
      <c r="G738" s="229"/>
      <c r="H738" s="229"/>
      <c r="I738" s="229"/>
      <c r="J738" s="229"/>
      <c r="K738" s="229"/>
      <c r="L738" s="229"/>
      <c r="M738" s="229"/>
      <c r="N738" s="229"/>
      <c r="O738" s="229"/>
      <c r="P738" s="229"/>
      <c r="Q738" s="229"/>
      <c r="R738" s="229"/>
      <c r="S738" s="229"/>
      <c r="T738" s="229"/>
      <c r="U738" s="229"/>
      <c r="V738" s="229"/>
      <c r="W738" s="229"/>
      <c r="X738" s="229"/>
      <c r="Y738" s="229"/>
      <c r="Z738" s="229"/>
      <c r="AA738" s="229"/>
    </row>
    <row r="739" customFormat="false" ht="13.5" hidden="false" customHeight="true" outlineLevel="0" collapsed="false">
      <c r="A739" s="229"/>
      <c r="B739" s="229"/>
      <c r="C739" s="229"/>
      <c r="D739" s="229"/>
      <c r="E739" s="229"/>
      <c r="F739" s="229"/>
      <c r="G739" s="229"/>
      <c r="H739" s="229"/>
      <c r="I739" s="229"/>
      <c r="J739" s="229"/>
      <c r="K739" s="229"/>
      <c r="L739" s="229"/>
      <c r="M739" s="229"/>
      <c r="N739" s="229"/>
      <c r="O739" s="229"/>
      <c r="P739" s="229"/>
      <c r="Q739" s="229"/>
      <c r="R739" s="229"/>
      <c r="S739" s="229"/>
      <c r="T739" s="229"/>
      <c r="U739" s="229"/>
      <c r="V739" s="229"/>
      <c r="W739" s="229"/>
      <c r="X739" s="229"/>
      <c r="Y739" s="229"/>
      <c r="Z739" s="229"/>
      <c r="AA739" s="229"/>
    </row>
    <row r="740" customFormat="false" ht="13.5" hidden="false" customHeight="true" outlineLevel="0" collapsed="false">
      <c r="A740" s="229"/>
      <c r="B740" s="229"/>
      <c r="C740" s="229"/>
      <c r="D740" s="229"/>
      <c r="E740" s="229"/>
      <c r="F740" s="229"/>
      <c r="G740" s="229"/>
      <c r="H740" s="229"/>
      <c r="I740" s="229"/>
      <c r="J740" s="229"/>
      <c r="K740" s="229"/>
      <c r="L740" s="229"/>
      <c r="M740" s="229"/>
      <c r="N740" s="229"/>
      <c r="O740" s="229"/>
      <c r="P740" s="229"/>
      <c r="Q740" s="229"/>
      <c r="R740" s="229"/>
      <c r="S740" s="229"/>
      <c r="T740" s="229"/>
      <c r="U740" s="229"/>
      <c r="V740" s="229"/>
      <c r="W740" s="229"/>
      <c r="X740" s="229"/>
      <c r="Y740" s="229"/>
      <c r="Z740" s="229"/>
      <c r="AA740" s="229"/>
    </row>
    <row r="741" customFormat="false" ht="13.5" hidden="false" customHeight="true" outlineLevel="0" collapsed="false">
      <c r="A741" s="229"/>
      <c r="B741" s="229"/>
      <c r="C741" s="229"/>
      <c r="D741" s="229"/>
      <c r="E741" s="229"/>
      <c r="F741" s="229"/>
      <c r="G741" s="229"/>
      <c r="H741" s="229"/>
      <c r="I741" s="229"/>
      <c r="J741" s="229"/>
      <c r="K741" s="229"/>
      <c r="L741" s="229"/>
      <c r="M741" s="229"/>
      <c r="N741" s="229"/>
      <c r="O741" s="229"/>
      <c r="P741" s="229"/>
      <c r="Q741" s="229"/>
      <c r="R741" s="229"/>
      <c r="S741" s="229"/>
      <c r="T741" s="229"/>
      <c r="U741" s="229"/>
      <c r="V741" s="229"/>
      <c r="W741" s="229"/>
      <c r="X741" s="229"/>
      <c r="Y741" s="229"/>
      <c r="Z741" s="229"/>
      <c r="AA741" s="229"/>
    </row>
    <row r="742" customFormat="false" ht="13.5" hidden="false" customHeight="true" outlineLevel="0" collapsed="false">
      <c r="A742" s="229"/>
      <c r="B742" s="229"/>
      <c r="C742" s="229"/>
      <c r="D742" s="229"/>
      <c r="E742" s="229"/>
      <c r="F742" s="229"/>
      <c r="G742" s="229"/>
      <c r="H742" s="229"/>
      <c r="I742" s="229"/>
      <c r="J742" s="229"/>
      <c r="K742" s="229"/>
      <c r="L742" s="229"/>
      <c r="M742" s="229"/>
      <c r="N742" s="229"/>
      <c r="O742" s="229"/>
      <c r="P742" s="229"/>
      <c r="Q742" s="229"/>
      <c r="R742" s="229"/>
      <c r="S742" s="229"/>
      <c r="T742" s="229"/>
      <c r="U742" s="229"/>
      <c r="V742" s="229"/>
      <c r="W742" s="229"/>
      <c r="X742" s="229"/>
      <c r="Y742" s="229"/>
      <c r="Z742" s="229"/>
      <c r="AA742" s="229"/>
    </row>
    <row r="743" customFormat="false" ht="13.5" hidden="false" customHeight="true" outlineLevel="0" collapsed="false">
      <c r="A743" s="229"/>
      <c r="B743" s="229"/>
      <c r="C743" s="229"/>
      <c r="D743" s="229"/>
      <c r="E743" s="229"/>
      <c r="F743" s="229"/>
      <c r="G743" s="229"/>
      <c r="H743" s="229"/>
      <c r="I743" s="229"/>
      <c r="J743" s="229"/>
      <c r="K743" s="229"/>
      <c r="L743" s="229"/>
      <c r="M743" s="229"/>
      <c r="N743" s="229"/>
      <c r="O743" s="229"/>
      <c r="P743" s="229"/>
      <c r="Q743" s="229"/>
      <c r="R743" s="229"/>
      <c r="S743" s="229"/>
      <c r="T743" s="229"/>
      <c r="U743" s="229"/>
      <c r="V743" s="229"/>
      <c r="W743" s="229"/>
      <c r="X743" s="229"/>
      <c r="Y743" s="229"/>
      <c r="Z743" s="229"/>
      <c r="AA743" s="229"/>
    </row>
    <row r="744" customFormat="false" ht="13.5" hidden="false" customHeight="true" outlineLevel="0" collapsed="false">
      <c r="A744" s="229"/>
      <c r="B744" s="229"/>
      <c r="C744" s="229"/>
      <c r="D744" s="229"/>
      <c r="E744" s="229"/>
      <c r="F744" s="229"/>
      <c r="G744" s="229"/>
      <c r="H744" s="229"/>
      <c r="I744" s="229"/>
      <c r="J744" s="229"/>
      <c r="K744" s="229"/>
      <c r="L744" s="229"/>
      <c r="M744" s="229"/>
      <c r="N744" s="229"/>
      <c r="O744" s="229"/>
      <c r="P744" s="229"/>
      <c r="Q744" s="229"/>
      <c r="R744" s="229"/>
      <c r="S744" s="229"/>
      <c r="T744" s="229"/>
      <c r="U744" s="229"/>
      <c r="V744" s="229"/>
      <c r="W744" s="229"/>
      <c r="X744" s="229"/>
      <c r="Y744" s="229"/>
      <c r="Z744" s="229"/>
      <c r="AA744" s="229"/>
    </row>
    <row r="745" customFormat="false" ht="13.5" hidden="false" customHeight="true" outlineLevel="0" collapsed="false">
      <c r="A745" s="229"/>
      <c r="B745" s="229"/>
      <c r="C745" s="229"/>
      <c r="D745" s="229"/>
      <c r="E745" s="229"/>
      <c r="F745" s="229"/>
      <c r="G745" s="229"/>
      <c r="H745" s="229"/>
      <c r="I745" s="229"/>
      <c r="J745" s="229"/>
      <c r="K745" s="229"/>
      <c r="L745" s="229"/>
      <c r="M745" s="229"/>
      <c r="N745" s="229"/>
      <c r="O745" s="229"/>
      <c r="P745" s="229"/>
      <c r="Q745" s="229"/>
      <c r="R745" s="229"/>
      <c r="S745" s="229"/>
      <c r="T745" s="229"/>
      <c r="U745" s="229"/>
      <c r="V745" s="229"/>
      <c r="W745" s="229"/>
      <c r="X745" s="229"/>
      <c r="Y745" s="229"/>
      <c r="Z745" s="229"/>
      <c r="AA745" s="229"/>
    </row>
    <row r="746" customFormat="false" ht="13.5" hidden="false" customHeight="true" outlineLevel="0" collapsed="false">
      <c r="A746" s="229"/>
      <c r="B746" s="229"/>
      <c r="C746" s="229"/>
      <c r="D746" s="229"/>
      <c r="E746" s="229"/>
      <c r="F746" s="229"/>
      <c r="G746" s="229"/>
      <c r="H746" s="229"/>
      <c r="I746" s="229"/>
      <c r="J746" s="229"/>
      <c r="K746" s="229"/>
      <c r="L746" s="229"/>
      <c r="M746" s="229"/>
      <c r="N746" s="229"/>
      <c r="O746" s="229"/>
      <c r="P746" s="229"/>
      <c r="Q746" s="229"/>
      <c r="R746" s="229"/>
      <c r="S746" s="229"/>
      <c r="T746" s="229"/>
      <c r="U746" s="229"/>
      <c r="V746" s="229"/>
      <c r="W746" s="229"/>
      <c r="X746" s="229"/>
      <c r="Y746" s="229"/>
      <c r="Z746" s="229"/>
      <c r="AA746" s="229"/>
    </row>
    <row r="747" customFormat="false" ht="13.5" hidden="false" customHeight="true" outlineLevel="0" collapsed="false">
      <c r="A747" s="229"/>
      <c r="B747" s="229"/>
      <c r="C747" s="229"/>
      <c r="D747" s="229"/>
      <c r="E747" s="229"/>
      <c r="F747" s="229"/>
      <c r="G747" s="229"/>
      <c r="H747" s="229"/>
      <c r="I747" s="229"/>
      <c r="J747" s="229"/>
      <c r="K747" s="229"/>
      <c r="L747" s="229"/>
      <c r="M747" s="229"/>
      <c r="N747" s="229"/>
      <c r="O747" s="229"/>
      <c r="P747" s="229"/>
      <c r="Q747" s="229"/>
      <c r="R747" s="229"/>
      <c r="S747" s="229"/>
      <c r="T747" s="229"/>
      <c r="U747" s="229"/>
      <c r="V747" s="229"/>
      <c r="W747" s="229"/>
      <c r="X747" s="229"/>
      <c r="Y747" s="229"/>
      <c r="Z747" s="229"/>
      <c r="AA747" s="229"/>
    </row>
    <row r="748" customFormat="false" ht="13.5" hidden="false" customHeight="true" outlineLevel="0" collapsed="false">
      <c r="A748" s="229"/>
      <c r="B748" s="229"/>
      <c r="C748" s="229"/>
      <c r="D748" s="229"/>
      <c r="E748" s="229"/>
      <c r="F748" s="229"/>
      <c r="G748" s="229"/>
      <c r="H748" s="229"/>
      <c r="I748" s="229"/>
      <c r="J748" s="229"/>
      <c r="K748" s="229"/>
      <c r="L748" s="229"/>
      <c r="M748" s="229"/>
      <c r="N748" s="229"/>
      <c r="O748" s="229"/>
      <c r="P748" s="229"/>
      <c r="Q748" s="229"/>
      <c r="R748" s="229"/>
      <c r="S748" s="229"/>
      <c r="T748" s="229"/>
      <c r="U748" s="229"/>
      <c r="V748" s="229"/>
      <c r="W748" s="229"/>
      <c r="X748" s="229"/>
      <c r="Y748" s="229"/>
      <c r="Z748" s="229"/>
      <c r="AA748" s="229"/>
    </row>
    <row r="749" customFormat="false" ht="13.5" hidden="false" customHeight="true" outlineLevel="0" collapsed="false">
      <c r="A749" s="229"/>
      <c r="B749" s="229"/>
      <c r="C749" s="229"/>
      <c r="D749" s="229"/>
      <c r="E749" s="229"/>
      <c r="F749" s="229"/>
      <c r="G749" s="229"/>
      <c r="H749" s="229"/>
      <c r="I749" s="229"/>
      <c r="J749" s="229"/>
      <c r="K749" s="229"/>
      <c r="L749" s="229"/>
      <c r="M749" s="229"/>
      <c r="N749" s="229"/>
      <c r="O749" s="229"/>
      <c r="P749" s="229"/>
      <c r="Q749" s="229"/>
      <c r="R749" s="229"/>
      <c r="S749" s="229"/>
      <c r="T749" s="229"/>
      <c r="U749" s="229"/>
      <c r="V749" s="229"/>
      <c r="W749" s="229"/>
      <c r="X749" s="229"/>
      <c r="Y749" s="229"/>
      <c r="Z749" s="229"/>
      <c r="AA749" s="229"/>
    </row>
    <row r="750" customFormat="false" ht="13.5" hidden="false" customHeight="true" outlineLevel="0" collapsed="false">
      <c r="A750" s="229"/>
      <c r="B750" s="229"/>
      <c r="C750" s="229"/>
      <c r="D750" s="229"/>
      <c r="E750" s="229"/>
      <c r="F750" s="229"/>
      <c r="G750" s="229"/>
      <c r="H750" s="229"/>
      <c r="I750" s="229"/>
      <c r="J750" s="229"/>
      <c r="K750" s="229"/>
      <c r="L750" s="229"/>
      <c r="M750" s="229"/>
      <c r="N750" s="229"/>
      <c r="O750" s="229"/>
      <c r="P750" s="229"/>
      <c r="Q750" s="229"/>
      <c r="R750" s="229"/>
      <c r="S750" s="229"/>
      <c r="T750" s="229"/>
      <c r="U750" s="229"/>
      <c r="V750" s="229"/>
      <c r="W750" s="229"/>
      <c r="X750" s="229"/>
      <c r="Y750" s="229"/>
      <c r="Z750" s="229"/>
      <c r="AA750" s="229"/>
    </row>
    <row r="751" customFormat="false" ht="13.5" hidden="false" customHeight="true" outlineLevel="0" collapsed="false">
      <c r="A751" s="229"/>
      <c r="B751" s="229"/>
      <c r="C751" s="229"/>
      <c r="D751" s="229"/>
      <c r="E751" s="229"/>
      <c r="F751" s="229"/>
      <c r="G751" s="229"/>
      <c r="H751" s="229"/>
      <c r="I751" s="229"/>
      <c r="J751" s="229"/>
      <c r="K751" s="229"/>
      <c r="L751" s="229"/>
      <c r="M751" s="229"/>
      <c r="N751" s="229"/>
      <c r="O751" s="229"/>
      <c r="P751" s="229"/>
      <c r="Q751" s="229"/>
      <c r="R751" s="229"/>
      <c r="S751" s="229"/>
      <c r="T751" s="229"/>
      <c r="U751" s="229"/>
      <c r="V751" s="229"/>
      <c r="W751" s="229"/>
      <c r="X751" s="229"/>
      <c r="Y751" s="229"/>
      <c r="Z751" s="229"/>
      <c r="AA751" s="229"/>
    </row>
    <row r="752" customFormat="false" ht="13.5" hidden="false" customHeight="true" outlineLevel="0" collapsed="false">
      <c r="A752" s="229"/>
      <c r="B752" s="229"/>
      <c r="C752" s="229"/>
      <c r="D752" s="229"/>
      <c r="E752" s="229"/>
      <c r="F752" s="229"/>
      <c r="G752" s="229"/>
      <c r="H752" s="229"/>
      <c r="I752" s="229"/>
      <c r="J752" s="229"/>
      <c r="K752" s="229"/>
      <c r="L752" s="229"/>
      <c r="M752" s="229"/>
      <c r="N752" s="229"/>
      <c r="O752" s="229"/>
      <c r="P752" s="229"/>
      <c r="Q752" s="229"/>
      <c r="R752" s="229"/>
      <c r="S752" s="229"/>
      <c r="T752" s="229"/>
      <c r="U752" s="229"/>
      <c r="V752" s="229"/>
      <c r="W752" s="229"/>
      <c r="X752" s="229"/>
      <c r="Y752" s="229"/>
      <c r="Z752" s="229"/>
      <c r="AA752" s="229"/>
    </row>
    <row r="753" customFormat="false" ht="13.5" hidden="false" customHeight="true" outlineLevel="0" collapsed="false">
      <c r="A753" s="229"/>
      <c r="B753" s="229"/>
      <c r="C753" s="229"/>
      <c r="D753" s="229"/>
      <c r="E753" s="229"/>
      <c r="F753" s="229"/>
      <c r="G753" s="229"/>
      <c r="H753" s="229"/>
      <c r="I753" s="229"/>
      <c r="J753" s="229"/>
      <c r="K753" s="229"/>
      <c r="L753" s="229"/>
      <c r="M753" s="229"/>
      <c r="N753" s="229"/>
      <c r="O753" s="229"/>
      <c r="P753" s="229"/>
      <c r="Q753" s="229"/>
      <c r="R753" s="229"/>
      <c r="S753" s="229"/>
      <c r="T753" s="229"/>
      <c r="U753" s="229"/>
      <c r="V753" s="229"/>
      <c r="W753" s="229"/>
      <c r="X753" s="229"/>
      <c r="Y753" s="229"/>
      <c r="Z753" s="229"/>
      <c r="AA753" s="229"/>
    </row>
    <row r="754" customFormat="false" ht="13.5" hidden="false" customHeight="true" outlineLevel="0" collapsed="false">
      <c r="A754" s="229"/>
      <c r="B754" s="229"/>
      <c r="C754" s="229"/>
      <c r="D754" s="229"/>
      <c r="E754" s="229"/>
      <c r="F754" s="229"/>
      <c r="G754" s="229"/>
      <c r="H754" s="229"/>
      <c r="I754" s="229"/>
      <c r="J754" s="229"/>
      <c r="K754" s="229"/>
      <c r="L754" s="229"/>
      <c r="M754" s="229"/>
      <c r="N754" s="229"/>
      <c r="O754" s="229"/>
      <c r="P754" s="229"/>
      <c r="Q754" s="229"/>
      <c r="R754" s="229"/>
      <c r="S754" s="229"/>
      <c r="T754" s="229"/>
      <c r="U754" s="229"/>
      <c r="V754" s="229"/>
      <c r="W754" s="229"/>
      <c r="X754" s="229"/>
      <c r="Y754" s="229"/>
      <c r="Z754" s="229"/>
      <c r="AA754" s="229"/>
    </row>
    <row r="755" customFormat="false" ht="13.5" hidden="false" customHeight="true" outlineLevel="0" collapsed="false">
      <c r="A755" s="229"/>
      <c r="B755" s="229"/>
      <c r="C755" s="229"/>
      <c r="D755" s="229"/>
      <c r="E755" s="229"/>
      <c r="F755" s="229"/>
      <c r="G755" s="229"/>
      <c r="H755" s="229"/>
      <c r="I755" s="229"/>
      <c r="J755" s="229"/>
      <c r="K755" s="229"/>
      <c r="L755" s="229"/>
      <c r="M755" s="229"/>
      <c r="N755" s="229"/>
      <c r="O755" s="229"/>
      <c r="P755" s="229"/>
      <c r="Q755" s="229"/>
      <c r="R755" s="229"/>
      <c r="S755" s="229"/>
      <c r="T755" s="229"/>
      <c r="U755" s="229"/>
      <c r="V755" s="229"/>
      <c r="W755" s="229"/>
      <c r="X755" s="229"/>
      <c r="Y755" s="229"/>
      <c r="Z755" s="229"/>
      <c r="AA755" s="229"/>
    </row>
    <row r="756" customFormat="false" ht="13.5" hidden="false" customHeight="true" outlineLevel="0" collapsed="false">
      <c r="A756" s="229"/>
      <c r="B756" s="229"/>
      <c r="C756" s="229"/>
      <c r="D756" s="229"/>
      <c r="E756" s="229"/>
      <c r="F756" s="229"/>
      <c r="G756" s="229"/>
      <c r="H756" s="229"/>
      <c r="I756" s="229"/>
      <c r="J756" s="229"/>
      <c r="K756" s="229"/>
      <c r="L756" s="229"/>
      <c r="M756" s="229"/>
      <c r="N756" s="229"/>
      <c r="O756" s="229"/>
      <c r="P756" s="229"/>
      <c r="Q756" s="229"/>
      <c r="R756" s="229"/>
      <c r="S756" s="229"/>
      <c r="T756" s="229"/>
      <c r="U756" s="229"/>
      <c r="V756" s="229"/>
      <c r="W756" s="229"/>
      <c r="X756" s="229"/>
      <c r="Y756" s="229"/>
      <c r="Z756" s="229"/>
      <c r="AA756" s="229"/>
    </row>
    <row r="757" customFormat="false" ht="13.5" hidden="false" customHeight="true" outlineLevel="0" collapsed="false">
      <c r="A757" s="229"/>
      <c r="B757" s="229"/>
      <c r="C757" s="229"/>
      <c r="D757" s="229"/>
      <c r="E757" s="229"/>
      <c r="F757" s="229"/>
      <c r="G757" s="229"/>
      <c r="H757" s="229"/>
      <c r="I757" s="229"/>
      <c r="J757" s="229"/>
      <c r="K757" s="229"/>
      <c r="L757" s="229"/>
      <c r="M757" s="229"/>
      <c r="N757" s="229"/>
      <c r="O757" s="229"/>
      <c r="P757" s="229"/>
      <c r="Q757" s="229"/>
      <c r="R757" s="229"/>
      <c r="S757" s="229"/>
      <c r="T757" s="229"/>
      <c r="U757" s="229"/>
      <c r="V757" s="229"/>
      <c r="W757" s="229"/>
      <c r="X757" s="229"/>
      <c r="Y757" s="229"/>
      <c r="Z757" s="229"/>
      <c r="AA757" s="229"/>
    </row>
    <row r="758" customFormat="false" ht="13.5" hidden="false" customHeight="true" outlineLevel="0" collapsed="false">
      <c r="A758" s="229"/>
      <c r="B758" s="229"/>
      <c r="C758" s="229"/>
      <c r="D758" s="229"/>
      <c r="E758" s="229"/>
      <c r="F758" s="229"/>
      <c r="G758" s="229"/>
      <c r="H758" s="229"/>
      <c r="I758" s="229"/>
      <c r="J758" s="229"/>
      <c r="K758" s="229"/>
      <c r="L758" s="229"/>
      <c r="M758" s="229"/>
      <c r="N758" s="229"/>
      <c r="O758" s="229"/>
      <c r="P758" s="229"/>
      <c r="Q758" s="229"/>
      <c r="R758" s="229"/>
      <c r="S758" s="229"/>
      <c r="T758" s="229"/>
      <c r="U758" s="229"/>
      <c r="V758" s="229"/>
      <c r="W758" s="229"/>
      <c r="X758" s="229"/>
      <c r="Y758" s="229"/>
      <c r="Z758" s="229"/>
      <c r="AA758" s="229"/>
    </row>
    <row r="759" customFormat="false" ht="13.5" hidden="false" customHeight="true" outlineLevel="0" collapsed="false">
      <c r="A759" s="229"/>
      <c r="B759" s="229"/>
      <c r="C759" s="229"/>
      <c r="D759" s="229"/>
      <c r="E759" s="229"/>
      <c r="F759" s="229"/>
      <c r="G759" s="229"/>
      <c r="H759" s="229"/>
      <c r="I759" s="229"/>
      <c r="J759" s="229"/>
      <c r="K759" s="229"/>
      <c r="L759" s="229"/>
      <c r="M759" s="229"/>
      <c r="N759" s="229"/>
      <c r="O759" s="229"/>
      <c r="P759" s="229"/>
      <c r="Q759" s="229"/>
      <c r="R759" s="229"/>
      <c r="S759" s="229"/>
      <c r="T759" s="229"/>
      <c r="U759" s="229"/>
      <c r="V759" s="229"/>
      <c r="W759" s="229"/>
      <c r="X759" s="229"/>
      <c r="Y759" s="229"/>
      <c r="Z759" s="229"/>
      <c r="AA759" s="229"/>
    </row>
    <row r="760" customFormat="false" ht="13.5" hidden="false" customHeight="true" outlineLevel="0" collapsed="false">
      <c r="A760" s="229"/>
      <c r="B760" s="229"/>
      <c r="C760" s="229"/>
      <c r="D760" s="229"/>
      <c r="E760" s="229"/>
      <c r="F760" s="229"/>
      <c r="G760" s="229"/>
      <c r="H760" s="229"/>
      <c r="I760" s="229"/>
      <c r="J760" s="229"/>
      <c r="K760" s="229"/>
      <c r="L760" s="229"/>
      <c r="M760" s="229"/>
      <c r="N760" s="229"/>
      <c r="O760" s="229"/>
      <c r="P760" s="229"/>
      <c r="Q760" s="229"/>
      <c r="R760" s="229"/>
      <c r="S760" s="229"/>
      <c r="T760" s="229"/>
      <c r="U760" s="229"/>
      <c r="V760" s="229"/>
      <c r="W760" s="229"/>
      <c r="X760" s="229"/>
      <c r="Y760" s="229"/>
      <c r="Z760" s="229"/>
      <c r="AA760" s="229"/>
    </row>
    <row r="761" customFormat="false" ht="13.5" hidden="false" customHeight="true" outlineLevel="0" collapsed="false">
      <c r="A761" s="229"/>
      <c r="B761" s="229"/>
      <c r="C761" s="229"/>
      <c r="D761" s="229"/>
      <c r="E761" s="229"/>
      <c r="F761" s="229"/>
      <c r="G761" s="229"/>
      <c r="H761" s="229"/>
      <c r="I761" s="229"/>
      <c r="J761" s="229"/>
      <c r="K761" s="229"/>
      <c r="L761" s="229"/>
      <c r="M761" s="229"/>
      <c r="N761" s="229"/>
      <c r="O761" s="229"/>
      <c r="P761" s="229"/>
      <c r="Q761" s="229"/>
      <c r="R761" s="229"/>
      <c r="S761" s="229"/>
      <c r="T761" s="229"/>
      <c r="U761" s="229"/>
      <c r="V761" s="229"/>
      <c r="W761" s="229"/>
      <c r="X761" s="229"/>
      <c r="Y761" s="229"/>
      <c r="Z761" s="229"/>
      <c r="AA761" s="229"/>
    </row>
    <row r="762" customFormat="false" ht="13.5" hidden="false" customHeight="true" outlineLevel="0" collapsed="false">
      <c r="A762" s="229"/>
      <c r="B762" s="229"/>
      <c r="C762" s="229"/>
      <c r="D762" s="229"/>
      <c r="E762" s="229"/>
      <c r="F762" s="229"/>
      <c r="G762" s="229"/>
      <c r="H762" s="229"/>
      <c r="I762" s="229"/>
      <c r="J762" s="229"/>
      <c r="K762" s="229"/>
      <c r="L762" s="229"/>
      <c r="M762" s="229"/>
      <c r="N762" s="229"/>
      <c r="O762" s="229"/>
      <c r="P762" s="229"/>
      <c r="Q762" s="229"/>
      <c r="R762" s="229"/>
      <c r="S762" s="229"/>
      <c r="T762" s="229"/>
      <c r="U762" s="229"/>
      <c r="V762" s="229"/>
      <c r="W762" s="229"/>
      <c r="X762" s="229"/>
      <c r="Y762" s="229"/>
      <c r="Z762" s="229"/>
      <c r="AA762" s="229"/>
    </row>
    <row r="763" customFormat="false" ht="13.5" hidden="false" customHeight="true" outlineLevel="0" collapsed="false">
      <c r="A763" s="229"/>
      <c r="B763" s="229"/>
      <c r="C763" s="229"/>
      <c r="D763" s="229"/>
      <c r="E763" s="229"/>
      <c r="F763" s="229"/>
      <c r="G763" s="229"/>
      <c r="H763" s="229"/>
      <c r="I763" s="229"/>
      <c r="J763" s="229"/>
      <c r="K763" s="229"/>
      <c r="L763" s="229"/>
      <c r="M763" s="229"/>
      <c r="N763" s="229"/>
      <c r="O763" s="229"/>
      <c r="P763" s="229"/>
      <c r="Q763" s="229"/>
      <c r="R763" s="229"/>
      <c r="S763" s="229"/>
      <c r="T763" s="229"/>
      <c r="U763" s="229"/>
      <c r="V763" s="229"/>
      <c r="W763" s="229"/>
      <c r="X763" s="229"/>
      <c r="Y763" s="229"/>
      <c r="Z763" s="229"/>
      <c r="AA763" s="229"/>
    </row>
    <row r="764" customFormat="false" ht="13.5" hidden="false" customHeight="true" outlineLevel="0" collapsed="false">
      <c r="A764" s="229"/>
      <c r="B764" s="229"/>
      <c r="C764" s="229"/>
      <c r="D764" s="229"/>
      <c r="E764" s="229"/>
      <c r="F764" s="229"/>
      <c r="G764" s="229"/>
      <c r="H764" s="229"/>
      <c r="I764" s="229"/>
      <c r="J764" s="229"/>
      <c r="K764" s="229"/>
      <c r="L764" s="229"/>
      <c r="M764" s="229"/>
      <c r="N764" s="229"/>
      <c r="O764" s="229"/>
      <c r="P764" s="229"/>
      <c r="Q764" s="229"/>
      <c r="R764" s="229"/>
      <c r="S764" s="229"/>
      <c r="T764" s="229"/>
      <c r="U764" s="229"/>
      <c r="V764" s="229"/>
      <c r="W764" s="229"/>
      <c r="X764" s="229"/>
      <c r="Y764" s="229"/>
      <c r="Z764" s="229"/>
      <c r="AA764" s="229"/>
    </row>
    <row r="765" customFormat="false" ht="13.5" hidden="false" customHeight="true" outlineLevel="0" collapsed="false">
      <c r="A765" s="229"/>
      <c r="B765" s="229"/>
      <c r="C765" s="229"/>
      <c r="D765" s="229"/>
      <c r="E765" s="229"/>
      <c r="F765" s="229"/>
      <c r="G765" s="229"/>
      <c r="H765" s="229"/>
      <c r="I765" s="229"/>
      <c r="J765" s="229"/>
      <c r="K765" s="229"/>
      <c r="L765" s="229"/>
      <c r="M765" s="229"/>
      <c r="N765" s="229"/>
      <c r="O765" s="229"/>
      <c r="P765" s="229"/>
      <c r="Q765" s="229"/>
      <c r="R765" s="229"/>
      <c r="S765" s="229"/>
      <c r="T765" s="229"/>
      <c r="U765" s="229"/>
      <c r="V765" s="229"/>
      <c r="W765" s="229"/>
      <c r="X765" s="229"/>
      <c r="Y765" s="229"/>
      <c r="Z765" s="229"/>
      <c r="AA765" s="229"/>
    </row>
    <row r="766" customFormat="false" ht="13.5" hidden="false" customHeight="true" outlineLevel="0" collapsed="false">
      <c r="A766" s="229"/>
      <c r="B766" s="229"/>
      <c r="C766" s="229"/>
      <c r="D766" s="229"/>
      <c r="E766" s="229"/>
      <c r="F766" s="229"/>
      <c r="G766" s="229"/>
      <c r="H766" s="229"/>
      <c r="I766" s="229"/>
      <c r="J766" s="229"/>
      <c r="K766" s="229"/>
      <c r="L766" s="229"/>
      <c r="M766" s="229"/>
      <c r="N766" s="229"/>
      <c r="O766" s="229"/>
      <c r="P766" s="229"/>
      <c r="Q766" s="229"/>
      <c r="R766" s="229"/>
      <c r="S766" s="229"/>
      <c r="T766" s="229"/>
      <c r="U766" s="229"/>
      <c r="V766" s="229"/>
      <c r="W766" s="229"/>
      <c r="X766" s="229"/>
      <c r="Y766" s="229"/>
      <c r="Z766" s="229"/>
      <c r="AA766" s="229"/>
    </row>
    <row r="767" customFormat="false" ht="13.5" hidden="false" customHeight="true" outlineLevel="0" collapsed="false">
      <c r="A767" s="229"/>
      <c r="B767" s="229"/>
      <c r="C767" s="229"/>
      <c r="D767" s="229"/>
      <c r="E767" s="229"/>
      <c r="F767" s="229"/>
      <c r="G767" s="229"/>
      <c r="H767" s="229"/>
      <c r="I767" s="229"/>
      <c r="J767" s="229"/>
      <c r="K767" s="229"/>
      <c r="L767" s="229"/>
      <c r="M767" s="229"/>
      <c r="N767" s="229"/>
      <c r="O767" s="229"/>
      <c r="P767" s="229"/>
      <c r="Q767" s="229"/>
      <c r="R767" s="229"/>
      <c r="S767" s="229"/>
      <c r="T767" s="229"/>
      <c r="U767" s="229"/>
      <c r="V767" s="229"/>
      <c r="W767" s="229"/>
      <c r="X767" s="229"/>
      <c r="Y767" s="229"/>
      <c r="Z767" s="229"/>
      <c r="AA767" s="229"/>
    </row>
    <row r="768" customFormat="false" ht="13.5" hidden="false" customHeight="true" outlineLevel="0" collapsed="false">
      <c r="A768" s="229"/>
      <c r="B768" s="229"/>
      <c r="C768" s="229"/>
      <c r="D768" s="229"/>
      <c r="E768" s="229"/>
      <c r="F768" s="229"/>
      <c r="G768" s="229"/>
      <c r="H768" s="229"/>
      <c r="I768" s="229"/>
      <c r="J768" s="229"/>
      <c r="K768" s="229"/>
      <c r="L768" s="229"/>
      <c r="M768" s="229"/>
      <c r="N768" s="229"/>
      <c r="O768" s="229"/>
      <c r="P768" s="229"/>
      <c r="Q768" s="229"/>
      <c r="R768" s="229"/>
      <c r="S768" s="229"/>
      <c r="T768" s="229"/>
      <c r="U768" s="229"/>
      <c r="V768" s="229"/>
      <c r="W768" s="229"/>
      <c r="X768" s="229"/>
      <c r="Y768" s="229"/>
      <c r="Z768" s="229"/>
      <c r="AA768" s="229"/>
    </row>
    <row r="769" customFormat="false" ht="13.5" hidden="false" customHeight="true" outlineLevel="0" collapsed="false">
      <c r="A769" s="229"/>
      <c r="B769" s="229"/>
      <c r="C769" s="229"/>
      <c r="D769" s="229"/>
      <c r="E769" s="229"/>
      <c r="F769" s="229"/>
      <c r="G769" s="229"/>
      <c r="H769" s="229"/>
      <c r="I769" s="229"/>
      <c r="J769" s="229"/>
      <c r="K769" s="229"/>
      <c r="L769" s="229"/>
      <c r="M769" s="229"/>
      <c r="N769" s="229"/>
      <c r="O769" s="229"/>
      <c r="P769" s="229"/>
      <c r="Q769" s="229"/>
      <c r="R769" s="229"/>
      <c r="S769" s="229"/>
      <c r="T769" s="229"/>
      <c r="U769" s="229"/>
      <c r="V769" s="229"/>
      <c r="W769" s="229"/>
      <c r="X769" s="229"/>
      <c r="Y769" s="229"/>
      <c r="Z769" s="229"/>
      <c r="AA769" s="229"/>
    </row>
    <row r="770" customFormat="false" ht="13.5" hidden="false" customHeight="true" outlineLevel="0" collapsed="false">
      <c r="A770" s="229"/>
      <c r="B770" s="229"/>
      <c r="C770" s="229"/>
      <c r="D770" s="229"/>
      <c r="E770" s="229"/>
      <c r="F770" s="229"/>
      <c r="G770" s="229"/>
      <c r="H770" s="229"/>
      <c r="I770" s="229"/>
      <c r="J770" s="229"/>
      <c r="K770" s="229"/>
      <c r="L770" s="229"/>
      <c r="M770" s="229"/>
      <c r="N770" s="229"/>
      <c r="O770" s="229"/>
      <c r="P770" s="229"/>
      <c r="Q770" s="229"/>
      <c r="R770" s="229"/>
      <c r="S770" s="229"/>
      <c r="T770" s="229"/>
      <c r="U770" s="229"/>
      <c r="V770" s="229"/>
      <c r="W770" s="229"/>
      <c r="X770" s="229"/>
      <c r="Y770" s="229"/>
      <c r="Z770" s="229"/>
      <c r="AA770" s="229"/>
    </row>
    <row r="771" customFormat="false" ht="13.5" hidden="false" customHeight="true" outlineLevel="0" collapsed="false">
      <c r="A771" s="229"/>
      <c r="B771" s="229"/>
      <c r="C771" s="229"/>
      <c r="D771" s="229"/>
      <c r="E771" s="229"/>
      <c r="F771" s="229"/>
      <c r="G771" s="229"/>
      <c r="H771" s="229"/>
      <c r="I771" s="229"/>
      <c r="J771" s="229"/>
      <c r="K771" s="229"/>
      <c r="L771" s="229"/>
      <c r="M771" s="229"/>
      <c r="N771" s="229"/>
      <c r="O771" s="229"/>
      <c r="P771" s="229"/>
      <c r="Q771" s="229"/>
      <c r="R771" s="229"/>
      <c r="S771" s="229"/>
      <c r="T771" s="229"/>
      <c r="U771" s="229"/>
      <c r="V771" s="229"/>
      <c r="W771" s="229"/>
      <c r="X771" s="229"/>
      <c r="Y771" s="229"/>
      <c r="Z771" s="229"/>
      <c r="AA771" s="229"/>
    </row>
    <row r="772" customFormat="false" ht="13.5" hidden="false" customHeight="true" outlineLevel="0" collapsed="false">
      <c r="A772" s="229"/>
      <c r="B772" s="229"/>
      <c r="C772" s="229"/>
      <c r="D772" s="229"/>
      <c r="E772" s="229"/>
      <c r="F772" s="229"/>
      <c r="G772" s="229"/>
      <c r="H772" s="229"/>
      <c r="I772" s="229"/>
      <c r="J772" s="229"/>
      <c r="K772" s="229"/>
      <c r="L772" s="229"/>
      <c r="M772" s="229"/>
      <c r="N772" s="229"/>
      <c r="O772" s="229"/>
      <c r="P772" s="229"/>
      <c r="Q772" s="229"/>
      <c r="R772" s="229"/>
      <c r="S772" s="229"/>
      <c r="T772" s="229"/>
      <c r="U772" s="229"/>
      <c r="V772" s="229"/>
      <c r="W772" s="229"/>
      <c r="X772" s="229"/>
      <c r="Y772" s="229"/>
      <c r="Z772" s="229"/>
      <c r="AA772" s="229"/>
    </row>
    <row r="773" customFormat="false" ht="13.5" hidden="false" customHeight="true" outlineLevel="0" collapsed="false">
      <c r="A773" s="229"/>
      <c r="B773" s="229"/>
      <c r="C773" s="229"/>
      <c r="D773" s="229"/>
      <c r="E773" s="229"/>
      <c r="F773" s="229"/>
      <c r="G773" s="229"/>
      <c r="H773" s="229"/>
      <c r="I773" s="229"/>
      <c r="J773" s="229"/>
      <c r="K773" s="229"/>
      <c r="L773" s="229"/>
      <c r="M773" s="229"/>
      <c r="N773" s="229"/>
      <c r="O773" s="229"/>
      <c r="P773" s="229"/>
      <c r="Q773" s="229"/>
      <c r="R773" s="229"/>
      <c r="S773" s="229"/>
      <c r="T773" s="229"/>
      <c r="U773" s="229"/>
      <c r="V773" s="229"/>
      <c r="W773" s="229"/>
      <c r="X773" s="229"/>
      <c r="Y773" s="229"/>
      <c r="Z773" s="229"/>
      <c r="AA773" s="229"/>
    </row>
    <row r="774" customFormat="false" ht="13.5" hidden="false" customHeight="true" outlineLevel="0" collapsed="false">
      <c r="A774" s="229"/>
      <c r="B774" s="229"/>
      <c r="C774" s="229"/>
      <c r="D774" s="229"/>
      <c r="E774" s="229"/>
      <c r="F774" s="229"/>
      <c r="G774" s="229"/>
      <c r="H774" s="229"/>
      <c r="I774" s="229"/>
      <c r="J774" s="229"/>
      <c r="K774" s="229"/>
      <c r="L774" s="229"/>
      <c r="M774" s="229"/>
      <c r="N774" s="229"/>
      <c r="O774" s="229"/>
      <c r="P774" s="229"/>
      <c r="Q774" s="229"/>
      <c r="R774" s="229"/>
      <c r="S774" s="229"/>
      <c r="T774" s="229"/>
      <c r="U774" s="229"/>
      <c r="V774" s="229"/>
      <c r="W774" s="229"/>
      <c r="X774" s="229"/>
      <c r="Y774" s="229"/>
      <c r="Z774" s="229"/>
      <c r="AA774" s="229"/>
    </row>
    <row r="775" customFormat="false" ht="13.5" hidden="false" customHeight="true" outlineLevel="0" collapsed="false">
      <c r="A775" s="229"/>
      <c r="B775" s="229"/>
      <c r="C775" s="229"/>
      <c r="D775" s="229"/>
      <c r="E775" s="229"/>
      <c r="F775" s="229"/>
      <c r="G775" s="229"/>
      <c r="H775" s="229"/>
      <c r="I775" s="229"/>
      <c r="J775" s="229"/>
      <c r="K775" s="229"/>
      <c r="L775" s="229"/>
      <c r="M775" s="229"/>
      <c r="N775" s="229"/>
      <c r="O775" s="229"/>
      <c r="P775" s="229"/>
      <c r="Q775" s="229"/>
      <c r="R775" s="229"/>
      <c r="S775" s="229"/>
      <c r="T775" s="229"/>
      <c r="U775" s="229"/>
      <c r="V775" s="229"/>
      <c r="W775" s="229"/>
      <c r="X775" s="229"/>
      <c r="Y775" s="229"/>
      <c r="Z775" s="229"/>
      <c r="AA775" s="229"/>
    </row>
    <row r="776" customFormat="false" ht="13.5" hidden="false" customHeight="true" outlineLevel="0" collapsed="false">
      <c r="A776" s="229"/>
      <c r="B776" s="229"/>
      <c r="C776" s="229"/>
      <c r="D776" s="229"/>
      <c r="E776" s="229"/>
      <c r="F776" s="229"/>
      <c r="G776" s="229"/>
      <c r="H776" s="229"/>
      <c r="I776" s="229"/>
      <c r="J776" s="229"/>
      <c r="K776" s="229"/>
      <c r="L776" s="229"/>
      <c r="M776" s="229"/>
      <c r="N776" s="229"/>
      <c r="O776" s="229"/>
      <c r="P776" s="229"/>
      <c r="Q776" s="229"/>
      <c r="R776" s="229"/>
      <c r="S776" s="229"/>
      <c r="T776" s="229"/>
      <c r="U776" s="229"/>
      <c r="V776" s="229"/>
      <c r="W776" s="229"/>
      <c r="X776" s="229"/>
      <c r="Y776" s="229"/>
      <c r="Z776" s="229"/>
      <c r="AA776" s="229"/>
    </row>
    <row r="777" customFormat="false" ht="13.5" hidden="false" customHeight="true" outlineLevel="0" collapsed="false">
      <c r="A777" s="229"/>
      <c r="B777" s="229"/>
      <c r="C777" s="229"/>
      <c r="D777" s="229"/>
      <c r="E777" s="229"/>
      <c r="F777" s="229"/>
      <c r="G777" s="229"/>
      <c r="H777" s="229"/>
      <c r="I777" s="229"/>
      <c r="J777" s="229"/>
      <c r="K777" s="229"/>
      <c r="L777" s="229"/>
      <c r="M777" s="229"/>
      <c r="N777" s="229"/>
      <c r="O777" s="229"/>
      <c r="P777" s="229"/>
      <c r="Q777" s="229"/>
      <c r="R777" s="229"/>
      <c r="S777" s="229"/>
      <c r="T777" s="229"/>
      <c r="U777" s="229"/>
      <c r="V777" s="229"/>
      <c r="W777" s="229"/>
      <c r="X777" s="229"/>
      <c r="Y777" s="229"/>
      <c r="Z777" s="229"/>
      <c r="AA777" s="229"/>
    </row>
    <row r="778" customFormat="false" ht="13.5" hidden="false" customHeight="true" outlineLevel="0" collapsed="false">
      <c r="A778" s="229"/>
      <c r="B778" s="229"/>
      <c r="C778" s="229"/>
      <c r="D778" s="229"/>
      <c r="E778" s="229"/>
      <c r="F778" s="229"/>
      <c r="G778" s="229"/>
      <c r="H778" s="229"/>
      <c r="I778" s="229"/>
      <c r="J778" s="229"/>
      <c r="K778" s="229"/>
      <c r="L778" s="229"/>
      <c r="M778" s="229"/>
      <c r="N778" s="229"/>
      <c r="O778" s="229"/>
      <c r="P778" s="229"/>
      <c r="Q778" s="229"/>
      <c r="R778" s="229"/>
      <c r="S778" s="229"/>
      <c r="T778" s="229"/>
      <c r="U778" s="229"/>
      <c r="V778" s="229"/>
      <c r="W778" s="229"/>
      <c r="X778" s="229"/>
      <c r="Y778" s="229"/>
      <c r="Z778" s="229"/>
      <c r="AA778" s="229"/>
    </row>
    <row r="779" customFormat="false" ht="13.5" hidden="false" customHeight="true" outlineLevel="0" collapsed="false">
      <c r="A779" s="229"/>
      <c r="B779" s="229"/>
      <c r="C779" s="229"/>
      <c r="D779" s="229"/>
      <c r="E779" s="229"/>
      <c r="F779" s="229"/>
      <c r="G779" s="229"/>
      <c r="H779" s="229"/>
      <c r="I779" s="229"/>
      <c r="J779" s="229"/>
      <c r="K779" s="229"/>
      <c r="L779" s="229"/>
      <c r="M779" s="229"/>
      <c r="N779" s="229"/>
      <c r="O779" s="229"/>
      <c r="P779" s="229"/>
      <c r="Q779" s="229"/>
      <c r="R779" s="229"/>
      <c r="S779" s="229"/>
      <c r="T779" s="229"/>
      <c r="U779" s="229"/>
      <c r="V779" s="229"/>
      <c r="W779" s="229"/>
      <c r="X779" s="229"/>
      <c r="Y779" s="229"/>
      <c r="Z779" s="229"/>
      <c r="AA779" s="229"/>
    </row>
    <row r="780" customFormat="false" ht="13.5" hidden="false" customHeight="true" outlineLevel="0" collapsed="false">
      <c r="A780" s="229"/>
      <c r="B780" s="229"/>
      <c r="C780" s="229"/>
      <c r="D780" s="229"/>
      <c r="E780" s="229"/>
      <c r="F780" s="229"/>
      <c r="G780" s="229"/>
      <c r="H780" s="229"/>
      <c r="I780" s="229"/>
      <c r="J780" s="229"/>
      <c r="K780" s="229"/>
      <c r="L780" s="229"/>
      <c r="M780" s="229"/>
      <c r="N780" s="229"/>
      <c r="O780" s="229"/>
      <c r="P780" s="229"/>
      <c r="Q780" s="229"/>
      <c r="R780" s="229"/>
      <c r="S780" s="229"/>
      <c r="T780" s="229"/>
      <c r="U780" s="229"/>
      <c r="V780" s="229"/>
      <c r="W780" s="229"/>
      <c r="X780" s="229"/>
      <c r="Y780" s="229"/>
      <c r="Z780" s="229"/>
      <c r="AA780" s="229"/>
    </row>
    <row r="781" customFormat="false" ht="13.5" hidden="false" customHeight="true" outlineLevel="0" collapsed="false">
      <c r="A781" s="229"/>
      <c r="B781" s="229"/>
      <c r="C781" s="229"/>
      <c r="D781" s="229"/>
      <c r="E781" s="229"/>
      <c r="F781" s="229"/>
      <c r="G781" s="229"/>
      <c r="H781" s="229"/>
      <c r="I781" s="229"/>
      <c r="J781" s="229"/>
      <c r="K781" s="229"/>
      <c r="L781" s="229"/>
      <c r="M781" s="229"/>
      <c r="N781" s="229"/>
      <c r="O781" s="229"/>
      <c r="P781" s="229"/>
      <c r="Q781" s="229"/>
      <c r="R781" s="229"/>
      <c r="S781" s="229"/>
      <c r="T781" s="229"/>
      <c r="U781" s="229"/>
      <c r="V781" s="229"/>
      <c r="W781" s="229"/>
      <c r="X781" s="229"/>
      <c r="Y781" s="229"/>
      <c r="Z781" s="229"/>
      <c r="AA781" s="229"/>
    </row>
    <row r="782" customFormat="false" ht="13.5" hidden="false" customHeight="true" outlineLevel="0" collapsed="false">
      <c r="A782" s="229"/>
      <c r="B782" s="229"/>
      <c r="C782" s="229"/>
      <c r="D782" s="229"/>
      <c r="E782" s="229"/>
      <c r="F782" s="229"/>
      <c r="G782" s="229"/>
      <c r="H782" s="229"/>
      <c r="I782" s="229"/>
      <c r="J782" s="229"/>
      <c r="K782" s="229"/>
      <c r="L782" s="229"/>
      <c r="M782" s="229"/>
      <c r="N782" s="229"/>
      <c r="O782" s="229"/>
      <c r="P782" s="229"/>
      <c r="Q782" s="229"/>
      <c r="R782" s="229"/>
      <c r="S782" s="229"/>
      <c r="T782" s="229"/>
      <c r="U782" s="229"/>
      <c r="V782" s="229"/>
      <c r="W782" s="229"/>
      <c r="X782" s="229"/>
      <c r="Y782" s="229"/>
      <c r="Z782" s="229"/>
      <c r="AA782" s="229"/>
    </row>
    <row r="783" customFormat="false" ht="13.5" hidden="false" customHeight="true" outlineLevel="0" collapsed="false">
      <c r="A783" s="229"/>
      <c r="B783" s="229"/>
      <c r="C783" s="229"/>
      <c r="D783" s="229"/>
      <c r="E783" s="229"/>
      <c r="F783" s="229"/>
      <c r="G783" s="229"/>
      <c r="H783" s="229"/>
      <c r="I783" s="229"/>
      <c r="J783" s="229"/>
      <c r="K783" s="229"/>
      <c r="L783" s="229"/>
      <c r="M783" s="229"/>
      <c r="N783" s="229"/>
      <c r="O783" s="229"/>
      <c r="P783" s="229"/>
      <c r="Q783" s="229"/>
      <c r="R783" s="229"/>
      <c r="S783" s="229"/>
      <c r="T783" s="229"/>
      <c r="U783" s="229"/>
      <c r="V783" s="229"/>
      <c r="W783" s="229"/>
      <c r="X783" s="229"/>
      <c r="Y783" s="229"/>
      <c r="Z783" s="229"/>
      <c r="AA783" s="229"/>
    </row>
    <row r="784" customFormat="false" ht="13.5" hidden="false" customHeight="true" outlineLevel="0" collapsed="false">
      <c r="A784" s="229"/>
      <c r="B784" s="229"/>
      <c r="C784" s="229"/>
      <c r="D784" s="229"/>
      <c r="E784" s="229"/>
      <c r="F784" s="229"/>
      <c r="G784" s="229"/>
      <c r="H784" s="229"/>
      <c r="I784" s="229"/>
      <c r="J784" s="229"/>
      <c r="K784" s="229"/>
      <c r="L784" s="229"/>
      <c r="M784" s="229"/>
      <c r="N784" s="229"/>
      <c r="O784" s="229"/>
      <c r="P784" s="229"/>
      <c r="Q784" s="229"/>
      <c r="R784" s="229"/>
      <c r="S784" s="229"/>
      <c r="T784" s="229"/>
      <c r="U784" s="229"/>
      <c r="V784" s="229"/>
      <c r="W784" s="229"/>
      <c r="X784" s="229"/>
      <c r="Y784" s="229"/>
      <c r="Z784" s="229"/>
      <c r="AA784" s="229"/>
    </row>
    <row r="785" customFormat="false" ht="13.5" hidden="false" customHeight="true" outlineLevel="0" collapsed="false">
      <c r="A785" s="229"/>
      <c r="B785" s="229"/>
      <c r="C785" s="229"/>
      <c r="D785" s="229"/>
      <c r="E785" s="229"/>
      <c r="F785" s="229"/>
      <c r="G785" s="229"/>
      <c r="H785" s="229"/>
      <c r="I785" s="229"/>
      <c r="J785" s="229"/>
      <c r="K785" s="229"/>
      <c r="L785" s="229"/>
      <c r="M785" s="229"/>
      <c r="N785" s="229"/>
      <c r="O785" s="229"/>
      <c r="P785" s="229"/>
      <c r="Q785" s="229"/>
      <c r="R785" s="229"/>
      <c r="S785" s="229"/>
      <c r="T785" s="229"/>
      <c r="U785" s="229"/>
      <c r="V785" s="229"/>
      <c r="W785" s="229"/>
      <c r="X785" s="229"/>
      <c r="Y785" s="229"/>
      <c r="Z785" s="229"/>
      <c r="AA785" s="229"/>
    </row>
    <row r="786" customFormat="false" ht="13.5" hidden="false" customHeight="true" outlineLevel="0" collapsed="false">
      <c r="A786" s="229"/>
      <c r="B786" s="229"/>
      <c r="C786" s="229"/>
      <c r="D786" s="229"/>
      <c r="E786" s="229"/>
      <c r="F786" s="229"/>
      <c r="G786" s="229"/>
      <c r="H786" s="229"/>
      <c r="I786" s="229"/>
      <c r="J786" s="229"/>
      <c r="K786" s="229"/>
      <c r="L786" s="229"/>
      <c r="M786" s="229"/>
      <c r="N786" s="229"/>
      <c r="O786" s="229"/>
      <c r="P786" s="229"/>
      <c r="Q786" s="229"/>
      <c r="R786" s="229"/>
      <c r="S786" s="229"/>
      <c r="T786" s="229"/>
      <c r="U786" s="229"/>
      <c r="V786" s="229"/>
      <c r="W786" s="229"/>
      <c r="X786" s="229"/>
      <c r="Y786" s="229"/>
      <c r="Z786" s="229"/>
      <c r="AA786" s="229"/>
    </row>
    <row r="787" customFormat="false" ht="13.5" hidden="false" customHeight="true" outlineLevel="0" collapsed="false">
      <c r="A787" s="229"/>
      <c r="B787" s="229"/>
      <c r="C787" s="229"/>
      <c r="D787" s="229"/>
      <c r="E787" s="229"/>
      <c r="F787" s="229"/>
      <c r="G787" s="229"/>
      <c r="H787" s="229"/>
      <c r="I787" s="229"/>
      <c r="J787" s="229"/>
      <c r="K787" s="229"/>
      <c r="L787" s="229"/>
      <c r="M787" s="229"/>
      <c r="N787" s="229"/>
      <c r="O787" s="229"/>
      <c r="P787" s="229"/>
      <c r="Q787" s="229"/>
      <c r="R787" s="229"/>
      <c r="S787" s="229"/>
      <c r="T787" s="229"/>
      <c r="U787" s="229"/>
      <c r="V787" s="229"/>
      <c r="W787" s="229"/>
      <c r="X787" s="229"/>
      <c r="Y787" s="229"/>
      <c r="Z787" s="229"/>
      <c r="AA787" s="229"/>
    </row>
    <row r="788" customFormat="false" ht="13.5" hidden="false" customHeight="true" outlineLevel="0" collapsed="false">
      <c r="A788" s="229"/>
      <c r="B788" s="229"/>
      <c r="C788" s="229"/>
      <c r="D788" s="229"/>
      <c r="E788" s="229"/>
      <c r="F788" s="229"/>
      <c r="G788" s="229"/>
      <c r="H788" s="229"/>
      <c r="I788" s="229"/>
      <c r="J788" s="229"/>
      <c r="K788" s="229"/>
      <c r="L788" s="229"/>
      <c r="M788" s="229"/>
      <c r="N788" s="229"/>
      <c r="O788" s="229"/>
      <c r="P788" s="229"/>
      <c r="Q788" s="229"/>
      <c r="R788" s="229"/>
      <c r="S788" s="229"/>
      <c r="T788" s="229"/>
      <c r="U788" s="229"/>
      <c r="V788" s="229"/>
      <c r="W788" s="229"/>
      <c r="X788" s="229"/>
      <c r="Y788" s="229"/>
      <c r="Z788" s="229"/>
      <c r="AA788" s="229"/>
    </row>
    <row r="789" customFormat="false" ht="13.5" hidden="false" customHeight="true" outlineLevel="0" collapsed="false">
      <c r="A789" s="229"/>
      <c r="B789" s="229"/>
      <c r="C789" s="229"/>
      <c r="D789" s="229"/>
      <c r="E789" s="229"/>
      <c r="F789" s="229"/>
      <c r="G789" s="229"/>
      <c r="H789" s="229"/>
      <c r="I789" s="229"/>
      <c r="J789" s="229"/>
      <c r="K789" s="229"/>
      <c r="L789" s="229"/>
      <c r="M789" s="229"/>
      <c r="N789" s="229"/>
      <c r="O789" s="229"/>
      <c r="P789" s="229"/>
      <c r="Q789" s="229"/>
      <c r="R789" s="229"/>
      <c r="S789" s="229"/>
      <c r="T789" s="229"/>
      <c r="U789" s="229"/>
      <c r="V789" s="229"/>
      <c r="W789" s="229"/>
      <c r="X789" s="229"/>
      <c r="Y789" s="229"/>
      <c r="Z789" s="229"/>
      <c r="AA789" s="229"/>
    </row>
    <row r="790" customFormat="false" ht="13.5" hidden="false" customHeight="true" outlineLevel="0" collapsed="false">
      <c r="A790" s="229"/>
      <c r="B790" s="229"/>
      <c r="C790" s="229"/>
      <c r="D790" s="229"/>
      <c r="E790" s="229"/>
      <c r="F790" s="229"/>
      <c r="G790" s="229"/>
      <c r="H790" s="229"/>
      <c r="I790" s="229"/>
      <c r="J790" s="229"/>
      <c r="K790" s="229"/>
      <c r="L790" s="229"/>
      <c r="M790" s="229"/>
      <c r="N790" s="229"/>
      <c r="O790" s="229"/>
      <c r="P790" s="229"/>
      <c r="Q790" s="229"/>
      <c r="R790" s="229"/>
      <c r="S790" s="229"/>
      <c r="T790" s="229"/>
      <c r="U790" s="229"/>
      <c r="V790" s="229"/>
      <c r="W790" s="229"/>
      <c r="X790" s="229"/>
      <c r="Y790" s="229"/>
      <c r="Z790" s="229"/>
      <c r="AA790" s="229"/>
    </row>
    <row r="791" customFormat="false" ht="13.5" hidden="false" customHeight="true" outlineLevel="0" collapsed="false">
      <c r="A791" s="229"/>
      <c r="B791" s="229"/>
      <c r="C791" s="229"/>
      <c r="D791" s="229"/>
      <c r="E791" s="229"/>
      <c r="F791" s="229"/>
      <c r="G791" s="229"/>
      <c r="H791" s="229"/>
      <c r="I791" s="229"/>
      <c r="J791" s="229"/>
      <c r="K791" s="229"/>
      <c r="L791" s="229"/>
      <c r="M791" s="229"/>
      <c r="N791" s="229"/>
      <c r="O791" s="229"/>
      <c r="P791" s="229"/>
      <c r="Q791" s="229"/>
      <c r="R791" s="229"/>
      <c r="S791" s="229"/>
      <c r="T791" s="229"/>
      <c r="U791" s="229"/>
      <c r="V791" s="229"/>
      <c r="W791" s="229"/>
      <c r="X791" s="229"/>
      <c r="Y791" s="229"/>
      <c r="Z791" s="229"/>
      <c r="AA791" s="229"/>
    </row>
    <row r="792" customFormat="false" ht="13.5" hidden="false" customHeight="true" outlineLevel="0" collapsed="false">
      <c r="A792" s="229"/>
      <c r="B792" s="229"/>
      <c r="C792" s="229"/>
      <c r="D792" s="229"/>
      <c r="E792" s="229"/>
      <c r="F792" s="229"/>
      <c r="G792" s="229"/>
      <c r="H792" s="229"/>
      <c r="I792" s="229"/>
      <c r="J792" s="229"/>
      <c r="K792" s="229"/>
      <c r="L792" s="229"/>
      <c r="M792" s="229"/>
      <c r="N792" s="229"/>
      <c r="O792" s="229"/>
      <c r="P792" s="229"/>
      <c r="Q792" s="229"/>
      <c r="R792" s="229"/>
      <c r="S792" s="229"/>
      <c r="T792" s="229"/>
      <c r="U792" s="229"/>
      <c r="V792" s="229"/>
      <c r="W792" s="229"/>
      <c r="X792" s="229"/>
      <c r="Y792" s="229"/>
      <c r="Z792" s="229"/>
      <c r="AA792" s="229"/>
    </row>
    <row r="793" customFormat="false" ht="13.5" hidden="false" customHeight="true" outlineLevel="0" collapsed="false">
      <c r="A793" s="229"/>
      <c r="B793" s="229"/>
      <c r="C793" s="229"/>
      <c r="D793" s="229"/>
      <c r="E793" s="229"/>
      <c r="F793" s="229"/>
      <c r="G793" s="229"/>
      <c r="H793" s="229"/>
      <c r="I793" s="229"/>
      <c r="J793" s="229"/>
      <c r="K793" s="229"/>
      <c r="L793" s="229"/>
      <c r="M793" s="229"/>
      <c r="N793" s="229"/>
      <c r="O793" s="229"/>
      <c r="P793" s="229"/>
      <c r="Q793" s="229"/>
      <c r="R793" s="229"/>
      <c r="S793" s="229"/>
      <c r="T793" s="229"/>
      <c r="U793" s="229"/>
      <c r="V793" s="229"/>
      <c r="W793" s="229"/>
      <c r="X793" s="229"/>
      <c r="Y793" s="229"/>
      <c r="Z793" s="229"/>
      <c r="AA793" s="229"/>
    </row>
    <row r="794" customFormat="false" ht="13.5" hidden="false" customHeight="true" outlineLevel="0" collapsed="false">
      <c r="A794" s="229"/>
      <c r="B794" s="229"/>
      <c r="C794" s="229"/>
      <c r="D794" s="229"/>
      <c r="E794" s="229"/>
      <c r="F794" s="229"/>
      <c r="G794" s="229"/>
      <c r="H794" s="229"/>
      <c r="I794" s="229"/>
      <c r="J794" s="229"/>
      <c r="K794" s="229"/>
      <c r="L794" s="229"/>
      <c r="M794" s="229"/>
      <c r="N794" s="229"/>
      <c r="O794" s="229"/>
      <c r="P794" s="229"/>
      <c r="Q794" s="229"/>
      <c r="R794" s="229"/>
      <c r="S794" s="229"/>
      <c r="T794" s="229"/>
      <c r="U794" s="229"/>
      <c r="V794" s="229"/>
      <c r="W794" s="229"/>
      <c r="X794" s="229"/>
      <c r="Y794" s="229"/>
      <c r="Z794" s="229"/>
      <c r="AA794" s="229"/>
    </row>
    <row r="795" customFormat="false" ht="13.5" hidden="false" customHeight="true" outlineLevel="0" collapsed="false">
      <c r="A795" s="229"/>
      <c r="B795" s="229"/>
      <c r="C795" s="229"/>
      <c r="D795" s="229"/>
      <c r="E795" s="229"/>
      <c r="F795" s="229"/>
      <c r="G795" s="229"/>
      <c r="H795" s="229"/>
      <c r="I795" s="229"/>
      <c r="J795" s="229"/>
      <c r="K795" s="229"/>
      <c r="L795" s="229"/>
      <c r="M795" s="229"/>
      <c r="N795" s="229"/>
      <c r="O795" s="229"/>
      <c r="P795" s="229"/>
      <c r="Q795" s="229"/>
      <c r="R795" s="229"/>
      <c r="S795" s="229"/>
      <c r="T795" s="229"/>
      <c r="U795" s="229"/>
      <c r="V795" s="229"/>
      <c r="W795" s="229"/>
      <c r="X795" s="229"/>
      <c r="Y795" s="229"/>
      <c r="Z795" s="229"/>
      <c r="AA795" s="229"/>
    </row>
    <row r="796" customFormat="false" ht="13.5" hidden="false" customHeight="true" outlineLevel="0" collapsed="false">
      <c r="A796" s="229"/>
      <c r="B796" s="229"/>
      <c r="C796" s="229"/>
      <c r="D796" s="229"/>
      <c r="E796" s="229"/>
      <c r="F796" s="229"/>
      <c r="G796" s="229"/>
      <c r="H796" s="229"/>
      <c r="I796" s="229"/>
      <c r="J796" s="229"/>
      <c r="K796" s="229"/>
      <c r="L796" s="229"/>
      <c r="M796" s="229"/>
      <c r="N796" s="229"/>
      <c r="O796" s="229"/>
      <c r="P796" s="229"/>
      <c r="Q796" s="229"/>
      <c r="R796" s="229"/>
      <c r="S796" s="229"/>
      <c r="T796" s="229"/>
      <c r="U796" s="229"/>
      <c r="V796" s="229"/>
      <c r="W796" s="229"/>
      <c r="X796" s="229"/>
      <c r="Y796" s="229"/>
      <c r="Z796" s="229"/>
      <c r="AA796" s="229"/>
    </row>
    <row r="797" customFormat="false" ht="13.5" hidden="false" customHeight="true" outlineLevel="0" collapsed="false">
      <c r="A797" s="229"/>
      <c r="B797" s="229"/>
      <c r="C797" s="229"/>
      <c r="D797" s="229"/>
      <c r="E797" s="229"/>
      <c r="F797" s="229"/>
      <c r="G797" s="229"/>
      <c r="H797" s="229"/>
      <c r="I797" s="229"/>
      <c r="J797" s="229"/>
      <c r="K797" s="229"/>
      <c r="L797" s="229"/>
      <c r="M797" s="229"/>
      <c r="N797" s="229"/>
      <c r="O797" s="229"/>
      <c r="P797" s="229"/>
      <c r="Q797" s="229"/>
      <c r="R797" s="229"/>
      <c r="S797" s="229"/>
      <c r="T797" s="229"/>
      <c r="U797" s="229"/>
      <c r="V797" s="229"/>
      <c r="W797" s="229"/>
      <c r="X797" s="229"/>
      <c r="Y797" s="229"/>
      <c r="Z797" s="229"/>
      <c r="AA797" s="229"/>
    </row>
    <row r="798" customFormat="false" ht="13.5" hidden="false" customHeight="true" outlineLevel="0" collapsed="false">
      <c r="A798" s="229"/>
      <c r="B798" s="229"/>
      <c r="C798" s="229"/>
      <c r="D798" s="229"/>
      <c r="E798" s="229"/>
      <c r="F798" s="229"/>
      <c r="G798" s="229"/>
      <c r="H798" s="229"/>
      <c r="I798" s="229"/>
      <c r="J798" s="229"/>
      <c r="K798" s="229"/>
      <c r="L798" s="229"/>
      <c r="M798" s="229"/>
      <c r="N798" s="229"/>
      <c r="O798" s="229"/>
      <c r="P798" s="229"/>
      <c r="Q798" s="229"/>
      <c r="R798" s="229"/>
      <c r="S798" s="229"/>
      <c r="T798" s="229"/>
      <c r="U798" s="229"/>
      <c r="V798" s="229"/>
      <c r="W798" s="229"/>
      <c r="X798" s="229"/>
      <c r="Y798" s="229"/>
      <c r="Z798" s="229"/>
      <c r="AA798" s="229"/>
    </row>
    <row r="799" customFormat="false" ht="13.5" hidden="false" customHeight="true" outlineLevel="0" collapsed="false">
      <c r="A799" s="229"/>
      <c r="B799" s="229"/>
      <c r="C799" s="229"/>
      <c r="D799" s="229"/>
      <c r="E799" s="229"/>
      <c r="F799" s="229"/>
      <c r="G799" s="229"/>
      <c r="H799" s="229"/>
      <c r="I799" s="229"/>
      <c r="J799" s="229"/>
      <c r="K799" s="229"/>
      <c r="L799" s="229"/>
      <c r="M799" s="229"/>
      <c r="N799" s="229"/>
      <c r="O799" s="229"/>
      <c r="P799" s="229"/>
      <c r="Q799" s="229"/>
      <c r="R799" s="229"/>
      <c r="S799" s="229"/>
      <c r="T799" s="229"/>
      <c r="U799" s="229"/>
      <c r="V799" s="229"/>
      <c r="W799" s="229"/>
      <c r="X799" s="229"/>
      <c r="Y799" s="229"/>
      <c r="Z799" s="229"/>
      <c r="AA799" s="229"/>
    </row>
    <row r="800" customFormat="false" ht="13.5" hidden="false" customHeight="true" outlineLevel="0" collapsed="false">
      <c r="A800" s="229"/>
      <c r="B800" s="229"/>
      <c r="C800" s="229"/>
      <c r="D800" s="229"/>
      <c r="E800" s="229"/>
      <c r="F800" s="229"/>
      <c r="G800" s="229"/>
      <c r="H800" s="229"/>
      <c r="I800" s="229"/>
      <c r="J800" s="229"/>
      <c r="K800" s="229"/>
      <c r="L800" s="229"/>
      <c r="M800" s="229"/>
      <c r="N800" s="229"/>
      <c r="O800" s="229"/>
      <c r="P800" s="229"/>
      <c r="Q800" s="229"/>
      <c r="R800" s="229"/>
      <c r="S800" s="229"/>
      <c r="T800" s="229"/>
      <c r="U800" s="229"/>
      <c r="V800" s="229"/>
      <c r="W800" s="229"/>
      <c r="X800" s="229"/>
      <c r="Y800" s="229"/>
      <c r="Z800" s="229"/>
      <c r="AA800" s="229"/>
    </row>
    <row r="801" customFormat="false" ht="13.5" hidden="false" customHeight="true" outlineLevel="0" collapsed="false">
      <c r="A801" s="229"/>
      <c r="B801" s="229"/>
      <c r="C801" s="229"/>
      <c r="D801" s="229"/>
      <c r="E801" s="229"/>
      <c r="F801" s="229"/>
      <c r="G801" s="229"/>
      <c r="H801" s="229"/>
      <c r="I801" s="229"/>
      <c r="J801" s="229"/>
      <c r="K801" s="229"/>
      <c r="L801" s="229"/>
      <c r="M801" s="229"/>
      <c r="N801" s="229"/>
      <c r="O801" s="229"/>
      <c r="P801" s="229"/>
      <c r="Q801" s="229"/>
      <c r="R801" s="229"/>
      <c r="S801" s="229"/>
      <c r="T801" s="229"/>
      <c r="U801" s="229"/>
      <c r="V801" s="229"/>
      <c r="W801" s="229"/>
      <c r="X801" s="229"/>
      <c r="Y801" s="229"/>
      <c r="Z801" s="229"/>
      <c r="AA801" s="229"/>
    </row>
    <row r="802" customFormat="false" ht="13.5" hidden="false" customHeight="true" outlineLevel="0" collapsed="false">
      <c r="A802" s="229"/>
      <c r="B802" s="229"/>
      <c r="C802" s="229"/>
      <c r="D802" s="229"/>
      <c r="E802" s="229"/>
      <c r="F802" s="229"/>
      <c r="G802" s="229"/>
      <c r="H802" s="229"/>
      <c r="I802" s="229"/>
      <c r="J802" s="229"/>
      <c r="K802" s="229"/>
      <c r="L802" s="229"/>
      <c r="M802" s="229"/>
      <c r="N802" s="229"/>
      <c r="O802" s="229"/>
      <c r="P802" s="229"/>
      <c r="Q802" s="229"/>
      <c r="R802" s="229"/>
      <c r="S802" s="229"/>
      <c r="T802" s="229"/>
      <c r="U802" s="229"/>
      <c r="V802" s="229"/>
      <c r="W802" s="229"/>
      <c r="X802" s="229"/>
      <c r="Y802" s="229"/>
      <c r="Z802" s="229"/>
      <c r="AA802" s="229"/>
    </row>
    <row r="803" customFormat="false" ht="13.5" hidden="false" customHeight="true" outlineLevel="0" collapsed="false">
      <c r="A803" s="229"/>
      <c r="B803" s="229"/>
      <c r="C803" s="229"/>
      <c r="D803" s="229"/>
      <c r="E803" s="229"/>
      <c r="F803" s="229"/>
      <c r="G803" s="229"/>
      <c r="H803" s="229"/>
      <c r="I803" s="229"/>
      <c r="J803" s="229"/>
      <c r="K803" s="229"/>
      <c r="L803" s="229"/>
      <c r="M803" s="229"/>
      <c r="N803" s="229"/>
      <c r="O803" s="229"/>
      <c r="P803" s="229"/>
      <c r="Q803" s="229"/>
      <c r="R803" s="229"/>
      <c r="S803" s="229"/>
      <c r="T803" s="229"/>
      <c r="U803" s="229"/>
      <c r="V803" s="229"/>
      <c r="W803" s="229"/>
      <c r="X803" s="229"/>
      <c r="Y803" s="229"/>
      <c r="Z803" s="229"/>
      <c r="AA803" s="229"/>
    </row>
    <row r="804" customFormat="false" ht="13.5" hidden="false" customHeight="true" outlineLevel="0" collapsed="false">
      <c r="A804" s="229"/>
      <c r="B804" s="229"/>
      <c r="C804" s="229"/>
      <c r="D804" s="229"/>
      <c r="E804" s="229"/>
      <c r="F804" s="229"/>
      <c r="G804" s="229"/>
      <c r="H804" s="229"/>
      <c r="I804" s="229"/>
      <c r="J804" s="229"/>
      <c r="K804" s="229"/>
      <c r="L804" s="229"/>
      <c r="M804" s="229"/>
      <c r="N804" s="229"/>
      <c r="O804" s="229"/>
      <c r="P804" s="229"/>
      <c r="Q804" s="229"/>
      <c r="R804" s="229"/>
      <c r="S804" s="229"/>
      <c r="T804" s="229"/>
      <c r="U804" s="229"/>
      <c r="V804" s="229"/>
      <c r="W804" s="229"/>
      <c r="X804" s="229"/>
      <c r="Y804" s="229"/>
      <c r="Z804" s="229"/>
      <c r="AA804" s="229"/>
    </row>
    <row r="805" customFormat="false" ht="13.5" hidden="false" customHeight="true" outlineLevel="0" collapsed="false">
      <c r="A805" s="229"/>
      <c r="B805" s="229"/>
      <c r="C805" s="229"/>
      <c r="D805" s="229"/>
      <c r="E805" s="229"/>
      <c r="F805" s="229"/>
      <c r="G805" s="229"/>
      <c r="H805" s="229"/>
      <c r="I805" s="229"/>
      <c r="J805" s="229"/>
      <c r="K805" s="229"/>
      <c r="L805" s="229"/>
      <c r="M805" s="229"/>
      <c r="N805" s="229"/>
      <c r="O805" s="229"/>
      <c r="P805" s="229"/>
      <c r="Q805" s="229"/>
      <c r="R805" s="229"/>
      <c r="S805" s="229"/>
      <c r="T805" s="229"/>
      <c r="U805" s="229"/>
      <c r="V805" s="229"/>
      <c r="W805" s="229"/>
      <c r="X805" s="229"/>
      <c r="Y805" s="229"/>
      <c r="Z805" s="229"/>
      <c r="AA805" s="229"/>
    </row>
    <row r="806" customFormat="false" ht="13.5" hidden="false" customHeight="true" outlineLevel="0" collapsed="false">
      <c r="A806" s="229"/>
      <c r="B806" s="229"/>
      <c r="C806" s="229"/>
      <c r="D806" s="229"/>
      <c r="E806" s="229"/>
      <c r="F806" s="229"/>
      <c r="G806" s="229"/>
      <c r="H806" s="229"/>
      <c r="I806" s="229"/>
      <c r="J806" s="229"/>
      <c r="K806" s="229"/>
      <c r="L806" s="229"/>
      <c r="M806" s="229"/>
      <c r="N806" s="229"/>
      <c r="O806" s="229"/>
      <c r="P806" s="229"/>
      <c r="Q806" s="229"/>
      <c r="R806" s="229"/>
      <c r="S806" s="229"/>
      <c r="T806" s="229"/>
      <c r="U806" s="229"/>
      <c r="V806" s="229"/>
      <c r="W806" s="229"/>
      <c r="X806" s="229"/>
      <c r="Y806" s="229"/>
      <c r="Z806" s="229"/>
      <c r="AA806" s="229"/>
    </row>
    <row r="807" customFormat="false" ht="13.5" hidden="false" customHeight="true" outlineLevel="0" collapsed="false">
      <c r="A807" s="229"/>
      <c r="B807" s="229"/>
      <c r="C807" s="229"/>
      <c r="D807" s="229"/>
      <c r="E807" s="229"/>
      <c r="F807" s="229"/>
      <c r="G807" s="229"/>
      <c r="H807" s="229"/>
      <c r="I807" s="229"/>
      <c r="J807" s="229"/>
      <c r="K807" s="229"/>
      <c r="L807" s="229"/>
      <c r="M807" s="229"/>
      <c r="N807" s="229"/>
      <c r="O807" s="229"/>
      <c r="P807" s="229"/>
      <c r="Q807" s="229"/>
      <c r="R807" s="229"/>
      <c r="S807" s="229"/>
      <c r="T807" s="229"/>
      <c r="U807" s="229"/>
      <c r="V807" s="229"/>
      <c r="W807" s="229"/>
      <c r="X807" s="229"/>
      <c r="Y807" s="229"/>
      <c r="Z807" s="229"/>
      <c r="AA807" s="229"/>
    </row>
    <row r="808" customFormat="false" ht="13.5" hidden="false" customHeight="true" outlineLevel="0" collapsed="false">
      <c r="A808" s="229"/>
      <c r="B808" s="229"/>
      <c r="C808" s="229"/>
      <c r="D808" s="229"/>
      <c r="E808" s="229"/>
      <c r="F808" s="229"/>
      <c r="G808" s="229"/>
      <c r="H808" s="229"/>
      <c r="I808" s="229"/>
      <c r="J808" s="229"/>
      <c r="K808" s="229"/>
      <c r="L808" s="229"/>
      <c r="M808" s="229"/>
      <c r="N808" s="229"/>
      <c r="O808" s="229"/>
      <c r="P808" s="229"/>
      <c r="Q808" s="229"/>
      <c r="R808" s="229"/>
      <c r="S808" s="229"/>
      <c r="T808" s="229"/>
      <c r="U808" s="229"/>
      <c r="V808" s="229"/>
      <c r="W808" s="229"/>
      <c r="X808" s="229"/>
      <c r="Y808" s="229"/>
      <c r="Z808" s="229"/>
      <c r="AA808" s="229"/>
    </row>
    <row r="809" customFormat="false" ht="13.5" hidden="false" customHeight="true" outlineLevel="0" collapsed="false">
      <c r="A809" s="229"/>
      <c r="B809" s="229"/>
      <c r="C809" s="229"/>
      <c r="D809" s="229"/>
      <c r="E809" s="229"/>
      <c r="F809" s="229"/>
      <c r="G809" s="229"/>
      <c r="H809" s="229"/>
      <c r="I809" s="229"/>
      <c r="J809" s="229"/>
      <c r="K809" s="229"/>
      <c r="L809" s="229"/>
      <c r="M809" s="229"/>
      <c r="N809" s="229"/>
      <c r="O809" s="229"/>
      <c r="P809" s="229"/>
      <c r="Q809" s="229"/>
      <c r="R809" s="229"/>
      <c r="S809" s="229"/>
      <c r="T809" s="229"/>
      <c r="U809" s="229"/>
      <c r="V809" s="229"/>
      <c r="W809" s="229"/>
      <c r="X809" s="229"/>
      <c r="Y809" s="229"/>
      <c r="Z809" s="229"/>
      <c r="AA809" s="229"/>
    </row>
    <row r="810" customFormat="false" ht="13.5" hidden="false" customHeight="true" outlineLevel="0" collapsed="false">
      <c r="A810" s="229"/>
      <c r="B810" s="229"/>
      <c r="C810" s="229"/>
      <c r="D810" s="229"/>
      <c r="E810" s="229"/>
      <c r="F810" s="229"/>
      <c r="G810" s="229"/>
      <c r="H810" s="229"/>
      <c r="I810" s="229"/>
      <c r="J810" s="229"/>
      <c r="K810" s="229"/>
      <c r="L810" s="229"/>
      <c r="M810" s="229"/>
      <c r="N810" s="229"/>
      <c r="O810" s="229"/>
      <c r="P810" s="229"/>
      <c r="Q810" s="229"/>
      <c r="R810" s="229"/>
      <c r="S810" s="229"/>
      <c r="T810" s="229"/>
      <c r="U810" s="229"/>
      <c r="V810" s="229"/>
      <c r="W810" s="229"/>
      <c r="X810" s="229"/>
      <c r="Y810" s="229"/>
      <c r="Z810" s="229"/>
      <c r="AA810" s="229"/>
    </row>
    <row r="811" customFormat="false" ht="13.5" hidden="false" customHeight="true" outlineLevel="0" collapsed="false">
      <c r="A811" s="229"/>
      <c r="B811" s="229"/>
      <c r="C811" s="229"/>
      <c r="D811" s="229"/>
      <c r="E811" s="229"/>
      <c r="F811" s="229"/>
      <c r="G811" s="229"/>
      <c r="H811" s="229"/>
      <c r="I811" s="229"/>
      <c r="J811" s="229"/>
      <c r="K811" s="229"/>
      <c r="L811" s="229"/>
      <c r="M811" s="229"/>
      <c r="N811" s="229"/>
      <c r="O811" s="229"/>
      <c r="P811" s="229"/>
      <c r="Q811" s="229"/>
      <c r="R811" s="229"/>
      <c r="S811" s="229"/>
      <c r="T811" s="229"/>
      <c r="U811" s="229"/>
      <c r="V811" s="229"/>
      <c r="W811" s="229"/>
      <c r="X811" s="229"/>
      <c r="Y811" s="229"/>
      <c r="Z811" s="229"/>
      <c r="AA811" s="229"/>
    </row>
    <row r="812" customFormat="false" ht="13.5" hidden="false" customHeight="true" outlineLevel="0" collapsed="false">
      <c r="A812" s="229"/>
      <c r="B812" s="229"/>
      <c r="C812" s="229"/>
      <c r="D812" s="229"/>
      <c r="E812" s="229"/>
      <c r="F812" s="229"/>
      <c r="G812" s="229"/>
      <c r="H812" s="229"/>
      <c r="I812" s="229"/>
      <c r="J812" s="229"/>
      <c r="K812" s="229"/>
      <c r="L812" s="229"/>
      <c r="M812" s="229"/>
      <c r="N812" s="229"/>
      <c r="O812" s="229"/>
      <c r="P812" s="229"/>
      <c r="Q812" s="229"/>
      <c r="R812" s="229"/>
      <c r="S812" s="229"/>
      <c r="T812" s="229"/>
      <c r="U812" s="229"/>
      <c r="V812" s="229"/>
      <c r="W812" s="229"/>
      <c r="X812" s="229"/>
      <c r="Y812" s="229"/>
      <c r="Z812" s="229"/>
      <c r="AA812" s="229"/>
    </row>
    <row r="813" customFormat="false" ht="13.5" hidden="false" customHeight="true" outlineLevel="0" collapsed="false">
      <c r="A813" s="229"/>
      <c r="B813" s="229"/>
      <c r="C813" s="229"/>
      <c r="D813" s="229"/>
      <c r="E813" s="229"/>
      <c r="F813" s="229"/>
      <c r="G813" s="229"/>
      <c r="H813" s="229"/>
      <c r="I813" s="229"/>
      <c r="J813" s="229"/>
      <c r="K813" s="229"/>
      <c r="L813" s="229"/>
      <c r="M813" s="229"/>
      <c r="N813" s="229"/>
      <c r="O813" s="229"/>
      <c r="P813" s="229"/>
      <c r="Q813" s="229"/>
      <c r="R813" s="229"/>
      <c r="S813" s="229"/>
      <c r="T813" s="229"/>
      <c r="U813" s="229"/>
      <c r="V813" s="229"/>
      <c r="W813" s="229"/>
      <c r="X813" s="229"/>
      <c r="Y813" s="229"/>
      <c r="Z813" s="229"/>
      <c r="AA813" s="229"/>
    </row>
    <row r="814" customFormat="false" ht="13.5" hidden="false" customHeight="true" outlineLevel="0" collapsed="false">
      <c r="A814" s="229"/>
      <c r="B814" s="229"/>
      <c r="C814" s="229"/>
      <c r="D814" s="229"/>
      <c r="E814" s="229"/>
      <c r="F814" s="229"/>
      <c r="G814" s="229"/>
      <c r="H814" s="229"/>
      <c r="I814" s="229"/>
      <c r="J814" s="229"/>
      <c r="K814" s="229"/>
      <c r="L814" s="229"/>
      <c r="M814" s="229"/>
      <c r="N814" s="229"/>
      <c r="O814" s="229"/>
      <c r="P814" s="229"/>
      <c r="Q814" s="229"/>
      <c r="R814" s="229"/>
      <c r="S814" s="229"/>
      <c r="T814" s="229"/>
      <c r="U814" s="229"/>
      <c r="V814" s="229"/>
      <c r="W814" s="229"/>
      <c r="X814" s="229"/>
      <c r="Y814" s="229"/>
      <c r="Z814" s="229"/>
      <c r="AA814" s="229"/>
    </row>
    <row r="815" customFormat="false" ht="13.5" hidden="false" customHeight="true" outlineLevel="0" collapsed="false">
      <c r="A815" s="229"/>
      <c r="B815" s="229"/>
      <c r="C815" s="229"/>
      <c r="D815" s="229"/>
      <c r="E815" s="229"/>
      <c r="F815" s="229"/>
      <c r="G815" s="229"/>
      <c r="H815" s="229"/>
      <c r="I815" s="229"/>
      <c r="J815" s="229"/>
      <c r="K815" s="229"/>
      <c r="L815" s="229"/>
      <c r="M815" s="229"/>
      <c r="N815" s="229"/>
      <c r="O815" s="229"/>
      <c r="P815" s="229"/>
      <c r="Q815" s="229"/>
      <c r="R815" s="229"/>
      <c r="S815" s="229"/>
      <c r="T815" s="229"/>
      <c r="U815" s="229"/>
      <c r="V815" s="229"/>
      <c r="W815" s="229"/>
      <c r="X815" s="229"/>
      <c r="Y815" s="229"/>
      <c r="Z815" s="229"/>
      <c r="AA815" s="229"/>
    </row>
    <row r="816" customFormat="false" ht="13.5" hidden="false" customHeight="true" outlineLevel="0" collapsed="false">
      <c r="A816" s="229"/>
      <c r="B816" s="229"/>
      <c r="C816" s="229"/>
      <c r="D816" s="229"/>
      <c r="E816" s="229"/>
      <c r="F816" s="229"/>
      <c r="G816" s="229"/>
      <c r="H816" s="229"/>
      <c r="I816" s="229"/>
      <c r="J816" s="229"/>
      <c r="K816" s="229"/>
      <c r="L816" s="229"/>
      <c r="M816" s="229"/>
      <c r="N816" s="229"/>
      <c r="O816" s="229"/>
      <c r="P816" s="229"/>
      <c r="Q816" s="229"/>
      <c r="R816" s="229"/>
      <c r="S816" s="229"/>
      <c r="T816" s="229"/>
      <c r="U816" s="229"/>
      <c r="V816" s="229"/>
      <c r="W816" s="229"/>
      <c r="X816" s="229"/>
      <c r="Y816" s="229"/>
      <c r="Z816" s="229"/>
      <c r="AA816" s="229"/>
    </row>
    <row r="817" customFormat="false" ht="13.5" hidden="false" customHeight="true" outlineLevel="0" collapsed="false">
      <c r="A817" s="229"/>
      <c r="B817" s="229"/>
      <c r="C817" s="229"/>
      <c r="D817" s="229"/>
      <c r="E817" s="229"/>
      <c r="F817" s="229"/>
      <c r="G817" s="229"/>
      <c r="H817" s="229"/>
      <c r="I817" s="229"/>
      <c r="J817" s="229"/>
      <c r="K817" s="229"/>
      <c r="L817" s="229"/>
      <c r="M817" s="229"/>
      <c r="N817" s="229"/>
      <c r="O817" s="229"/>
      <c r="P817" s="229"/>
      <c r="Q817" s="229"/>
      <c r="R817" s="229"/>
      <c r="S817" s="229"/>
      <c r="T817" s="229"/>
      <c r="U817" s="229"/>
      <c r="V817" s="229"/>
      <c r="W817" s="229"/>
      <c r="X817" s="229"/>
      <c r="Y817" s="229"/>
      <c r="Z817" s="229"/>
      <c r="AA817" s="229"/>
    </row>
    <row r="818" customFormat="false" ht="13.5" hidden="false" customHeight="true" outlineLevel="0" collapsed="false">
      <c r="A818" s="229"/>
      <c r="B818" s="229"/>
      <c r="C818" s="229"/>
      <c r="D818" s="229"/>
      <c r="E818" s="229"/>
      <c r="F818" s="229"/>
      <c r="G818" s="229"/>
      <c r="H818" s="229"/>
      <c r="I818" s="229"/>
      <c r="J818" s="229"/>
      <c r="K818" s="229"/>
      <c r="L818" s="229"/>
      <c r="M818" s="229"/>
      <c r="N818" s="229"/>
      <c r="O818" s="229"/>
      <c r="P818" s="229"/>
      <c r="Q818" s="229"/>
      <c r="R818" s="229"/>
      <c r="S818" s="229"/>
      <c r="T818" s="229"/>
      <c r="U818" s="229"/>
      <c r="V818" s="229"/>
      <c r="W818" s="229"/>
      <c r="X818" s="229"/>
      <c r="Y818" s="229"/>
      <c r="Z818" s="229"/>
      <c r="AA818" s="229"/>
    </row>
    <row r="819" customFormat="false" ht="13.5" hidden="false" customHeight="true" outlineLevel="0" collapsed="false">
      <c r="A819" s="229"/>
      <c r="B819" s="229"/>
      <c r="C819" s="229"/>
      <c r="D819" s="229"/>
      <c r="E819" s="229"/>
      <c r="F819" s="229"/>
      <c r="G819" s="229"/>
      <c r="H819" s="229"/>
      <c r="I819" s="229"/>
      <c r="J819" s="229"/>
      <c r="K819" s="229"/>
      <c r="L819" s="229"/>
      <c r="M819" s="229"/>
      <c r="N819" s="229"/>
      <c r="O819" s="229"/>
      <c r="P819" s="229"/>
      <c r="Q819" s="229"/>
      <c r="R819" s="229"/>
      <c r="S819" s="229"/>
      <c r="T819" s="229"/>
      <c r="U819" s="229"/>
      <c r="V819" s="229"/>
      <c r="W819" s="229"/>
      <c r="X819" s="229"/>
      <c r="Y819" s="229"/>
      <c r="Z819" s="229"/>
      <c r="AA819" s="229"/>
    </row>
    <row r="820" customFormat="false" ht="13.5" hidden="false" customHeight="true" outlineLevel="0" collapsed="false">
      <c r="A820" s="229"/>
      <c r="B820" s="229"/>
      <c r="C820" s="229"/>
      <c r="D820" s="229"/>
      <c r="E820" s="229"/>
      <c r="F820" s="229"/>
      <c r="G820" s="229"/>
      <c r="H820" s="229"/>
      <c r="I820" s="229"/>
      <c r="J820" s="229"/>
      <c r="K820" s="229"/>
      <c r="L820" s="229"/>
      <c r="M820" s="229"/>
      <c r="N820" s="229"/>
      <c r="O820" s="229"/>
      <c r="P820" s="229"/>
      <c r="Q820" s="229"/>
      <c r="R820" s="229"/>
      <c r="S820" s="229"/>
      <c r="T820" s="229"/>
      <c r="U820" s="229"/>
      <c r="V820" s="229"/>
      <c r="W820" s="229"/>
      <c r="X820" s="229"/>
      <c r="Y820" s="229"/>
      <c r="Z820" s="229"/>
      <c r="AA820" s="229"/>
    </row>
    <row r="821" customFormat="false" ht="13.5" hidden="false" customHeight="true" outlineLevel="0" collapsed="false">
      <c r="A821" s="229"/>
      <c r="B821" s="229"/>
      <c r="C821" s="229"/>
      <c r="D821" s="229"/>
      <c r="E821" s="229"/>
      <c r="F821" s="229"/>
      <c r="G821" s="229"/>
      <c r="H821" s="229"/>
      <c r="I821" s="229"/>
      <c r="J821" s="229"/>
      <c r="K821" s="229"/>
      <c r="L821" s="229"/>
      <c r="M821" s="229"/>
      <c r="N821" s="229"/>
      <c r="O821" s="229"/>
      <c r="P821" s="229"/>
      <c r="Q821" s="229"/>
      <c r="R821" s="229"/>
      <c r="S821" s="229"/>
      <c r="T821" s="229"/>
      <c r="U821" s="229"/>
      <c r="V821" s="229"/>
      <c r="W821" s="229"/>
      <c r="X821" s="229"/>
      <c r="Y821" s="229"/>
      <c r="Z821" s="229"/>
      <c r="AA821" s="229"/>
    </row>
    <row r="822" customFormat="false" ht="13.5" hidden="false" customHeight="true" outlineLevel="0" collapsed="false">
      <c r="A822" s="229"/>
      <c r="B822" s="229"/>
      <c r="C822" s="229"/>
      <c r="D822" s="229"/>
      <c r="E822" s="229"/>
      <c r="F822" s="229"/>
      <c r="G822" s="229"/>
      <c r="H822" s="229"/>
      <c r="I822" s="229"/>
      <c r="J822" s="229"/>
      <c r="K822" s="229"/>
      <c r="L822" s="229"/>
      <c r="M822" s="229"/>
      <c r="N822" s="229"/>
      <c r="O822" s="229"/>
      <c r="P822" s="229"/>
      <c r="Q822" s="229"/>
      <c r="R822" s="229"/>
      <c r="S822" s="229"/>
      <c r="T822" s="229"/>
      <c r="U822" s="229"/>
      <c r="V822" s="229"/>
      <c r="W822" s="229"/>
      <c r="X822" s="229"/>
      <c r="Y822" s="229"/>
      <c r="Z822" s="229"/>
      <c r="AA822" s="229"/>
    </row>
    <row r="823" customFormat="false" ht="13.5" hidden="false" customHeight="true" outlineLevel="0" collapsed="false">
      <c r="A823" s="229"/>
      <c r="B823" s="229"/>
      <c r="C823" s="229"/>
      <c r="D823" s="229"/>
      <c r="E823" s="229"/>
      <c r="F823" s="229"/>
      <c r="G823" s="229"/>
      <c r="H823" s="229"/>
      <c r="I823" s="229"/>
      <c r="J823" s="229"/>
      <c r="K823" s="229"/>
      <c r="L823" s="229"/>
      <c r="M823" s="229"/>
      <c r="N823" s="229"/>
      <c r="O823" s="229"/>
      <c r="P823" s="229"/>
      <c r="Q823" s="229"/>
      <c r="R823" s="229"/>
      <c r="S823" s="229"/>
      <c r="T823" s="229"/>
      <c r="U823" s="229"/>
      <c r="V823" s="229"/>
      <c r="W823" s="229"/>
      <c r="X823" s="229"/>
      <c r="Y823" s="229"/>
      <c r="Z823" s="229"/>
      <c r="AA823" s="229"/>
    </row>
    <row r="824" customFormat="false" ht="13.5" hidden="false" customHeight="true" outlineLevel="0" collapsed="false">
      <c r="A824" s="229"/>
      <c r="B824" s="229"/>
      <c r="C824" s="229"/>
      <c r="D824" s="229"/>
      <c r="E824" s="229"/>
      <c r="F824" s="229"/>
      <c r="G824" s="229"/>
      <c r="H824" s="229"/>
      <c r="I824" s="229"/>
      <c r="J824" s="229"/>
      <c r="K824" s="229"/>
      <c r="L824" s="229"/>
      <c r="M824" s="229"/>
      <c r="N824" s="229"/>
      <c r="O824" s="229"/>
      <c r="P824" s="229"/>
      <c r="Q824" s="229"/>
      <c r="R824" s="229"/>
      <c r="S824" s="229"/>
      <c r="T824" s="229"/>
      <c r="U824" s="229"/>
      <c r="V824" s="229"/>
      <c r="W824" s="229"/>
      <c r="X824" s="229"/>
      <c r="Y824" s="229"/>
      <c r="Z824" s="229"/>
      <c r="AA824" s="229"/>
    </row>
    <row r="825" customFormat="false" ht="13.5" hidden="false" customHeight="true" outlineLevel="0" collapsed="false">
      <c r="A825" s="229"/>
      <c r="B825" s="229"/>
      <c r="C825" s="229"/>
      <c r="D825" s="229"/>
      <c r="E825" s="229"/>
      <c r="F825" s="229"/>
      <c r="G825" s="229"/>
      <c r="H825" s="229"/>
      <c r="I825" s="229"/>
      <c r="J825" s="229"/>
      <c r="K825" s="229"/>
      <c r="L825" s="229"/>
      <c r="M825" s="229"/>
      <c r="N825" s="229"/>
      <c r="O825" s="229"/>
      <c r="P825" s="229"/>
      <c r="Q825" s="229"/>
      <c r="R825" s="229"/>
      <c r="S825" s="229"/>
      <c r="T825" s="229"/>
      <c r="U825" s="229"/>
      <c r="V825" s="229"/>
      <c r="W825" s="229"/>
      <c r="X825" s="229"/>
      <c r="Y825" s="229"/>
      <c r="Z825" s="229"/>
      <c r="AA825" s="229"/>
    </row>
    <row r="826" customFormat="false" ht="13.5" hidden="false" customHeight="true" outlineLevel="0" collapsed="false">
      <c r="A826" s="229"/>
      <c r="B826" s="229"/>
      <c r="C826" s="229"/>
      <c r="D826" s="229"/>
      <c r="E826" s="229"/>
      <c r="F826" s="229"/>
      <c r="G826" s="229"/>
      <c r="H826" s="229"/>
      <c r="I826" s="229"/>
      <c r="J826" s="229"/>
      <c r="K826" s="229"/>
      <c r="L826" s="229"/>
      <c r="M826" s="229"/>
      <c r="N826" s="229"/>
      <c r="O826" s="229"/>
      <c r="P826" s="229"/>
      <c r="Q826" s="229"/>
      <c r="R826" s="229"/>
      <c r="S826" s="229"/>
      <c r="T826" s="229"/>
      <c r="U826" s="229"/>
      <c r="V826" s="229"/>
      <c r="W826" s="229"/>
      <c r="X826" s="229"/>
      <c r="Y826" s="229"/>
      <c r="Z826" s="229"/>
      <c r="AA826" s="229"/>
    </row>
    <row r="827" customFormat="false" ht="13.5" hidden="false" customHeight="true" outlineLevel="0" collapsed="false">
      <c r="A827" s="229"/>
      <c r="B827" s="229"/>
      <c r="C827" s="229"/>
      <c r="D827" s="229"/>
      <c r="E827" s="229"/>
      <c r="F827" s="229"/>
      <c r="G827" s="229"/>
      <c r="H827" s="229"/>
      <c r="I827" s="229"/>
      <c r="J827" s="229"/>
      <c r="K827" s="229"/>
      <c r="L827" s="229"/>
      <c r="M827" s="229"/>
      <c r="N827" s="229"/>
      <c r="O827" s="229"/>
      <c r="P827" s="229"/>
      <c r="Q827" s="229"/>
      <c r="R827" s="229"/>
      <c r="S827" s="229"/>
      <c r="T827" s="229"/>
      <c r="U827" s="229"/>
      <c r="V827" s="229"/>
      <c r="W827" s="229"/>
      <c r="X827" s="229"/>
      <c r="Y827" s="229"/>
      <c r="Z827" s="229"/>
      <c r="AA827" s="229"/>
    </row>
    <row r="828" customFormat="false" ht="13.5" hidden="false" customHeight="true" outlineLevel="0" collapsed="false">
      <c r="A828" s="229"/>
      <c r="B828" s="229"/>
      <c r="C828" s="229"/>
      <c r="D828" s="229"/>
      <c r="E828" s="229"/>
      <c r="F828" s="229"/>
      <c r="G828" s="229"/>
      <c r="H828" s="229"/>
      <c r="I828" s="229"/>
      <c r="J828" s="229"/>
      <c r="K828" s="229"/>
      <c r="L828" s="229"/>
      <c r="M828" s="229"/>
      <c r="N828" s="229"/>
      <c r="O828" s="229"/>
      <c r="P828" s="229"/>
      <c r="Q828" s="229"/>
      <c r="R828" s="229"/>
      <c r="S828" s="229"/>
      <c r="T828" s="229"/>
      <c r="U828" s="229"/>
      <c r="V828" s="229"/>
      <c r="W828" s="229"/>
      <c r="X828" s="229"/>
      <c r="Y828" s="229"/>
      <c r="Z828" s="229"/>
      <c r="AA828" s="229"/>
    </row>
    <row r="829" customFormat="false" ht="13.5" hidden="false" customHeight="true" outlineLevel="0" collapsed="false">
      <c r="A829" s="229"/>
      <c r="B829" s="229"/>
      <c r="C829" s="229"/>
      <c r="D829" s="229"/>
      <c r="E829" s="229"/>
      <c r="F829" s="229"/>
      <c r="G829" s="229"/>
      <c r="H829" s="229"/>
      <c r="I829" s="229"/>
      <c r="J829" s="229"/>
      <c r="K829" s="229"/>
      <c r="L829" s="229"/>
      <c r="M829" s="229"/>
      <c r="N829" s="229"/>
      <c r="O829" s="229"/>
      <c r="P829" s="229"/>
      <c r="Q829" s="229"/>
      <c r="R829" s="229"/>
      <c r="S829" s="229"/>
      <c r="T829" s="229"/>
      <c r="U829" s="229"/>
      <c r="V829" s="229"/>
      <c r="W829" s="229"/>
      <c r="X829" s="229"/>
      <c r="Y829" s="229"/>
      <c r="Z829" s="229"/>
      <c r="AA829" s="229"/>
    </row>
    <row r="830" customFormat="false" ht="13.5" hidden="false" customHeight="true" outlineLevel="0" collapsed="false">
      <c r="A830" s="229"/>
      <c r="B830" s="229"/>
      <c r="C830" s="229"/>
      <c r="D830" s="229"/>
      <c r="E830" s="229"/>
      <c r="F830" s="229"/>
      <c r="G830" s="229"/>
      <c r="H830" s="229"/>
      <c r="I830" s="229"/>
      <c r="J830" s="229"/>
      <c r="K830" s="229"/>
      <c r="L830" s="229"/>
      <c r="M830" s="229"/>
      <c r="N830" s="229"/>
      <c r="O830" s="229"/>
      <c r="P830" s="229"/>
      <c r="Q830" s="229"/>
      <c r="R830" s="229"/>
      <c r="S830" s="229"/>
      <c r="T830" s="229"/>
      <c r="U830" s="229"/>
      <c r="V830" s="229"/>
      <c r="W830" s="229"/>
      <c r="X830" s="229"/>
      <c r="Y830" s="229"/>
      <c r="Z830" s="229"/>
      <c r="AA830" s="229"/>
    </row>
    <row r="831" customFormat="false" ht="13.5" hidden="false" customHeight="true" outlineLevel="0" collapsed="false">
      <c r="A831" s="229"/>
      <c r="B831" s="229"/>
      <c r="C831" s="229"/>
      <c r="D831" s="229"/>
      <c r="E831" s="229"/>
      <c r="F831" s="229"/>
      <c r="G831" s="229"/>
      <c r="H831" s="229"/>
      <c r="I831" s="229"/>
      <c r="J831" s="229"/>
      <c r="K831" s="229"/>
      <c r="L831" s="229"/>
      <c r="M831" s="229"/>
      <c r="N831" s="229"/>
      <c r="O831" s="229"/>
      <c r="P831" s="229"/>
      <c r="Q831" s="229"/>
      <c r="R831" s="229"/>
      <c r="S831" s="229"/>
      <c r="T831" s="229"/>
      <c r="U831" s="229"/>
      <c r="V831" s="229"/>
      <c r="W831" s="229"/>
      <c r="X831" s="229"/>
      <c r="Y831" s="229"/>
      <c r="Z831" s="229"/>
      <c r="AA831" s="229"/>
    </row>
    <row r="832" customFormat="false" ht="13.5" hidden="false" customHeight="true" outlineLevel="0" collapsed="false">
      <c r="A832" s="229"/>
      <c r="B832" s="229"/>
      <c r="C832" s="229"/>
      <c r="D832" s="229"/>
      <c r="E832" s="229"/>
      <c r="F832" s="229"/>
      <c r="G832" s="229"/>
      <c r="H832" s="229"/>
      <c r="I832" s="229"/>
      <c r="J832" s="229"/>
      <c r="K832" s="229"/>
      <c r="L832" s="229"/>
      <c r="M832" s="229"/>
      <c r="N832" s="229"/>
      <c r="O832" s="229"/>
      <c r="P832" s="229"/>
      <c r="Q832" s="229"/>
      <c r="R832" s="229"/>
      <c r="S832" s="229"/>
      <c r="T832" s="229"/>
      <c r="U832" s="229"/>
      <c r="V832" s="229"/>
      <c r="W832" s="229"/>
      <c r="X832" s="229"/>
      <c r="Y832" s="229"/>
      <c r="Z832" s="229"/>
      <c r="AA832" s="229"/>
    </row>
    <row r="833" customFormat="false" ht="13.5" hidden="false" customHeight="true" outlineLevel="0" collapsed="false">
      <c r="A833" s="229"/>
      <c r="B833" s="229"/>
      <c r="C833" s="229"/>
      <c r="D833" s="229"/>
      <c r="E833" s="229"/>
      <c r="F833" s="229"/>
      <c r="G833" s="229"/>
      <c r="H833" s="229"/>
      <c r="I833" s="229"/>
      <c r="J833" s="229"/>
      <c r="K833" s="229"/>
      <c r="L833" s="229"/>
      <c r="M833" s="229"/>
      <c r="N833" s="229"/>
      <c r="O833" s="229"/>
      <c r="P833" s="229"/>
      <c r="Q833" s="229"/>
      <c r="R833" s="229"/>
      <c r="S833" s="229"/>
      <c r="T833" s="229"/>
      <c r="U833" s="229"/>
      <c r="V833" s="229"/>
      <c r="W833" s="229"/>
      <c r="X833" s="229"/>
      <c r="Y833" s="229"/>
      <c r="Z833" s="229"/>
      <c r="AA833" s="229"/>
    </row>
    <row r="834" customFormat="false" ht="13.5" hidden="false" customHeight="true" outlineLevel="0" collapsed="false">
      <c r="A834" s="229"/>
      <c r="B834" s="229"/>
      <c r="C834" s="229"/>
      <c r="D834" s="229"/>
      <c r="E834" s="229"/>
      <c r="F834" s="229"/>
      <c r="G834" s="229"/>
      <c r="H834" s="229"/>
      <c r="I834" s="229"/>
      <c r="J834" s="229"/>
      <c r="K834" s="229"/>
      <c r="L834" s="229"/>
      <c r="M834" s="229"/>
      <c r="N834" s="229"/>
      <c r="O834" s="229"/>
      <c r="P834" s="229"/>
      <c r="Q834" s="229"/>
      <c r="R834" s="229"/>
      <c r="S834" s="229"/>
      <c r="T834" s="229"/>
      <c r="U834" s="229"/>
      <c r="V834" s="229"/>
      <c r="W834" s="229"/>
      <c r="X834" s="229"/>
      <c r="Y834" s="229"/>
      <c r="Z834" s="229"/>
      <c r="AA834" s="229"/>
    </row>
    <row r="835" customFormat="false" ht="13.5" hidden="false" customHeight="true" outlineLevel="0" collapsed="false">
      <c r="A835" s="229"/>
      <c r="B835" s="229"/>
      <c r="C835" s="229"/>
      <c r="D835" s="229"/>
      <c r="E835" s="229"/>
      <c r="F835" s="229"/>
      <c r="G835" s="229"/>
      <c r="H835" s="229"/>
      <c r="I835" s="229"/>
      <c r="J835" s="229"/>
      <c r="K835" s="229"/>
      <c r="L835" s="229"/>
      <c r="M835" s="229"/>
      <c r="N835" s="229"/>
      <c r="O835" s="229"/>
      <c r="P835" s="229"/>
      <c r="Q835" s="229"/>
      <c r="R835" s="229"/>
      <c r="S835" s="229"/>
      <c r="T835" s="229"/>
      <c r="U835" s="229"/>
      <c r="V835" s="229"/>
      <c r="W835" s="229"/>
      <c r="X835" s="229"/>
      <c r="Y835" s="229"/>
      <c r="Z835" s="229"/>
      <c r="AA835" s="229"/>
    </row>
    <row r="836" customFormat="false" ht="13.5" hidden="false" customHeight="true" outlineLevel="0" collapsed="false">
      <c r="A836" s="229"/>
      <c r="B836" s="229"/>
      <c r="C836" s="229"/>
      <c r="D836" s="229"/>
      <c r="E836" s="229"/>
      <c r="F836" s="229"/>
      <c r="G836" s="229"/>
      <c r="H836" s="229"/>
      <c r="I836" s="229"/>
      <c r="J836" s="229"/>
      <c r="K836" s="229"/>
      <c r="L836" s="229"/>
      <c r="M836" s="229"/>
      <c r="N836" s="229"/>
      <c r="O836" s="229"/>
      <c r="P836" s="229"/>
      <c r="Q836" s="229"/>
      <c r="R836" s="229"/>
      <c r="S836" s="229"/>
      <c r="T836" s="229"/>
      <c r="U836" s="229"/>
      <c r="V836" s="229"/>
      <c r="W836" s="229"/>
      <c r="X836" s="229"/>
      <c r="Y836" s="229"/>
      <c r="Z836" s="229"/>
      <c r="AA836" s="229"/>
    </row>
    <row r="837" customFormat="false" ht="13.5" hidden="false" customHeight="true" outlineLevel="0" collapsed="false">
      <c r="A837" s="229"/>
      <c r="B837" s="229"/>
      <c r="C837" s="229"/>
      <c r="D837" s="229"/>
      <c r="E837" s="229"/>
      <c r="F837" s="229"/>
      <c r="G837" s="229"/>
      <c r="H837" s="229"/>
      <c r="I837" s="229"/>
      <c r="J837" s="229"/>
      <c r="K837" s="229"/>
      <c r="L837" s="229"/>
      <c r="M837" s="229"/>
      <c r="N837" s="229"/>
      <c r="O837" s="229"/>
      <c r="P837" s="229"/>
      <c r="Q837" s="229"/>
      <c r="R837" s="229"/>
      <c r="S837" s="229"/>
      <c r="T837" s="229"/>
      <c r="U837" s="229"/>
      <c r="V837" s="229"/>
      <c r="W837" s="229"/>
      <c r="X837" s="229"/>
      <c r="Y837" s="229"/>
      <c r="Z837" s="229"/>
      <c r="AA837" s="229"/>
    </row>
    <row r="838" customFormat="false" ht="13.5" hidden="false" customHeight="true" outlineLevel="0" collapsed="false">
      <c r="A838" s="229"/>
      <c r="B838" s="229"/>
      <c r="C838" s="229"/>
      <c r="D838" s="229"/>
      <c r="E838" s="229"/>
      <c r="F838" s="229"/>
      <c r="G838" s="229"/>
      <c r="H838" s="229"/>
      <c r="I838" s="229"/>
      <c r="J838" s="229"/>
      <c r="K838" s="229"/>
      <c r="L838" s="229"/>
      <c r="M838" s="229"/>
      <c r="N838" s="229"/>
      <c r="O838" s="229"/>
      <c r="P838" s="229"/>
      <c r="Q838" s="229"/>
      <c r="R838" s="229"/>
      <c r="S838" s="229"/>
      <c r="T838" s="229"/>
      <c r="U838" s="229"/>
      <c r="V838" s="229"/>
      <c r="W838" s="229"/>
      <c r="X838" s="229"/>
      <c r="Y838" s="229"/>
      <c r="Z838" s="229"/>
      <c r="AA838" s="229"/>
    </row>
    <row r="839" customFormat="false" ht="13.5" hidden="false" customHeight="true" outlineLevel="0" collapsed="false">
      <c r="A839" s="229"/>
      <c r="B839" s="229"/>
      <c r="C839" s="229"/>
      <c r="D839" s="229"/>
      <c r="E839" s="229"/>
      <c r="F839" s="229"/>
      <c r="G839" s="229"/>
      <c r="H839" s="229"/>
      <c r="I839" s="229"/>
      <c r="J839" s="229"/>
      <c r="K839" s="229"/>
      <c r="L839" s="229"/>
      <c r="M839" s="229"/>
      <c r="N839" s="229"/>
      <c r="O839" s="229"/>
      <c r="P839" s="229"/>
      <c r="Q839" s="229"/>
      <c r="R839" s="229"/>
      <c r="S839" s="229"/>
      <c r="T839" s="229"/>
      <c r="U839" s="229"/>
      <c r="V839" s="229"/>
      <c r="W839" s="229"/>
      <c r="X839" s="229"/>
      <c r="Y839" s="229"/>
      <c r="Z839" s="229"/>
      <c r="AA839" s="229"/>
    </row>
    <row r="840" customFormat="false" ht="13.5" hidden="false" customHeight="true" outlineLevel="0" collapsed="false">
      <c r="A840" s="229"/>
      <c r="B840" s="229"/>
      <c r="C840" s="229"/>
      <c r="D840" s="229"/>
      <c r="E840" s="229"/>
      <c r="F840" s="229"/>
      <c r="G840" s="229"/>
      <c r="H840" s="229"/>
      <c r="I840" s="229"/>
      <c r="J840" s="229"/>
      <c r="K840" s="229"/>
      <c r="L840" s="229"/>
      <c r="M840" s="229"/>
      <c r="N840" s="229"/>
      <c r="O840" s="229"/>
      <c r="P840" s="229"/>
      <c r="Q840" s="229"/>
      <c r="R840" s="229"/>
      <c r="S840" s="229"/>
      <c r="T840" s="229"/>
      <c r="U840" s="229"/>
      <c r="V840" s="229"/>
      <c r="W840" s="229"/>
      <c r="X840" s="229"/>
      <c r="Y840" s="229"/>
      <c r="Z840" s="229"/>
      <c r="AA840" s="229"/>
    </row>
    <row r="841" customFormat="false" ht="13.5" hidden="false" customHeight="true" outlineLevel="0" collapsed="false">
      <c r="A841" s="229"/>
      <c r="B841" s="229"/>
      <c r="C841" s="229"/>
      <c r="D841" s="229"/>
      <c r="E841" s="229"/>
      <c r="F841" s="229"/>
      <c r="G841" s="229"/>
      <c r="H841" s="229"/>
      <c r="I841" s="229"/>
      <c r="J841" s="229"/>
      <c r="K841" s="229"/>
      <c r="L841" s="229"/>
      <c r="M841" s="229"/>
      <c r="N841" s="229"/>
      <c r="O841" s="229"/>
      <c r="P841" s="229"/>
      <c r="Q841" s="229"/>
      <c r="R841" s="229"/>
      <c r="S841" s="229"/>
      <c r="T841" s="229"/>
      <c r="U841" s="229"/>
      <c r="V841" s="229"/>
      <c r="W841" s="229"/>
      <c r="X841" s="229"/>
      <c r="Y841" s="229"/>
      <c r="Z841" s="229"/>
      <c r="AA841" s="229"/>
    </row>
    <row r="842" customFormat="false" ht="13.5" hidden="false" customHeight="true" outlineLevel="0" collapsed="false">
      <c r="A842" s="229"/>
      <c r="B842" s="229"/>
      <c r="C842" s="229"/>
      <c r="D842" s="229"/>
      <c r="E842" s="229"/>
      <c r="F842" s="229"/>
      <c r="G842" s="229"/>
      <c r="H842" s="229"/>
      <c r="I842" s="229"/>
      <c r="J842" s="229"/>
      <c r="K842" s="229"/>
      <c r="L842" s="229"/>
      <c r="M842" s="229"/>
      <c r="N842" s="229"/>
      <c r="O842" s="229"/>
      <c r="P842" s="229"/>
      <c r="Q842" s="229"/>
      <c r="R842" s="229"/>
      <c r="S842" s="229"/>
      <c r="T842" s="229"/>
      <c r="U842" s="229"/>
      <c r="V842" s="229"/>
      <c r="W842" s="229"/>
      <c r="X842" s="229"/>
      <c r="Y842" s="229"/>
      <c r="Z842" s="229"/>
      <c r="AA842" s="229"/>
    </row>
    <row r="843" customFormat="false" ht="13.5" hidden="false" customHeight="true" outlineLevel="0" collapsed="false">
      <c r="A843" s="229"/>
      <c r="B843" s="229"/>
      <c r="C843" s="229"/>
      <c r="D843" s="229"/>
      <c r="E843" s="229"/>
      <c r="F843" s="229"/>
      <c r="G843" s="229"/>
      <c r="H843" s="229"/>
      <c r="I843" s="229"/>
      <c r="J843" s="229"/>
      <c r="K843" s="229"/>
      <c r="L843" s="229"/>
      <c r="M843" s="229"/>
      <c r="N843" s="229"/>
      <c r="O843" s="229"/>
      <c r="P843" s="229"/>
      <c r="Q843" s="229"/>
      <c r="R843" s="229"/>
      <c r="S843" s="229"/>
      <c r="T843" s="229"/>
      <c r="U843" s="229"/>
      <c r="V843" s="229"/>
      <c r="W843" s="229"/>
      <c r="X843" s="229"/>
      <c r="Y843" s="229"/>
      <c r="Z843" s="229"/>
      <c r="AA843" s="229"/>
    </row>
    <row r="844" customFormat="false" ht="13.5" hidden="false" customHeight="true" outlineLevel="0" collapsed="false">
      <c r="A844" s="229"/>
      <c r="B844" s="229"/>
      <c r="C844" s="229"/>
      <c r="D844" s="229"/>
      <c r="E844" s="229"/>
      <c r="F844" s="229"/>
      <c r="G844" s="229"/>
      <c r="H844" s="229"/>
      <c r="I844" s="229"/>
      <c r="J844" s="229"/>
      <c r="K844" s="229"/>
      <c r="L844" s="229"/>
      <c r="M844" s="229"/>
      <c r="N844" s="229"/>
      <c r="O844" s="229"/>
      <c r="P844" s="229"/>
      <c r="Q844" s="229"/>
      <c r="R844" s="229"/>
      <c r="S844" s="229"/>
      <c r="T844" s="229"/>
      <c r="U844" s="229"/>
      <c r="V844" s="229"/>
      <c r="W844" s="229"/>
      <c r="X844" s="229"/>
      <c r="Y844" s="229"/>
      <c r="Z844" s="229"/>
      <c r="AA844" s="229"/>
    </row>
    <row r="845" customFormat="false" ht="13.5" hidden="false" customHeight="true" outlineLevel="0" collapsed="false">
      <c r="A845" s="229"/>
      <c r="B845" s="229"/>
      <c r="C845" s="229"/>
      <c r="D845" s="229"/>
      <c r="E845" s="229"/>
      <c r="F845" s="229"/>
      <c r="G845" s="229"/>
      <c r="H845" s="229"/>
      <c r="I845" s="229"/>
      <c r="J845" s="229"/>
      <c r="K845" s="229"/>
      <c r="L845" s="229"/>
      <c r="M845" s="229"/>
      <c r="N845" s="229"/>
      <c r="O845" s="229"/>
      <c r="P845" s="229"/>
      <c r="Q845" s="229"/>
      <c r="R845" s="229"/>
      <c r="S845" s="229"/>
      <c r="T845" s="229"/>
      <c r="U845" s="229"/>
      <c r="V845" s="229"/>
      <c r="W845" s="229"/>
      <c r="X845" s="229"/>
      <c r="Y845" s="229"/>
      <c r="Z845" s="229"/>
      <c r="AA845" s="229"/>
    </row>
    <row r="846" customFormat="false" ht="13.5" hidden="false" customHeight="true" outlineLevel="0" collapsed="false">
      <c r="A846" s="229"/>
      <c r="B846" s="229"/>
      <c r="C846" s="229"/>
      <c r="D846" s="229"/>
      <c r="E846" s="229"/>
      <c r="F846" s="229"/>
      <c r="G846" s="229"/>
      <c r="H846" s="229"/>
      <c r="I846" s="229"/>
      <c r="J846" s="229"/>
      <c r="K846" s="229"/>
      <c r="L846" s="229"/>
      <c r="M846" s="229"/>
      <c r="N846" s="229"/>
      <c r="O846" s="229"/>
      <c r="P846" s="229"/>
      <c r="Q846" s="229"/>
      <c r="R846" s="229"/>
      <c r="S846" s="229"/>
      <c r="T846" s="229"/>
      <c r="U846" s="229"/>
      <c r="V846" s="229"/>
      <c r="W846" s="229"/>
      <c r="X846" s="229"/>
      <c r="Y846" s="229"/>
      <c r="Z846" s="229"/>
      <c r="AA846" s="229"/>
    </row>
    <row r="847" customFormat="false" ht="13.5" hidden="false" customHeight="true" outlineLevel="0" collapsed="false">
      <c r="A847" s="229"/>
      <c r="B847" s="229"/>
      <c r="C847" s="229"/>
      <c r="D847" s="229"/>
      <c r="E847" s="229"/>
      <c r="F847" s="229"/>
      <c r="G847" s="229"/>
      <c r="H847" s="229"/>
      <c r="I847" s="229"/>
      <c r="J847" s="229"/>
      <c r="K847" s="229"/>
      <c r="L847" s="229"/>
      <c r="M847" s="229"/>
      <c r="N847" s="229"/>
      <c r="O847" s="229"/>
      <c r="P847" s="229"/>
      <c r="Q847" s="229"/>
      <c r="R847" s="229"/>
      <c r="S847" s="229"/>
      <c r="T847" s="229"/>
      <c r="U847" s="229"/>
      <c r="V847" s="229"/>
      <c r="W847" s="229"/>
      <c r="X847" s="229"/>
      <c r="Y847" s="229"/>
      <c r="Z847" s="229"/>
      <c r="AA847" s="229"/>
    </row>
    <row r="848" customFormat="false" ht="13.5" hidden="false" customHeight="true" outlineLevel="0" collapsed="false">
      <c r="A848" s="229"/>
      <c r="B848" s="229"/>
      <c r="C848" s="229"/>
      <c r="D848" s="229"/>
      <c r="E848" s="229"/>
      <c r="F848" s="229"/>
      <c r="G848" s="229"/>
      <c r="H848" s="229"/>
      <c r="I848" s="229"/>
      <c r="J848" s="229"/>
      <c r="K848" s="229"/>
      <c r="L848" s="229"/>
      <c r="M848" s="229"/>
      <c r="N848" s="229"/>
      <c r="O848" s="229"/>
      <c r="P848" s="229"/>
      <c r="Q848" s="229"/>
      <c r="R848" s="229"/>
      <c r="S848" s="229"/>
      <c r="T848" s="229"/>
      <c r="U848" s="229"/>
      <c r="V848" s="229"/>
      <c r="W848" s="229"/>
      <c r="X848" s="229"/>
      <c r="Y848" s="229"/>
      <c r="Z848" s="229"/>
      <c r="AA848" s="229"/>
    </row>
    <row r="849" customFormat="false" ht="13.5" hidden="false" customHeight="true" outlineLevel="0" collapsed="false">
      <c r="A849" s="229"/>
      <c r="B849" s="229"/>
      <c r="C849" s="229"/>
      <c r="D849" s="229"/>
      <c r="E849" s="229"/>
      <c r="F849" s="229"/>
      <c r="G849" s="229"/>
      <c r="H849" s="229"/>
      <c r="I849" s="229"/>
      <c r="J849" s="229"/>
      <c r="K849" s="229"/>
      <c r="L849" s="229"/>
      <c r="M849" s="229"/>
      <c r="N849" s="229"/>
      <c r="O849" s="229"/>
      <c r="P849" s="229"/>
      <c r="Q849" s="229"/>
      <c r="R849" s="229"/>
      <c r="S849" s="229"/>
      <c r="T849" s="229"/>
      <c r="U849" s="229"/>
      <c r="V849" s="229"/>
      <c r="W849" s="229"/>
      <c r="X849" s="229"/>
      <c r="Y849" s="229"/>
      <c r="Z849" s="229"/>
      <c r="AA849" s="229"/>
    </row>
    <row r="850" customFormat="false" ht="13.5" hidden="false" customHeight="true" outlineLevel="0" collapsed="false">
      <c r="A850" s="229"/>
      <c r="B850" s="229"/>
      <c r="C850" s="229"/>
      <c r="D850" s="229"/>
      <c r="E850" s="229"/>
      <c r="F850" s="229"/>
      <c r="G850" s="229"/>
      <c r="H850" s="229"/>
      <c r="I850" s="229"/>
      <c r="J850" s="229"/>
      <c r="K850" s="229"/>
      <c r="L850" s="229"/>
      <c r="M850" s="229"/>
      <c r="N850" s="229"/>
      <c r="O850" s="229"/>
      <c r="P850" s="229"/>
      <c r="Q850" s="229"/>
      <c r="R850" s="229"/>
      <c r="S850" s="229"/>
      <c r="T850" s="229"/>
      <c r="U850" s="229"/>
      <c r="V850" s="229"/>
      <c r="W850" s="229"/>
      <c r="X850" s="229"/>
      <c r="Y850" s="229"/>
      <c r="Z850" s="229"/>
      <c r="AA850" s="229"/>
    </row>
    <row r="851" customFormat="false" ht="13.5" hidden="false" customHeight="true" outlineLevel="0" collapsed="false">
      <c r="A851" s="229"/>
      <c r="B851" s="229"/>
      <c r="C851" s="229"/>
      <c r="D851" s="229"/>
      <c r="E851" s="229"/>
      <c r="F851" s="229"/>
      <c r="G851" s="229"/>
      <c r="H851" s="229"/>
      <c r="I851" s="229"/>
      <c r="J851" s="229"/>
      <c r="K851" s="229"/>
      <c r="L851" s="229"/>
      <c r="M851" s="229"/>
      <c r="N851" s="229"/>
      <c r="O851" s="229"/>
      <c r="P851" s="229"/>
      <c r="Q851" s="229"/>
      <c r="R851" s="229"/>
      <c r="S851" s="229"/>
      <c r="T851" s="229"/>
      <c r="U851" s="229"/>
      <c r="V851" s="229"/>
      <c r="W851" s="229"/>
      <c r="X851" s="229"/>
      <c r="Y851" s="229"/>
      <c r="Z851" s="229"/>
      <c r="AA851" s="229"/>
    </row>
    <row r="852" customFormat="false" ht="13.5" hidden="false" customHeight="true" outlineLevel="0" collapsed="false">
      <c r="A852" s="229"/>
      <c r="B852" s="229"/>
      <c r="C852" s="229"/>
      <c r="D852" s="229"/>
      <c r="E852" s="229"/>
      <c r="F852" s="229"/>
      <c r="G852" s="229"/>
      <c r="H852" s="229"/>
      <c r="I852" s="229"/>
      <c r="J852" s="229"/>
      <c r="K852" s="229"/>
      <c r="L852" s="229"/>
      <c r="M852" s="229"/>
      <c r="N852" s="229"/>
      <c r="O852" s="229"/>
      <c r="P852" s="229"/>
      <c r="Q852" s="229"/>
      <c r="R852" s="229"/>
      <c r="S852" s="229"/>
      <c r="T852" s="229"/>
      <c r="U852" s="229"/>
      <c r="V852" s="229"/>
      <c r="W852" s="229"/>
      <c r="X852" s="229"/>
      <c r="Y852" s="229"/>
      <c r="Z852" s="229"/>
      <c r="AA852" s="229"/>
    </row>
    <row r="853" customFormat="false" ht="13.5" hidden="false" customHeight="true" outlineLevel="0" collapsed="false">
      <c r="A853" s="229"/>
      <c r="B853" s="229"/>
      <c r="C853" s="229"/>
      <c r="D853" s="229"/>
      <c r="E853" s="229"/>
      <c r="F853" s="229"/>
      <c r="G853" s="229"/>
      <c r="H853" s="229"/>
      <c r="I853" s="229"/>
      <c r="J853" s="229"/>
      <c r="K853" s="229"/>
      <c r="L853" s="229"/>
      <c r="M853" s="229"/>
      <c r="N853" s="229"/>
      <c r="O853" s="229"/>
      <c r="P853" s="229"/>
      <c r="Q853" s="229"/>
      <c r="R853" s="229"/>
      <c r="S853" s="229"/>
      <c r="T853" s="229"/>
      <c r="U853" s="229"/>
      <c r="V853" s="229"/>
      <c r="W853" s="229"/>
      <c r="X853" s="229"/>
      <c r="Y853" s="229"/>
      <c r="Z853" s="229"/>
      <c r="AA853" s="229"/>
    </row>
    <row r="854" customFormat="false" ht="13.5" hidden="false" customHeight="true" outlineLevel="0" collapsed="false">
      <c r="A854" s="229"/>
      <c r="B854" s="229"/>
      <c r="C854" s="229"/>
      <c r="D854" s="229"/>
      <c r="E854" s="229"/>
      <c r="F854" s="229"/>
      <c r="G854" s="229"/>
      <c r="H854" s="229"/>
      <c r="I854" s="229"/>
      <c r="J854" s="229"/>
      <c r="K854" s="229"/>
      <c r="L854" s="229"/>
      <c r="M854" s="229"/>
      <c r="N854" s="229"/>
      <c r="O854" s="229"/>
      <c r="P854" s="229"/>
      <c r="Q854" s="229"/>
      <c r="R854" s="229"/>
      <c r="S854" s="229"/>
      <c r="T854" s="229"/>
      <c r="U854" s="229"/>
      <c r="V854" s="229"/>
      <c r="W854" s="229"/>
      <c r="X854" s="229"/>
      <c r="Y854" s="229"/>
      <c r="Z854" s="229"/>
      <c r="AA854" s="229"/>
    </row>
    <row r="855" customFormat="false" ht="13.5" hidden="false" customHeight="true" outlineLevel="0" collapsed="false">
      <c r="A855" s="229"/>
      <c r="B855" s="229"/>
      <c r="C855" s="229"/>
      <c r="D855" s="229"/>
      <c r="E855" s="229"/>
      <c r="F855" s="229"/>
      <c r="G855" s="229"/>
      <c r="H855" s="229"/>
      <c r="I855" s="229"/>
      <c r="J855" s="229"/>
      <c r="K855" s="229"/>
      <c r="L855" s="229"/>
      <c r="M855" s="229"/>
      <c r="N855" s="229"/>
      <c r="O855" s="229"/>
      <c r="P855" s="229"/>
      <c r="Q855" s="229"/>
      <c r="R855" s="229"/>
      <c r="S855" s="229"/>
      <c r="T855" s="229"/>
      <c r="U855" s="229"/>
      <c r="V855" s="229"/>
      <c r="W855" s="229"/>
      <c r="X855" s="229"/>
      <c r="Y855" s="229"/>
      <c r="Z855" s="229"/>
      <c r="AA855" s="229"/>
    </row>
    <row r="856" customFormat="false" ht="13.5" hidden="false" customHeight="true" outlineLevel="0" collapsed="false">
      <c r="A856" s="229"/>
      <c r="B856" s="229"/>
      <c r="C856" s="229"/>
      <c r="D856" s="229"/>
      <c r="E856" s="229"/>
      <c r="F856" s="229"/>
      <c r="G856" s="229"/>
      <c r="H856" s="229"/>
      <c r="I856" s="229"/>
      <c r="J856" s="229"/>
      <c r="K856" s="229"/>
      <c r="L856" s="229"/>
      <c r="M856" s="229"/>
      <c r="N856" s="229"/>
      <c r="O856" s="229"/>
      <c r="P856" s="229"/>
      <c r="Q856" s="229"/>
      <c r="R856" s="229"/>
      <c r="S856" s="229"/>
      <c r="T856" s="229"/>
      <c r="U856" s="229"/>
      <c r="V856" s="229"/>
      <c r="W856" s="229"/>
      <c r="X856" s="229"/>
      <c r="Y856" s="229"/>
      <c r="Z856" s="229"/>
      <c r="AA856" s="229"/>
    </row>
    <row r="857" customFormat="false" ht="13.5" hidden="false" customHeight="true" outlineLevel="0" collapsed="false">
      <c r="A857" s="229"/>
      <c r="B857" s="229"/>
      <c r="C857" s="229"/>
      <c r="D857" s="229"/>
      <c r="E857" s="229"/>
      <c r="F857" s="229"/>
      <c r="G857" s="229"/>
      <c r="H857" s="229"/>
      <c r="I857" s="229"/>
      <c r="J857" s="229"/>
      <c r="K857" s="229"/>
      <c r="L857" s="229"/>
      <c r="M857" s="229"/>
      <c r="N857" s="229"/>
      <c r="O857" s="229"/>
      <c r="P857" s="229"/>
      <c r="Q857" s="229"/>
      <c r="R857" s="229"/>
      <c r="S857" s="229"/>
      <c r="T857" s="229"/>
      <c r="U857" s="229"/>
      <c r="V857" s="229"/>
      <c r="W857" s="229"/>
      <c r="X857" s="229"/>
      <c r="Y857" s="229"/>
      <c r="Z857" s="229"/>
      <c r="AA857" s="229"/>
    </row>
    <row r="858" customFormat="false" ht="13.5" hidden="false" customHeight="true" outlineLevel="0" collapsed="false">
      <c r="A858" s="229"/>
      <c r="B858" s="229"/>
      <c r="C858" s="229"/>
      <c r="D858" s="229"/>
      <c r="E858" s="229"/>
      <c r="F858" s="229"/>
      <c r="G858" s="229"/>
      <c r="H858" s="229"/>
      <c r="I858" s="229"/>
      <c r="J858" s="229"/>
      <c r="K858" s="229"/>
      <c r="L858" s="229"/>
      <c r="M858" s="229"/>
      <c r="N858" s="229"/>
      <c r="O858" s="229"/>
      <c r="P858" s="229"/>
      <c r="Q858" s="229"/>
      <c r="R858" s="229"/>
      <c r="S858" s="229"/>
      <c r="T858" s="229"/>
      <c r="U858" s="229"/>
      <c r="V858" s="229"/>
      <c r="W858" s="229"/>
      <c r="X858" s="229"/>
      <c r="Y858" s="229"/>
      <c r="Z858" s="229"/>
      <c r="AA858" s="229"/>
    </row>
    <row r="859" customFormat="false" ht="13.5" hidden="false" customHeight="true" outlineLevel="0" collapsed="false">
      <c r="A859" s="229"/>
      <c r="B859" s="229"/>
      <c r="C859" s="229"/>
      <c r="D859" s="229"/>
      <c r="E859" s="229"/>
      <c r="F859" s="229"/>
      <c r="G859" s="229"/>
      <c r="H859" s="229"/>
      <c r="I859" s="229"/>
      <c r="J859" s="229"/>
      <c r="K859" s="229"/>
      <c r="L859" s="229"/>
      <c r="M859" s="229"/>
      <c r="N859" s="229"/>
      <c r="O859" s="229"/>
      <c r="P859" s="229"/>
      <c r="Q859" s="229"/>
      <c r="R859" s="229"/>
      <c r="S859" s="229"/>
      <c r="T859" s="229"/>
      <c r="U859" s="229"/>
      <c r="V859" s="229"/>
      <c r="W859" s="229"/>
      <c r="X859" s="229"/>
      <c r="Y859" s="229"/>
      <c r="Z859" s="229"/>
      <c r="AA859" s="229"/>
    </row>
    <row r="860" customFormat="false" ht="13.5" hidden="false" customHeight="true" outlineLevel="0" collapsed="false">
      <c r="A860" s="229"/>
      <c r="B860" s="229"/>
      <c r="C860" s="229"/>
      <c r="D860" s="229"/>
      <c r="E860" s="229"/>
      <c r="F860" s="229"/>
      <c r="G860" s="229"/>
      <c r="H860" s="229"/>
      <c r="I860" s="229"/>
      <c r="J860" s="229"/>
      <c r="K860" s="229"/>
      <c r="L860" s="229"/>
      <c r="M860" s="229"/>
      <c r="N860" s="229"/>
      <c r="O860" s="229"/>
      <c r="P860" s="229"/>
      <c r="Q860" s="229"/>
      <c r="R860" s="229"/>
      <c r="S860" s="229"/>
      <c r="T860" s="229"/>
      <c r="U860" s="229"/>
      <c r="V860" s="229"/>
      <c r="W860" s="229"/>
      <c r="X860" s="229"/>
      <c r="Y860" s="229"/>
      <c r="Z860" s="229"/>
      <c r="AA860" s="229"/>
    </row>
    <row r="861" customFormat="false" ht="13.5" hidden="false" customHeight="true" outlineLevel="0" collapsed="false">
      <c r="A861" s="229"/>
      <c r="B861" s="229"/>
      <c r="C861" s="229"/>
      <c r="D861" s="229"/>
      <c r="E861" s="229"/>
      <c r="F861" s="229"/>
      <c r="G861" s="229"/>
      <c r="H861" s="229"/>
      <c r="I861" s="229"/>
      <c r="J861" s="229"/>
      <c r="K861" s="229"/>
      <c r="L861" s="229"/>
      <c r="M861" s="229"/>
      <c r="N861" s="229"/>
      <c r="O861" s="229"/>
      <c r="P861" s="229"/>
      <c r="Q861" s="229"/>
      <c r="R861" s="229"/>
      <c r="S861" s="229"/>
      <c r="T861" s="229"/>
      <c r="U861" s="229"/>
      <c r="V861" s="229"/>
      <c r="W861" s="229"/>
      <c r="X861" s="229"/>
      <c r="Y861" s="229"/>
      <c r="Z861" s="229"/>
      <c r="AA861" s="229"/>
    </row>
    <row r="862" customFormat="false" ht="13.5" hidden="false" customHeight="true" outlineLevel="0" collapsed="false">
      <c r="A862" s="229"/>
      <c r="B862" s="229"/>
      <c r="C862" s="229"/>
      <c r="D862" s="229"/>
      <c r="E862" s="229"/>
      <c r="F862" s="229"/>
      <c r="G862" s="229"/>
      <c r="H862" s="229"/>
      <c r="I862" s="229"/>
      <c r="J862" s="229"/>
      <c r="K862" s="229"/>
      <c r="L862" s="229"/>
      <c r="M862" s="229"/>
      <c r="N862" s="229"/>
      <c r="O862" s="229"/>
      <c r="P862" s="229"/>
      <c r="Q862" s="229"/>
      <c r="R862" s="229"/>
      <c r="S862" s="229"/>
      <c r="T862" s="229"/>
      <c r="U862" s="229"/>
      <c r="V862" s="229"/>
      <c r="W862" s="229"/>
      <c r="X862" s="229"/>
      <c r="Y862" s="229"/>
      <c r="Z862" s="229"/>
      <c r="AA862" s="229"/>
    </row>
    <row r="863" customFormat="false" ht="13.5" hidden="false" customHeight="true" outlineLevel="0" collapsed="false">
      <c r="A863" s="229"/>
      <c r="B863" s="229"/>
      <c r="C863" s="229"/>
      <c r="D863" s="229"/>
      <c r="E863" s="229"/>
      <c r="F863" s="229"/>
      <c r="G863" s="229"/>
      <c r="H863" s="229"/>
      <c r="I863" s="229"/>
      <c r="J863" s="229"/>
      <c r="K863" s="229"/>
      <c r="L863" s="229"/>
      <c r="M863" s="229"/>
      <c r="N863" s="229"/>
      <c r="O863" s="229"/>
      <c r="P863" s="229"/>
      <c r="Q863" s="229"/>
      <c r="R863" s="229"/>
      <c r="S863" s="229"/>
      <c r="T863" s="229"/>
      <c r="U863" s="229"/>
      <c r="V863" s="229"/>
      <c r="W863" s="229"/>
      <c r="X863" s="229"/>
      <c r="Y863" s="229"/>
      <c r="Z863" s="229"/>
      <c r="AA863" s="229"/>
    </row>
    <row r="864" customFormat="false" ht="13.5" hidden="false" customHeight="true" outlineLevel="0" collapsed="false">
      <c r="A864" s="229"/>
      <c r="B864" s="229"/>
      <c r="C864" s="229"/>
      <c r="D864" s="229"/>
      <c r="E864" s="229"/>
      <c r="F864" s="229"/>
      <c r="G864" s="229"/>
      <c r="H864" s="229"/>
      <c r="I864" s="229"/>
      <c r="J864" s="229"/>
      <c r="K864" s="229"/>
      <c r="L864" s="229"/>
      <c r="M864" s="229"/>
      <c r="N864" s="229"/>
      <c r="O864" s="229"/>
      <c r="P864" s="229"/>
      <c r="Q864" s="229"/>
      <c r="R864" s="229"/>
      <c r="S864" s="229"/>
      <c r="T864" s="229"/>
      <c r="U864" s="229"/>
      <c r="V864" s="229"/>
      <c r="W864" s="229"/>
      <c r="X864" s="229"/>
      <c r="Y864" s="229"/>
      <c r="Z864" s="229"/>
      <c r="AA864" s="229"/>
    </row>
    <row r="865" customFormat="false" ht="13.5" hidden="false" customHeight="true" outlineLevel="0" collapsed="false">
      <c r="A865" s="229"/>
      <c r="B865" s="229"/>
      <c r="C865" s="229"/>
      <c r="D865" s="229"/>
      <c r="E865" s="229"/>
      <c r="F865" s="229"/>
      <c r="G865" s="229"/>
      <c r="H865" s="229"/>
      <c r="I865" s="229"/>
      <c r="J865" s="229"/>
      <c r="K865" s="229"/>
      <c r="L865" s="229"/>
      <c r="M865" s="229"/>
      <c r="N865" s="229"/>
      <c r="O865" s="229"/>
      <c r="P865" s="229"/>
      <c r="Q865" s="229"/>
      <c r="R865" s="229"/>
      <c r="S865" s="229"/>
      <c r="T865" s="229"/>
      <c r="U865" s="229"/>
      <c r="V865" s="229"/>
      <c r="W865" s="229"/>
      <c r="X865" s="229"/>
      <c r="Y865" s="229"/>
      <c r="Z865" s="229"/>
      <c r="AA865" s="229"/>
    </row>
    <row r="866" customFormat="false" ht="13.5" hidden="false" customHeight="true" outlineLevel="0" collapsed="false">
      <c r="A866" s="229"/>
      <c r="B866" s="229"/>
      <c r="C866" s="229"/>
      <c r="D866" s="229"/>
      <c r="E866" s="229"/>
      <c r="F866" s="229"/>
      <c r="G866" s="229"/>
      <c r="H866" s="229"/>
      <c r="I866" s="229"/>
      <c r="J866" s="229"/>
      <c r="K866" s="229"/>
      <c r="L866" s="229"/>
      <c r="M866" s="229"/>
      <c r="N866" s="229"/>
      <c r="O866" s="229"/>
      <c r="P866" s="229"/>
      <c r="Q866" s="229"/>
      <c r="R866" s="229"/>
      <c r="S866" s="229"/>
      <c r="T866" s="229"/>
      <c r="U866" s="229"/>
      <c r="V866" s="229"/>
      <c r="W866" s="229"/>
      <c r="X866" s="229"/>
      <c r="Y866" s="229"/>
      <c r="Z866" s="229"/>
      <c r="AA866" s="229"/>
    </row>
    <row r="867" customFormat="false" ht="13.5" hidden="false" customHeight="true" outlineLevel="0" collapsed="false">
      <c r="A867" s="229"/>
      <c r="B867" s="229"/>
      <c r="C867" s="229"/>
      <c r="D867" s="229"/>
      <c r="E867" s="229"/>
      <c r="F867" s="229"/>
      <c r="G867" s="229"/>
      <c r="H867" s="229"/>
      <c r="I867" s="229"/>
      <c r="J867" s="229"/>
      <c r="K867" s="229"/>
      <c r="L867" s="229"/>
      <c r="M867" s="229"/>
      <c r="N867" s="229"/>
      <c r="O867" s="229"/>
      <c r="P867" s="229"/>
      <c r="Q867" s="229"/>
      <c r="R867" s="229"/>
      <c r="S867" s="229"/>
      <c r="T867" s="229"/>
      <c r="U867" s="229"/>
      <c r="V867" s="229"/>
      <c r="W867" s="229"/>
      <c r="X867" s="229"/>
      <c r="Y867" s="229"/>
      <c r="Z867" s="229"/>
      <c r="AA867" s="229"/>
    </row>
    <row r="868" customFormat="false" ht="13.5" hidden="false" customHeight="true" outlineLevel="0" collapsed="false">
      <c r="A868" s="229"/>
      <c r="B868" s="229"/>
      <c r="C868" s="229"/>
      <c r="D868" s="229"/>
      <c r="E868" s="229"/>
      <c r="F868" s="229"/>
      <c r="G868" s="229"/>
      <c r="H868" s="229"/>
      <c r="I868" s="229"/>
      <c r="J868" s="229"/>
      <c r="K868" s="229"/>
      <c r="L868" s="229"/>
      <c r="M868" s="229"/>
      <c r="N868" s="229"/>
      <c r="O868" s="229"/>
      <c r="P868" s="229"/>
      <c r="Q868" s="229"/>
      <c r="R868" s="229"/>
      <c r="S868" s="229"/>
      <c r="T868" s="229"/>
      <c r="U868" s="229"/>
      <c r="V868" s="229"/>
      <c r="W868" s="229"/>
      <c r="X868" s="229"/>
      <c r="Y868" s="229"/>
      <c r="Z868" s="229"/>
      <c r="AA868" s="229"/>
    </row>
    <row r="869" customFormat="false" ht="13.5" hidden="false" customHeight="true" outlineLevel="0" collapsed="false">
      <c r="A869" s="229"/>
      <c r="B869" s="229"/>
      <c r="C869" s="229"/>
      <c r="D869" s="229"/>
      <c r="E869" s="229"/>
      <c r="F869" s="229"/>
      <c r="G869" s="229"/>
      <c r="H869" s="229"/>
      <c r="I869" s="229"/>
      <c r="J869" s="229"/>
      <c r="K869" s="229"/>
      <c r="L869" s="229"/>
      <c r="M869" s="229"/>
      <c r="N869" s="229"/>
      <c r="O869" s="229"/>
      <c r="P869" s="229"/>
      <c r="Q869" s="229"/>
      <c r="R869" s="229"/>
      <c r="S869" s="229"/>
      <c r="T869" s="229"/>
      <c r="U869" s="229"/>
      <c r="V869" s="229"/>
      <c r="W869" s="229"/>
      <c r="X869" s="229"/>
      <c r="Y869" s="229"/>
      <c r="Z869" s="229"/>
      <c r="AA869" s="229"/>
    </row>
    <row r="870" customFormat="false" ht="13.5" hidden="false" customHeight="true" outlineLevel="0" collapsed="false">
      <c r="A870" s="229"/>
      <c r="B870" s="229"/>
      <c r="C870" s="229"/>
      <c r="D870" s="229"/>
      <c r="E870" s="229"/>
      <c r="F870" s="229"/>
      <c r="G870" s="229"/>
      <c r="H870" s="229"/>
      <c r="I870" s="229"/>
      <c r="J870" s="229"/>
      <c r="K870" s="229"/>
      <c r="L870" s="229"/>
      <c r="M870" s="229"/>
      <c r="N870" s="229"/>
      <c r="O870" s="229"/>
      <c r="P870" s="229"/>
      <c r="Q870" s="229"/>
      <c r="R870" s="229"/>
      <c r="S870" s="229"/>
      <c r="T870" s="229"/>
      <c r="U870" s="229"/>
      <c r="V870" s="229"/>
      <c r="W870" s="229"/>
      <c r="X870" s="229"/>
      <c r="Y870" s="229"/>
      <c r="Z870" s="229"/>
      <c r="AA870" s="229"/>
    </row>
    <row r="871" customFormat="false" ht="13.5" hidden="false" customHeight="true" outlineLevel="0" collapsed="false">
      <c r="A871" s="229"/>
      <c r="B871" s="229"/>
      <c r="C871" s="229"/>
      <c r="D871" s="229"/>
      <c r="E871" s="229"/>
      <c r="F871" s="229"/>
      <c r="G871" s="229"/>
      <c r="H871" s="229"/>
      <c r="I871" s="229"/>
      <c r="J871" s="229"/>
      <c r="K871" s="229"/>
      <c r="L871" s="229"/>
      <c r="M871" s="229"/>
      <c r="N871" s="229"/>
      <c r="O871" s="229"/>
      <c r="P871" s="229"/>
      <c r="Q871" s="229"/>
      <c r="R871" s="229"/>
      <c r="S871" s="229"/>
      <c r="T871" s="229"/>
      <c r="U871" s="229"/>
      <c r="V871" s="229"/>
      <c r="W871" s="229"/>
      <c r="X871" s="229"/>
      <c r="Y871" s="229"/>
      <c r="Z871" s="229"/>
      <c r="AA871" s="229"/>
    </row>
    <row r="872" customFormat="false" ht="13.5" hidden="false" customHeight="true" outlineLevel="0" collapsed="false">
      <c r="A872" s="229"/>
      <c r="B872" s="229"/>
      <c r="C872" s="229"/>
      <c r="D872" s="229"/>
      <c r="E872" s="229"/>
      <c r="F872" s="229"/>
      <c r="G872" s="229"/>
      <c r="H872" s="229"/>
      <c r="I872" s="229"/>
      <c r="J872" s="229"/>
      <c r="K872" s="229"/>
      <c r="L872" s="229"/>
      <c r="M872" s="229"/>
      <c r="N872" s="229"/>
      <c r="O872" s="229"/>
      <c r="P872" s="229"/>
      <c r="Q872" s="229"/>
      <c r="R872" s="229"/>
      <c r="S872" s="229"/>
      <c r="T872" s="229"/>
      <c r="U872" s="229"/>
      <c r="V872" s="229"/>
      <c r="W872" s="229"/>
      <c r="X872" s="229"/>
      <c r="Y872" s="229"/>
      <c r="Z872" s="229"/>
      <c r="AA872" s="229"/>
    </row>
    <row r="873" customFormat="false" ht="13.5" hidden="false" customHeight="true" outlineLevel="0" collapsed="false">
      <c r="A873" s="229"/>
      <c r="B873" s="229"/>
      <c r="C873" s="229"/>
      <c r="D873" s="229"/>
      <c r="E873" s="229"/>
      <c r="F873" s="229"/>
      <c r="G873" s="229"/>
      <c r="H873" s="229"/>
      <c r="I873" s="229"/>
      <c r="J873" s="229"/>
      <c r="K873" s="229"/>
      <c r="L873" s="229"/>
      <c r="M873" s="229"/>
      <c r="N873" s="229"/>
      <c r="O873" s="229"/>
      <c r="P873" s="229"/>
      <c r="Q873" s="229"/>
      <c r="R873" s="229"/>
      <c r="S873" s="229"/>
      <c r="T873" s="229"/>
      <c r="U873" s="229"/>
      <c r="V873" s="229"/>
      <c r="W873" s="229"/>
      <c r="X873" s="229"/>
      <c r="Y873" s="229"/>
      <c r="Z873" s="229"/>
      <c r="AA873" s="229"/>
    </row>
    <row r="874" customFormat="false" ht="13.5" hidden="false" customHeight="true" outlineLevel="0" collapsed="false">
      <c r="A874" s="229"/>
      <c r="B874" s="229"/>
      <c r="C874" s="229"/>
      <c r="D874" s="229"/>
      <c r="E874" s="229"/>
      <c r="F874" s="229"/>
      <c r="G874" s="229"/>
      <c r="H874" s="229"/>
      <c r="I874" s="229"/>
      <c r="J874" s="229"/>
      <c r="K874" s="229"/>
      <c r="L874" s="229"/>
      <c r="M874" s="229"/>
      <c r="N874" s="229"/>
      <c r="O874" s="229"/>
      <c r="P874" s="229"/>
      <c r="Q874" s="229"/>
      <c r="R874" s="229"/>
      <c r="S874" s="229"/>
      <c r="T874" s="229"/>
      <c r="U874" s="229"/>
      <c r="V874" s="229"/>
      <c r="W874" s="229"/>
      <c r="X874" s="229"/>
      <c r="Y874" s="229"/>
      <c r="Z874" s="229"/>
      <c r="AA874" s="229"/>
    </row>
    <row r="875" customFormat="false" ht="13.5" hidden="false" customHeight="true" outlineLevel="0" collapsed="false">
      <c r="A875" s="229"/>
      <c r="B875" s="229"/>
      <c r="C875" s="229"/>
      <c r="D875" s="229"/>
      <c r="E875" s="229"/>
      <c r="F875" s="229"/>
      <c r="G875" s="229"/>
      <c r="H875" s="229"/>
      <c r="I875" s="229"/>
      <c r="J875" s="229"/>
      <c r="K875" s="229"/>
      <c r="L875" s="229"/>
      <c r="M875" s="229"/>
      <c r="N875" s="229"/>
      <c r="O875" s="229"/>
      <c r="P875" s="229"/>
      <c r="Q875" s="229"/>
      <c r="R875" s="229"/>
      <c r="S875" s="229"/>
      <c r="T875" s="229"/>
      <c r="U875" s="229"/>
      <c r="V875" s="229"/>
      <c r="W875" s="229"/>
      <c r="X875" s="229"/>
      <c r="Y875" s="229"/>
      <c r="Z875" s="229"/>
      <c r="AA875" s="229"/>
    </row>
    <row r="876" customFormat="false" ht="13.5" hidden="false" customHeight="true" outlineLevel="0" collapsed="false">
      <c r="A876" s="229"/>
      <c r="B876" s="229"/>
      <c r="C876" s="229"/>
      <c r="D876" s="229"/>
      <c r="E876" s="229"/>
      <c r="F876" s="229"/>
      <c r="G876" s="229"/>
      <c r="H876" s="229"/>
      <c r="I876" s="229"/>
      <c r="J876" s="229"/>
      <c r="K876" s="229"/>
      <c r="L876" s="229"/>
      <c r="M876" s="229"/>
      <c r="N876" s="229"/>
      <c r="O876" s="229"/>
      <c r="P876" s="229"/>
      <c r="Q876" s="229"/>
      <c r="R876" s="229"/>
      <c r="S876" s="229"/>
      <c r="T876" s="229"/>
      <c r="U876" s="229"/>
      <c r="V876" s="229"/>
      <c r="W876" s="229"/>
      <c r="X876" s="229"/>
      <c r="Y876" s="229"/>
      <c r="Z876" s="229"/>
      <c r="AA876" s="229"/>
    </row>
    <row r="877" customFormat="false" ht="13.5" hidden="false" customHeight="true" outlineLevel="0" collapsed="false">
      <c r="A877" s="229"/>
      <c r="B877" s="229"/>
      <c r="C877" s="229"/>
      <c r="D877" s="229"/>
      <c r="E877" s="229"/>
      <c r="F877" s="229"/>
      <c r="G877" s="229"/>
      <c r="H877" s="229"/>
      <c r="I877" s="229"/>
      <c r="J877" s="229"/>
      <c r="K877" s="229"/>
      <c r="L877" s="229"/>
      <c r="M877" s="229"/>
      <c r="N877" s="229"/>
      <c r="O877" s="229"/>
      <c r="P877" s="229"/>
      <c r="Q877" s="229"/>
      <c r="R877" s="229"/>
      <c r="S877" s="229"/>
      <c r="T877" s="229"/>
      <c r="U877" s="229"/>
      <c r="V877" s="229"/>
      <c r="W877" s="229"/>
      <c r="X877" s="229"/>
      <c r="Y877" s="229"/>
      <c r="Z877" s="229"/>
      <c r="AA877" s="229"/>
    </row>
    <row r="878" customFormat="false" ht="13.5" hidden="false" customHeight="true" outlineLevel="0" collapsed="false">
      <c r="A878" s="229"/>
      <c r="B878" s="229"/>
      <c r="C878" s="229"/>
      <c r="D878" s="229"/>
      <c r="E878" s="229"/>
      <c r="F878" s="229"/>
      <c r="G878" s="229"/>
      <c r="H878" s="229"/>
      <c r="I878" s="229"/>
      <c r="J878" s="229"/>
      <c r="K878" s="229"/>
      <c r="L878" s="229"/>
      <c r="M878" s="229"/>
      <c r="N878" s="229"/>
      <c r="O878" s="229"/>
      <c r="P878" s="229"/>
      <c r="Q878" s="229"/>
      <c r="R878" s="229"/>
      <c r="S878" s="229"/>
      <c r="T878" s="229"/>
      <c r="U878" s="229"/>
      <c r="V878" s="229"/>
      <c r="W878" s="229"/>
      <c r="X878" s="229"/>
      <c r="Y878" s="229"/>
      <c r="Z878" s="229"/>
      <c r="AA878" s="229"/>
    </row>
    <row r="879" customFormat="false" ht="13.5" hidden="false" customHeight="true" outlineLevel="0" collapsed="false">
      <c r="A879" s="229"/>
      <c r="B879" s="229"/>
      <c r="C879" s="229"/>
      <c r="D879" s="229"/>
      <c r="E879" s="229"/>
      <c r="F879" s="229"/>
      <c r="G879" s="229"/>
      <c r="H879" s="229"/>
      <c r="I879" s="229"/>
      <c r="J879" s="229"/>
      <c r="K879" s="229"/>
      <c r="L879" s="229"/>
      <c r="M879" s="229"/>
      <c r="N879" s="229"/>
      <c r="O879" s="229"/>
      <c r="P879" s="229"/>
      <c r="Q879" s="229"/>
      <c r="R879" s="229"/>
      <c r="S879" s="229"/>
      <c r="T879" s="229"/>
      <c r="U879" s="229"/>
      <c r="V879" s="229"/>
      <c r="W879" s="229"/>
      <c r="X879" s="229"/>
      <c r="Y879" s="229"/>
      <c r="Z879" s="229"/>
      <c r="AA879" s="229"/>
    </row>
    <row r="880" customFormat="false" ht="13.5" hidden="false" customHeight="true" outlineLevel="0" collapsed="false">
      <c r="A880" s="229"/>
      <c r="B880" s="229"/>
      <c r="C880" s="229"/>
      <c r="D880" s="229"/>
      <c r="E880" s="229"/>
      <c r="F880" s="229"/>
      <c r="G880" s="229"/>
      <c r="H880" s="229"/>
      <c r="I880" s="229"/>
      <c r="J880" s="229"/>
      <c r="K880" s="229"/>
      <c r="L880" s="229"/>
      <c r="M880" s="229"/>
      <c r="N880" s="229"/>
      <c r="O880" s="229"/>
      <c r="P880" s="229"/>
      <c r="Q880" s="229"/>
      <c r="R880" s="229"/>
      <c r="S880" s="229"/>
      <c r="T880" s="229"/>
      <c r="U880" s="229"/>
      <c r="V880" s="229"/>
      <c r="W880" s="229"/>
      <c r="X880" s="229"/>
      <c r="Y880" s="229"/>
      <c r="Z880" s="229"/>
      <c r="AA880" s="229"/>
    </row>
    <row r="881" customFormat="false" ht="13.5" hidden="false" customHeight="true" outlineLevel="0" collapsed="false">
      <c r="A881" s="229"/>
      <c r="B881" s="229"/>
      <c r="C881" s="229"/>
      <c r="D881" s="229"/>
      <c r="E881" s="229"/>
      <c r="F881" s="229"/>
      <c r="G881" s="229"/>
      <c r="H881" s="229"/>
      <c r="I881" s="229"/>
      <c r="J881" s="229"/>
      <c r="K881" s="229"/>
      <c r="L881" s="229"/>
      <c r="M881" s="229"/>
      <c r="N881" s="229"/>
      <c r="O881" s="229"/>
      <c r="P881" s="229"/>
      <c r="Q881" s="229"/>
      <c r="R881" s="229"/>
      <c r="S881" s="229"/>
      <c r="T881" s="229"/>
      <c r="U881" s="229"/>
      <c r="V881" s="229"/>
      <c r="W881" s="229"/>
      <c r="X881" s="229"/>
      <c r="Y881" s="229"/>
      <c r="Z881" s="229"/>
      <c r="AA881" s="229"/>
    </row>
    <row r="882" customFormat="false" ht="13.5" hidden="false" customHeight="true" outlineLevel="0" collapsed="false">
      <c r="A882" s="229"/>
      <c r="B882" s="229"/>
      <c r="C882" s="229"/>
      <c r="D882" s="229"/>
      <c r="E882" s="229"/>
      <c r="F882" s="229"/>
      <c r="G882" s="229"/>
      <c r="H882" s="229"/>
      <c r="I882" s="229"/>
      <c r="J882" s="229"/>
      <c r="K882" s="229"/>
      <c r="L882" s="229"/>
      <c r="M882" s="229"/>
      <c r="N882" s="229"/>
      <c r="O882" s="229"/>
      <c r="P882" s="229"/>
      <c r="Q882" s="229"/>
      <c r="R882" s="229"/>
      <c r="S882" s="229"/>
      <c r="T882" s="229"/>
      <c r="U882" s="229"/>
      <c r="V882" s="229"/>
      <c r="W882" s="229"/>
      <c r="X882" s="229"/>
      <c r="Y882" s="229"/>
      <c r="Z882" s="229"/>
      <c r="AA882" s="229"/>
    </row>
    <row r="883" customFormat="false" ht="13.5" hidden="false" customHeight="true" outlineLevel="0" collapsed="false">
      <c r="A883" s="229"/>
      <c r="B883" s="229"/>
      <c r="C883" s="229"/>
      <c r="D883" s="229"/>
      <c r="E883" s="229"/>
      <c r="F883" s="229"/>
      <c r="G883" s="229"/>
      <c r="H883" s="229"/>
      <c r="I883" s="229"/>
      <c r="J883" s="229"/>
      <c r="K883" s="229"/>
      <c r="L883" s="229"/>
      <c r="M883" s="229"/>
      <c r="N883" s="229"/>
      <c r="O883" s="229"/>
      <c r="P883" s="229"/>
      <c r="Q883" s="229"/>
      <c r="R883" s="229"/>
      <c r="S883" s="229"/>
      <c r="T883" s="229"/>
      <c r="U883" s="229"/>
      <c r="V883" s="229"/>
      <c r="W883" s="229"/>
      <c r="X883" s="229"/>
      <c r="Y883" s="229"/>
      <c r="Z883" s="229"/>
      <c r="AA883" s="229"/>
    </row>
    <row r="884" customFormat="false" ht="13.5" hidden="false" customHeight="true" outlineLevel="0" collapsed="false">
      <c r="A884" s="229"/>
      <c r="B884" s="229"/>
      <c r="C884" s="229"/>
      <c r="D884" s="229"/>
      <c r="E884" s="229"/>
      <c r="F884" s="229"/>
      <c r="G884" s="229"/>
      <c r="H884" s="229"/>
      <c r="I884" s="229"/>
      <c r="J884" s="229"/>
      <c r="K884" s="229"/>
      <c r="L884" s="229"/>
      <c r="M884" s="229"/>
      <c r="N884" s="229"/>
      <c r="O884" s="229"/>
      <c r="P884" s="229"/>
      <c r="Q884" s="229"/>
      <c r="R884" s="229"/>
      <c r="S884" s="229"/>
      <c r="T884" s="229"/>
      <c r="U884" s="229"/>
      <c r="V884" s="229"/>
      <c r="W884" s="229"/>
      <c r="X884" s="229"/>
      <c r="Y884" s="229"/>
      <c r="Z884" s="229"/>
      <c r="AA884" s="229"/>
    </row>
    <row r="885" customFormat="false" ht="13.5" hidden="false" customHeight="true" outlineLevel="0" collapsed="false">
      <c r="A885" s="229"/>
      <c r="B885" s="229"/>
      <c r="C885" s="229"/>
      <c r="D885" s="229"/>
      <c r="E885" s="229"/>
      <c r="F885" s="229"/>
      <c r="G885" s="229"/>
      <c r="H885" s="229"/>
      <c r="I885" s="229"/>
      <c r="J885" s="229"/>
      <c r="K885" s="229"/>
      <c r="L885" s="229"/>
      <c r="M885" s="229"/>
      <c r="N885" s="229"/>
      <c r="O885" s="229"/>
      <c r="P885" s="229"/>
      <c r="Q885" s="229"/>
      <c r="R885" s="229"/>
      <c r="S885" s="229"/>
      <c r="T885" s="229"/>
      <c r="U885" s="229"/>
      <c r="V885" s="229"/>
      <c r="W885" s="229"/>
      <c r="X885" s="229"/>
      <c r="Y885" s="229"/>
      <c r="Z885" s="229"/>
      <c r="AA885" s="229"/>
    </row>
    <row r="886" customFormat="false" ht="13.5" hidden="false" customHeight="true" outlineLevel="0" collapsed="false">
      <c r="A886" s="229"/>
      <c r="B886" s="229"/>
      <c r="C886" s="229"/>
      <c r="D886" s="229"/>
      <c r="E886" s="229"/>
      <c r="F886" s="229"/>
      <c r="G886" s="229"/>
      <c r="H886" s="229"/>
      <c r="I886" s="229"/>
      <c r="J886" s="229"/>
      <c r="K886" s="229"/>
      <c r="L886" s="229"/>
      <c r="M886" s="229"/>
      <c r="N886" s="229"/>
      <c r="O886" s="229"/>
      <c r="P886" s="229"/>
      <c r="Q886" s="229"/>
      <c r="R886" s="229"/>
      <c r="S886" s="229"/>
      <c r="T886" s="229"/>
      <c r="U886" s="229"/>
      <c r="V886" s="229"/>
      <c r="W886" s="229"/>
      <c r="X886" s="229"/>
      <c r="Y886" s="229"/>
      <c r="Z886" s="229"/>
      <c r="AA886" s="229"/>
    </row>
    <row r="887" customFormat="false" ht="13.5" hidden="false" customHeight="true" outlineLevel="0" collapsed="false">
      <c r="A887" s="229"/>
      <c r="B887" s="229"/>
      <c r="C887" s="229"/>
      <c r="D887" s="229"/>
      <c r="E887" s="229"/>
      <c r="F887" s="229"/>
      <c r="G887" s="229"/>
      <c r="H887" s="229"/>
      <c r="I887" s="229"/>
      <c r="J887" s="229"/>
      <c r="K887" s="229"/>
      <c r="L887" s="229"/>
      <c r="M887" s="229"/>
      <c r="N887" s="229"/>
      <c r="O887" s="229"/>
      <c r="P887" s="229"/>
      <c r="Q887" s="229"/>
      <c r="R887" s="229"/>
      <c r="S887" s="229"/>
      <c r="T887" s="229"/>
      <c r="U887" s="229"/>
      <c r="V887" s="229"/>
      <c r="W887" s="229"/>
      <c r="X887" s="229"/>
      <c r="Y887" s="229"/>
      <c r="Z887" s="229"/>
      <c r="AA887" s="229"/>
    </row>
    <row r="888" customFormat="false" ht="13.5" hidden="false" customHeight="true" outlineLevel="0" collapsed="false">
      <c r="A888" s="229"/>
      <c r="B888" s="229"/>
      <c r="C888" s="229"/>
      <c r="D888" s="229"/>
      <c r="E888" s="229"/>
      <c r="F888" s="229"/>
      <c r="G888" s="229"/>
      <c r="H888" s="229"/>
      <c r="I888" s="229"/>
      <c r="J888" s="229"/>
      <c r="K888" s="229"/>
      <c r="L888" s="229"/>
      <c r="M888" s="229"/>
      <c r="N888" s="229"/>
      <c r="O888" s="229"/>
      <c r="P888" s="229"/>
      <c r="Q888" s="229"/>
      <c r="R888" s="229"/>
      <c r="S888" s="229"/>
      <c r="T888" s="229"/>
      <c r="U888" s="229"/>
      <c r="V888" s="229"/>
      <c r="W888" s="229"/>
      <c r="X888" s="229"/>
      <c r="Y888" s="229"/>
      <c r="Z888" s="229"/>
      <c r="AA888" s="229"/>
    </row>
    <row r="889" customFormat="false" ht="13.5" hidden="false" customHeight="true" outlineLevel="0" collapsed="false">
      <c r="A889" s="229"/>
      <c r="B889" s="229"/>
      <c r="C889" s="229"/>
      <c r="D889" s="229"/>
      <c r="E889" s="229"/>
      <c r="F889" s="229"/>
      <c r="G889" s="229"/>
      <c r="H889" s="229"/>
      <c r="I889" s="229"/>
      <c r="J889" s="229"/>
      <c r="K889" s="229"/>
      <c r="L889" s="229"/>
      <c r="M889" s="229"/>
      <c r="N889" s="229"/>
      <c r="O889" s="229"/>
      <c r="P889" s="229"/>
      <c r="Q889" s="229"/>
      <c r="R889" s="229"/>
      <c r="S889" s="229"/>
      <c r="T889" s="229"/>
      <c r="U889" s="229"/>
      <c r="V889" s="229"/>
      <c r="W889" s="229"/>
      <c r="X889" s="229"/>
      <c r="Y889" s="229"/>
      <c r="Z889" s="229"/>
      <c r="AA889" s="229"/>
    </row>
    <row r="890" customFormat="false" ht="13.5" hidden="false" customHeight="true" outlineLevel="0" collapsed="false">
      <c r="A890" s="229"/>
      <c r="B890" s="229"/>
      <c r="C890" s="229"/>
      <c r="D890" s="229"/>
      <c r="E890" s="229"/>
      <c r="F890" s="229"/>
      <c r="G890" s="229"/>
      <c r="H890" s="229"/>
      <c r="I890" s="229"/>
      <c r="J890" s="229"/>
      <c r="K890" s="229"/>
      <c r="L890" s="229"/>
      <c r="M890" s="229"/>
      <c r="N890" s="229"/>
      <c r="O890" s="229"/>
      <c r="P890" s="229"/>
      <c r="Q890" s="229"/>
      <c r="R890" s="229"/>
      <c r="S890" s="229"/>
      <c r="T890" s="229"/>
      <c r="U890" s="229"/>
      <c r="V890" s="229"/>
      <c r="W890" s="229"/>
      <c r="X890" s="229"/>
      <c r="Y890" s="229"/>
      <c r="Z890" s="229"/>
      <c r="AA890" s="229"/>
    </row>
    <row r="891" customFormat="false" ht="13.5" hidden="false" customHeight="true" outlineLevel="0" collapsed="false">
      <c r="A891" s="229"/>
      <c r="B891" s="229"/>
      <c r="C891" s="229"/>
      <c r="D891" s="229"/>
      <c r="E891" s="229"/>
      <c r="F891" s="229"/>
      <c r="G891" s="229"/>
      <c r="H891" s="229"/>
      <c r="I891" s="229"/>
      <c r="J891" s="229"/>
      <c r="K891" s="229"/>
      <c r="L891" s="229"/>
      <c r="M891" s="229"/>
      <c r="N891" s="229"/>
      <c r="O891" s="229"/>
      <c r="P891" s="229"/>
      <c r="Q891" s="229"/>
      <c r="R891" s="229"/>
      <c r="S891" s="229"/>
      <c r="T891" s="229"/>
      <c r="U891" s="229"/>
      <c r="V891" s="229"/>
      <c r="W891" s="229"/>
      <c r="X891" s="229"/>
      <c r="Y891" s="229"/>
      <c r="Z891" s="229"/>
      <c r="AA891" s="229"/>
    </row>
    <row r="892" customFormat="false" ht="13.5" hidden="false" customHeight="true" outlineLevel="0" collapsed="false">
      <c r="A892" s="229"/>
      <c r="B892" s="229"/>
      <c r="C892" s="229"/>
      <c r="D892" s="229"/>
      <c r="E892" s="229"/>
      <c r="F892" s="229"/>
      <c r="G892" s="229"/>
      <c r="H892" s="229"/>
      <c r="I892" s="229"/>
      <c r="J892" s="229"/>
      <c r="K892" s="229"/>
      <c r="L892" s="229"/>
      <c r="M892" s="229"/>
      <c r="N892" s="229"/>
      <c r="O892" s="229"/>
      <c r="P892" s="229"/>
      <c r="Q892" s="229"/>
      <c r="R892" s="229"/>
      <c r="S892" s="229"/>
      <c r="T892" s="229"/>
      <c r="U892" s="229"/>
      <c r="V892" s="229"/>
      <c r="W892" s="229"/>
      <c r="X892" s="229"/>
      <c r="Y892" s="229"/>
      <c r="Z892" s="229"/>
      <c r="AA892" s="229"/>
    </row>
    <row r="893" customFormat="false" ht="13.5" hidden="false" customHeight="true" outlineLevel="0" collapsed="false">
      <c r="A893" s="229"/>
      <c r="B893" s="229"/>
      <c r="C893" s="229"/>
      <c r="D893" s="229"/>
      <c r="E893" s="229"/>
      <c r="F893" s="229"/>
      <c r="G893" s="229"/>
      <c r="H893" s="229"/>
      <c r="I893" s="229"/>
      <c r="J893" s="229"/>
      <c r="K893" s="229"/>
      <c r="L893" s="229"/>
      <c r="M893" s="229"/>
      <c r="N893" s="229"/>
      <c r="O893" s="229"/>
      <c r="P893" s="229"/>
      <c r="Q893" s="229"/>
      <c r="R893" s="229"/>
      <c r="S893" s="229"/>
      <c r="T893" s="229"/>
      <c r="U893" s="229"/>
      <c r="V893" s="229"/>
      <c r="W893" s="229"/>
      <c r="X893" s="229"/>
      <c r="Y893" s="229"/>
      <c r="Z893" s="229"/>
      <c r="AA893" s="229"/>
    </row>
    <row r="894" customFormat="false" ht="13.5" hidden="false" customHeight="true" outlineLevel="0" collapsed="false">
      <c r="A894" s="229"/>
      <c r="B894" s="229"/>
      <c r="C894" s="229"/>
      <c r="D894" s="229"/>
      <c r="E894" s="229"/>
      <c r="F894" s="229"/>
      <c r="G894" s="229"/>
      <c r="H894" s="229"/>
      <c r="I894" s="229"/>
      <c r="J894" s="229"/>
      <c r="K894" s="229"/>
      <c r="L894" s="229"/>
      <c r="M894" s="229"/>
      <c r="N894" s="229"/>
      <c r="O894" s="229"/>
      <c r="P894" s="229"/>
      <c r="Q894" s="229"/>
      <c r="R894" s="229"/>
      <c r="S894" s="229"/>
      <c r="T894" s="229"/>
      <c r="U894" s="229"/>
      <c r="V894" s="229"/>
      <c r="W894" s="229"/>
      <c r="X894" s="229"/>
      <c r="Y894" s="229"/>
      <c r="Z894" s="229"/>
      <c r="AA894" s="229"/>
    </row>
    <row r="895" customFormat="false" ht="13.5" hidden="false" customHeight="true" outlineLevel="0" collapsed="false">
      <c r="A895" s="229"/>
      <c r="B895" s="229"/>
      <c r="C895" s="229"/>
      <c r="D895" s="229"/>
      <c r="E895" s="229"/>
      <c r="F895" s="229"/>
      <c r="G895" s="229"/>
      <c r="H895" s="229"/>
      <c r="I895" s="229"/>
      <c r="J895" s="229"/>
      <c r="K895" s="229"/>
      <c r="L895" s="229"/>
      <c r="M895" s="229"/>
      <c r="N895" s="229"/>
      <c r="O895" s="229"/>
      <c r="P895" s="229"/>
      <c r="Q895" s="229"/>
      <c r="R895" s="229"/>
      <c r="S895" s="229"/>
      <c r="T895" s="229"/>
      <c r="U895" s="229"/>
      <c r="V895" s="229"/>
      <c r="W895" s="229"/>
      <c r="X895" s="229"/>
      <c r="Y895" s="229"/>
      <c r="Z895" s="229"/>
      <c r="AA895" s="229"/>
    </row>
    <row r="896" customFormat="false" ht="13.5" hidden="false" customHeight="true" outlineLevel="0" collapsed="false">
      <c r="A896" s="229"/>
      <c r="B896" s="229"/>
      <c r="C896" s="229"/>
      <c r="D896" s="229"/>
      <c r="E896" s="229"/>
      <c r="F896" s="229"/>
      <c r="G896" s="229"/>
      <c r="H896" s="229"/>
      <c r="I896" s="229"/>
      <c r="J896" s="229"/>
      <c r="K896" s="229"/>
      <c r="L896" s="229"/>
      <c r="M896" s="229"/>
      <c r="N896" s="229"/>
      <c r="O896" s="229"/>
      <c r="P896" s="229"/>
      <c r="Q896" s="229"/>
      <c r="R896" s="229"/>
      <c r="S896" s="229"/>
      <c r="T896" s="229"/>
      <c r="U896" s="229"/>
      <c r="V896" s="229"/>
      <c r="W896" s="229"/>
      <c r="X896" s="229"/>
      <c r="Y896" s="229"/>
      <c r="Z896" s="229"/>
      <c r="AA896" s="229"/>
    </row>
    <row r="897" customFormat="false" ht="13.5" hidden="false" customHeight="true" outlineLevel="0" collapsed="false">
      <c r="A897" s="229"/>
      <c r="B897" s="229"/>
      <c r="C897" s="229"/>
      <c r="D897" s="229"/>
      <c r="E897" s="229"/>
      <c r="F897" s="229"/>
      <c r="G897" s="229"/>
      <c r="H897" s="229"/>
      <c r="I897" s="229"/>
      <c r="J897" s="229"/>
      <c r="K897" s="229"/>
      <c r="L897" s="229"/>
      <c r="M897" s="229"/>
      <c r="N897" s="229"/>
      <c r="O897" s="229"/>
      <c r="P897" s="229"/>
      <c r="Q897" s="229"/>
      <c r="R897" s="229"/>
      <c r="S897" s="229"/>
      <c r="T897" s="229"/>
      <c r="U897" s="229"/>
      <c r="V897" s="229"/>
      <c r="W897" s="229"/>
      <c r="X897" s="229"/>
      <c r="Y897" s="229"/>
      <c r="Z897" s="229"/>
      <c r="AA897" s="229"/>
    </row>
    <row r="898" customFormat="false" ht="13.5" hidden="false" customHeight="true" outlineLevel="0" collapsed="false">
      <c r="A898" s="229"/>
      <c r="B898" s="229"/>
      <c r="C898" s="229"/>
      <c r="D898" s="229"/>
      <c r="E898" s="229"/>
      <c r="F898" s="229"/>
      <c r="G898" s="229"/>
      <c r="H898" s="229"/>
      <c r="I898" s="229"/>
      <c r="J898" s="229"/>
      <c r="K898" s="229"/>
      <c r="L898" s="229"/>
      <c r="M898" s="229"/>
      <c r="N898" s="229"/>
      <c r="O898" s="229"/>
      <c r="P898" s="229"/>
      <c r="Q898" s="229"/>
      <c r="R898" s="229"/>
      <c r="S898" s="229"/>
      <c r="T898" s="229"/>
      <c r="U898" s="229"/>
      <c r="V898" s="229"/>
      <c r="W898" s="229"/>
      <c r="X898" s="229"/>
      <c r="Y898" s="229"/>
      <c r="Z898" s="229"/>
      <c r="AA898" s="229"/>
    </row>
    <row r="899" customFormat="false" ht="13.5" hidden="false" customHeight="true" outlineLevel="0" collapsed="false">
      <c r="A899" s="229"/>
      <c r="B899" s="229"/>
      <c r="C899" s="229"/>
      <c r="D899" s="229"/>
      <c r="E899" s="229"/>
      <c r="F899" s="229"/>
      <c r="G899" s="229"/>
      <c r="H899" s="229"/>
      <c r="I899" s="229"/>
      <c r="J899" s="229"/>
      <c r="K899" s="229"/>
      <c r="L899" s="229"/>
      <c r="M899" s="229"/>
      <c r="N899" s="229"/>
      <c r="O899" s="229"/>
      <c r="P899" s="229"/>
      <c r="Q899" s="229"/>
      <c r="R899" s="229"/>
      <c r="S899" s="229"/>
      <c r="T899" s="229"/>
      <c r="U899" s="229"/>
      <c r="V899" s="229"/>
      <c r="W899" s="229"/>
      <c r="X899" s="229"/>
      <c r="Y899" s="229"/>
      <c r="Z899" s="229"/>
      <c r="AA899" s="229"/>
    </row>
    <row r="900" customFormat="false" ht="13.5" hidden="false" customHeight="true" outlineLevel="0" collapsed="false">
      <c r="A900" s="229"/>
      <c r="B900" s="229"/>
      <c r="C900" s="229"/>
      <c r="D900" s="229"/>
      <c r="E900" s="229"/>
      <c r="F900" s="229"/>
      <c r="G900" s="229"/>
      <c r="H900" s="229"/>
      <c r="I900" s="229"/>
      <c r="J900" s="229"/>
      <c r="K900" s="229"/>
      <c r="L900" s="229"/>
      <c r="M900" s="229"/>
      <c r="N900" s="229"/>
      <c r="O900" s="229"/>
      <c r="P900" s="229"/>
      <c r="Q900" s="229"/>
      <c r="R900" s="229"/>
      <c r="S900" s="229"/>
      <c r="T900" s="229"/>
      <c r="U900" s="229"/>
      <c r="V900" s="229"/>
      <c r="W900" s="229"/>
      <c r="X900" s="229"/>
      <c r="Y900" s="229"/>
      <c r="Z900" s="229"/>
      <c r="AA900" s="229"/>
    </row>
    <row r="901" customFormat="false" ht="13.5" hidden="false" customHeight="true" outlineLevel="0" collapsed="false">
      <c r="A901" s="229"/>
      <c r="B901" s="229"/>
      <c r="C901" s="229"/>
      <c r="D901" s="229"/>
      <c r="E901" s="229"/>
      <c r="F901" s="229"/>
      <c r="G901" s="229"/>
      <c r="H901" s="229"/>
      <c r="I901" s="229"/>
      <c r="J901" s="229"/>
      <c r="K901" s="229"/>
      <c r="L901" s="229"/>
      <c r="M901" s="229"/>
      <c r="N901" s="229"/>
      <c r="O901" s="229"/>
      <c r="P901" s="229"/>
      <c r="Q901" s="229"/>
      <c r="R901" s="229"/>
      <c r="S901" s="229"/>
      <c r="T901" s="229"/>
      <c r="U901" s="229"/>
      <c r="V901" s="229"/>
      <c r="W901" s="229"/>
      <c r="X901" s="229"/>
      <c r="Y901" s="229"/>
      <c r="Z901" s="229"/>
      <c r="AA901" s="229"/>
    </row>
    <row r="902" customFormat="false" ht="13.5" hidden="false" customHeight="true" outlineLevel="0" collapsed="false">
      <c r="A902" s="229"/>
      <c r="B902" s="229"/>
      <c r="C902" s="229"/>
      <c r="D902" s="229"/>
      <c r="E902" s="229"/>
      <c r="F902" s="229"/>
      <c r="G902" s="229"/>
      <c r="H902" s="229"/>
      <c r="I902" s="229"/>
      <c r="J902" s="229"/>
      <c r="K902" s="229"/>
      <c r="L902" s="229"/>
      <c r="M902" s="229"/>
      <c r="N902" s="229"/>
      <c r="O902" s="229"/>
      <c r="P902" s="229"/>
      <c r="Q902" s="229"/>
      <c r="R902" s="229"/>
      <c r="S902" s="229"/>
      <c r="T902" s="229"/>
      <c r="U902" s="229"/>
      <c r="V902" s="229"/>
      <c r="W902" s="229"/>
      <c r="X902" s="229"/>
      <c r="Y902" s="229"/>
      <c r="Z902" s="229"/>
      <c r="AA902" s="229"/>
    </row>
    <row r="903" customFormat="false" ht="13.5" hidden="false" customHeight="true" outlineLevel="0" collapsed="false">
      <c r="A903" s="229"/>
      <c r="B903" s="229"/>
      <c r="C903" s="229"/>
      <c r="D903" s="229"/>
      <c r="E903" s="229"/>
      <c r="F903" s="229"/>
      <c r="G903" s="229"/>
      <c r="H903" s="229"/>
      <c r="I903" s="229"/>
      <c r="J903" s="229"/>
      <c r="K903" s="229"/>
      <c r="L903" s="229"/>
      <c r="M903" s="229"/>
      <c r="N903" s="229"/>
      <c r="O903" s="229"/>
      <c r="P903" s="229"/>
      <c r="Q903" s="229"/>
      <c r="R903" s="229"/>
      <c r="S903" s="229"/>
      <c r="T903" s="229"/>
      <c r="U903" s="229"/>
      <c r="V903" s="229"/>
      <c r="W903" s="229"/>
      <c r="X903" s="229"/>
      <c r="Y903" s="229"/>
      <c r="Z903" s="229"/>
      <c r="AA903" s="229"/>
    </row>
    <row r="904" customFormat="false" ht="13.5" hidden="false" customHeight="true" outlineLevel="0" collapsed="false">
      <c r="A904" s="229"/>
      <c r="B904" s="229"/>
      <c r="C904" s="229"/>
      <c r="D904" s="229"/>
      <c r="E904" s="229"/>
      <c r="F904" s="229"/>
      <c r="G904" s="229"/>
      <c r="H904" s="229"/>
      <c r="I904" s="229"/>
      <c r="J904" s="229"/>
      <c r="K904" s="229"/>
      <c r="L904" s="229"/>
      <c r="M904" s="229"/>
      <c r="N904" s="229"/>
      <c r="O904" s="229"/>
      <c r="P904" s="229"/>
      <c r="Q904" s="229"/>
      <c r="R904" s="229"/>
      <c r="S904" s="229"/>
      <c r="T904" s="229"/>
      <c r="U904" s="229"/>
      <c r="V904" s="229"/>
      <c r="W904" s="229"/>
      <c r="X904" s="229"/>
      <c r="Y904" s="229"/>
      <c r="Z904" s="229"/>
      <c r="AA904" s="229"/>
    </row>
    <row r="905" customFormat="false" ht="13.5" hidden="false" customHeight="true" outlineLevel="0" collapsed="false">
      <c r="A905" s="229"/>
      <c r="B905" s="229"/>
      <c r="C905" s="229"/>
      <c r="D905" s="229"/>
      <c r="E905" s="229"/>
      <c r="F905" s="229"/>
      <c r="G905" s="229"/>
      <c r="H905" s="229"/>
      <c r="I905" s="229"/>
      <c r="J905" s="229"/>
      <c r="K905" s="229"/>
      <c r="L905" s="229"/>
      <c r="M905" s="229"/>
      <c r="N905" s="229"/>
      <c r="O905" s="229"/>
      <c r="P905" s="229"/>
      <c r="Q905" s="229"/>
      <c r="R905" s="229"/>
      <c r="S905" s="229"/>
      <c r="T905" s="229"/>
      <c r="U905" s="229"/>
      <c r="V905" s="229"/>
      <c r="W905" s="229"/>
      <c r="X905" s="229"/>
      <c r="Y905" s="229"/>
      <c r="Z905" s="229"/>
      <c r="AA905" s="229"/>
    </row>
    <row r="906" customFormat="false" ht="13.5" hidden="false" customHeight="true" outlineLevel="0" collapsed="false">
      <c r="A906" s="229"/>
      <c r="B906" s="229"/>
      <c r="C906" s="229"/>
      <c r="D906" s="229"/>
      <c r="E906" s="229"/>
      <c r="F906" s="229"/>
      <c r="G906" s="229"/>
      <c r="H906" s="229"/>
      <c r="I906" s="229"/>
      <c r="J906" s="229"/>
      <c r="K906" s="229"/>
      <c r="L906" s="229"/>
      <c r="M906" s="229"/>
      <c r="N906" s="229"/>
      <c r="O906" s="229"/>
      <c r="P906" s="229"/>
      <c r="Q906" s="229"/>
      <c r="R906" s="229"/>
      <c r="S906" s="229"/>
      <c r="T906" s="229"/>
      <c r="U906" s="229"/>
      <c r="V906" s="229"/>
      <c r="W906" s="229"/>
      <c r="X906" s="229"/>
      <c r="Y906" s="229"/>
      <c r="Z906" s="229"/>
      <c r="AA906" s="229"/>
    </row>
    <row r="907" customFormat="false" ht="13.5" hidden="false" customHeight="true" outlineLevel="0" collapsed="false">
      <c r="A907" s="229"/>
      <c r="B907" s="229"/>
      <c r="C907" s="229"/>
      <c r="D907" s="229"/>
      <c r="E907" s="229"/>
      <c r="F907" s="229"/>
      <c r="G907" s="229"/>
      <c r="H907" s="229"/>
      <c r="I907" s="229"/>
      <c r="J907" s="229"/>
      <c r="K907" s="229"/>
      <c r="L907" s="229"/>
      <c r="M907" s="229"/>
      <c r="N907" s="229"/>
      <c r="O907" s="229"/>
      <c r="P907" s="229"/>
      <c r="Q907" s="229"/>
      <c r="R907" s="229"/>
      <c r="S907" s="229"/>
      <c r="T907" s="229"/>
      <c r="U907" s="229"/>
      <c r="V907" s="229"/>
      <c r="W907" s="229"/>
      <c r="X907" s="229"/>
      <c r="Y907" s="229"/>
      <c r="Z907" s="229"/>
      <c r="AA907" s="229"/>
    </row>
    <row r="908" customFormat="false" ht="13.5" hidden="false" customHeight="true" outlineLevel="0" collapsed="false">
      <c r="A908" s="229"/>
      <c r="B908" s="229"/>
      <c r="C908" s="229"/>
      <c r="D908" s="229"/>
      <c r="E908" s="229"/>
      <c r="F908" s="229"/>
      <c r="G908" s="229"/>
      <c r="H908" s="229"/>
      <c r="I908" s="229"/>
      <c r="J908" s="229"/>
      <c r="K908" s="229"/>
      <c r="L908" s="229"/>
      <c r="M908" s="229"/>
      <c r="N908" s="229"/>
      <c r="O908" s="229"/>
      <c r="P908" s="229"/>
      <c r="Q908" s="229"/>
      <c r="R908" s="229"/>
      <c r="S908" s="229"/>
      <c r="T908" s="229"/>
      <c r="U908" s="229"/>
      <c r="V908" s="229"/>
      <c r="W908" s="229"/>
      <c r="X908" s="229"/>
      <c r="Y908" s="229"/>
      <c r="Z908" s="229"/>
      <c r="AA908" s="229"/>
    </row>
    <row r="909" customFormat="false" ht="13.5" hidden="false" customHeight="true" outlineLevel="0" collapsed="false">
      <c r="A909" s="229"/>
      <c r="B909" s="229"/>
      <c r="C909" s="229"/>
      <c r="D909" s="229"/>
      <c r="E909" s="229"/>
      <c r="F909" s="229"/>
      <c r="G909" s="229"/>
      <c r="H909" s="229"/>
      <c r="I909" s="229"/>
      <c r="J909" s="229"/>
      <c r="K909" s="229"/>
      <c r="L909" s="229"/>
      <c r="M909" s="229"/>
      <c r="N909" s="229"/>
      <c r="O909" s="229"/>
      <c r="P909" s="229"/>
      <c r="Q909" s="229"/>
      <c r="R909" s="229"/>
      <c r="S909" s="229"/>
      <c r="T909" s="229"/>
      <c r="U909" s="229"/>
      <c r="V909" s="229"/>
      <c r="W909" s="229"/>
      <c r="X909" s="229"/>
      <c r="Y909" s="229"/>
      <c r="Z909" s="229"/>
      <c r="AA909" s="229"/>
    </row>
    <row r="910" customFormat="false" ht="13.5" hidden="false" customHeight="true" outlineLevel="0" collapsed="false">
      <c r="A910" s="229"/>
      <c r="B910" s="229"/>
      <c r="C910" s="229"/>
      <c r="D910" s="229"/>
      <c r="E910" s="229"/>
      <c r="F910" s="229"/>
      <c r="G910" s="229"/>
      <c r="H910" s="229"/>
      <c r="I910" s="229"/>
      <c r="J910" s="229"/>
      <c r="K910" s="229"/>
      <c r="L910" s="229"/>
      <c r="M910" s="229"/>
      <c r="N910" s="229"/>
      <c r="O910" s="229"/>
      <c r="P910" s="229"/>
      <c r="Q910" s="229"/>
      <c r="R910" s="229"/>
      <c r="S910" s="229"/>
      <c r="T910" s="229"/>
      <c r="U910" s="229"/>
      <c r="V910" s="229"/>
      <c r="W910" s="229"/>
      <c r="X910" s="229"/>
      <c r="Y910" s="229"/>
      <c r="Z910" s="229"/>
      <c r="AA910" s="229"/>
    </row>
    <row r="911" customFormat="false" ht="13.5" hidden="false" customHeight="true" outlineLevel="0" collapsed="false">
      <c r="A911" s="229"/>
      <c r="B911" s="229"/>
      <c r="C911" s="229"/>
      <c r="D911" s="229"/>
      <c r="E911" s="229"/>
      <c r="F911" s="229"/>
      <c r="G911" s="229"/>
      <c r="H911" s="229"/>
      <c r="I911" s="229"/>
      <c r="J911" s="229"/>
      <c r="K911" s="229"/>
      <c r="L911" s="229"/>
      <c r="M911" s="229"/>
      <c r="N911" s="229"/>
      <c r="O911" s="229"/>
      <c r="P911" s="229"/>
      <c r="Q911" s="229"/>
      <c r="R911" s="229"/>
      <c r="S911" s="229"/>
      <c r="T911" s="229"/>
      <c r="U911" s="229"/>
      <c r="V911" s="229"/>
      <c r="W911" s="229"/>
      <c r="X911" s="229"/>
      <c r="Y911" s="229"/>
      <c r="Z911" s="229"/>
      <c r="AA911" s="229"/>
    </row>
    <row r="912" customFormat="false" ht="13.5" hidden="false" customHeight="true" outlineLevel="0" collapsed="false">
      <c r="A912" s="229"/>
      <c r="B912" s="229"/>
      <c r="C912" s="229"/>
      <c r="D912" s="229"/>
      <c r="E912" s="229"/>
      <c r="F912" s="229"/>
      <c r="G912" s="229"/>
      <c r="H912" s="229"/>
      <c r="I912" s="229"/>
      <c r="J912" s="229"/>
      <c r="K912" s="229"/>
      <c r="L912" s="229"/>
      <c r="M912" s="229"/>
      <c r="N912" s="229"/>
      <c r="O912" s="229"/>
      <c r="P912" s="229"/>
      <c r="Q912" s="229"/>
      <c r="R912" s="229"/>
      <c r="S912" s="229"/>
      <c r="T912" s="229"/>
      <c r="U912" s="229"/>
      <c r="V912" s="229"/>
      <c r="W912" s="229"/>
      <c r="X912" s="229"/>
      <c r="Y912" s="229"/>
      <c r="Z912" s="229"/>
      <c r="AA912" s="229"/>
    </row>
    <row r="913" customFormat="false" ht="13.5" hidden="false" customHeight="true" outlineLevel="0" collapsed="false">
      <c r="A913" s="229"/>
      <c r="B913" s="229"/>
      <c r="C913" s="229"/>
      <c r="D913" s="229"/>
      <c r="E913" s="229"/>
      <c r="F913" s="229"/>
      <c r="G913" s="229"/>
      <c r="H913" s="229"/>
      <c r="I913" s="229"/>
      <c r="J913" s="229"/>
      <c r="K913" s="229"/>
      <c r="L913" s="229"/>
      <c r="M913" s="229"/>
      <c r="N913" s="229"/>
      <c r="O913" s="229"/>
      <c r="P913" s="229"/>
      <c r="Q913" s="229"/>
      <c r="R913" s="229"/>
      <c r="S913" s="229"/>
      <c r="T913" s="229"/>
      <c r="U913" s="229"/>
      <c r="V913" s="229"/>
      <c r="W913" s="229"/>
      <c r="X913" s="229"/>
      <c r="Y913" s="229"/>
      <c r="Z913" s="229"/>
      <c r="AA913" s="229"/>
    </row>
    <row r="914" customFormat="false" ht="13.5" hidden="false" customHeight="true" outlineLevel="0" collapsed="false">
      <c r="A914" s="229"/>
      <c r="B914" s="229"/>
      <c r="C914" s="229"/>
      <c r="D914" s="229"/>
      <c r="E914" s="229"/>
      <c r="F914" s="229"/>
      <c r="G914" s="229"/>
      <c r="H914" s="229"/>
      <c r="I914" s="229"/>
      <c r="J914" s="229"/>
      <c r="K914" s="229"/>
      <c r="L914" s="229"/>
      <c r="M914" s="229"/>
      <c r="N914" s="229"/>
      <c r="O914" s="229"/>
      <c r="P914" s="229"/>
      <c r="Q914" s="229"/>
      <c r="R914" s="229"/>
      <c r="S914" s="229"/>
      <c r="T914" s="229"/>
      <c r="U914" s="229"/>
      <c r="V914" s="229"/>
      <c r="W914" s="229"/>
      <c r="X914" s="229"/>
      <c r="Y914" s="229"/>
      <c r="Z914" s="229"/>
      <c r="AA914" s="229"/>
    </row>
    <row r="915" customFormat="false" ht="13.5" hidden="false" customHeight="true" outlineLevel="0" collapsed="false">
      <c r="A915" s="229"/>
      <c r="B915" s="229"/>
      <c r="C915" s="229"/>
      <c r="D915" s="229"/>
      <c r="E915" s="229"/>
      <c r="F915" s="229"/>
      <c r="G915" s="229"/>
      <c r="H915" s="229"/>
      <c r="I915" s="229"/>
      <c r="J915" s="229"/>
      <c r="K915" s="229"/>
      <c r="L915" s="229"/>
      <c r="M915" s="229"/>
      <c r="N915" s="229"/>
      <c r="O915" s="229"/>
      <c r="P915" s="229"/>
      <c r="Q915" s="229"/>
      <c r="R915" s="229"/>
      <c r="S915" s="229"/>
      <c r="T915" s="229"/>
      <c r="U915" s="229"/>
      <c r="V915" s="229"/>
      <c r="W915" s="229"/>
      <c r="X915" s="229"/>
      <c r="Y915" s="229"/>
      <c r="Z915" s="229"/>
      <c r="AA915" s="229"/>
    </row>
    <row r="916" customFormat="false" ht="13.5" hidden="false" customHeight="true" outlineLevel="0" collapsed="false">
      <c r="A916" s="229"/>
      <c r="B916" s="229"/>
      <c r="C916" s="229"/>
      <c r="D916" s="229"/>
      <c r="E916" s="229"/>
      <c r="F916" s="229"/>
      <c r="G916" s="229"/>
      <c r="H916" s="229"/>
      <c r="I916" s="229"/>
      <c r="J916" s="229"/>
      <c r="K916" s="229"/>
      <c r="L916" s="229"/>
      <c r="M916" s="229"/>
      <c r="N916" s="229"/>
      <c r="O916" s="229"/>
      <c r="P916" s="229"/>
      <c r="Q916" s="229"/>
      <c r="R916" s="229"/>
      <c r="S916" s="229"/>
      <c r="T916" s="229"/>
      <c r="U916" s="229"/>
      <c r="V916" s="229"/>
      <c r="W916" s="229"/>
      <c r="X916" s="229"/>
      <c r="Y916" s="229"/>
      <c r="Z916" s="229"/>
      <c r="AA916" s="229"/>
    </row>
    <row r="917" customFormat="false" ht="13.5" hidden="false" customHeight="true" outlineLevel="0" collapsed="false">
      <c r="A917" s="229"/>
      <c r="B917" s="229"/>
      <c r="C917" s="229"/>
      <c r="D917" s="229"/>
      <c r="E917" s="229"/>
      <c r="F917" s="229"/>
      <c r="G917" s="229"/>
      <c r="H917" s="229"/>
      <c r="I917" s="229"/>
      <c r="J917" s="229"/>
      <c r="K917" s="229"/>
      <c r="L917" s="229"/>
      <c r="M917" s="229"/>
      <c r="N917" s="229"/>
      <c r="O917" s="229"/>
      <c r="P917" s="229"/>
      <c r="Q917" s="229"/>
      <c r="R917" s="229"/>
      <c r="S917" s="229"/>
      <c r="T917" s="229"/>
      <c r="U917" s="229"/>
      <c r="V917" s="229"/>
      <c r="W917" s="229"/>
      <c r="X917" s="229"/>
      <c r="Y917" s="229"/>
      <c r="Z917" s="229"/>
      <c r="AA917" s="229"/>
    </row>
    <row r="918" customFormat="false" ht="13.5" hidden="false" customHeight="true" outlineLevel="0" collapsed="false">
      <c r="A918" s="229"/>
      <c r="B918" s="229"/>
      <c r="C918" s="229"/>
      <c r="D918" s="229"/>
      <c r="E918" s="229"/>
      <c r="F918" s="229"/>
      <c r="G918" s="229"/>
      <c r="H918" s="229"/>
      <c r="I918" s="229"/>
      <c r="J918" s="229"/>
      <c r="K918" s="229"/>
      <c r="L918" s="229"/>
      <c r="M918" s="229"/>
      <c r="N918" s="229"/>
      <c r="O918" s="229"/>
      <c r="P918" s="229"/>
      <c r="Q918" s="229"/>
      <c r="R918" s="229"/>
      <c r="S918" s="229"/>
      <c r="T918" s="229"/>
      <c r="U918" s="229"/>
      <c r="V918" s="229"/>
      <c r="W918" s="229"/>
      <c r="X918" s="229"/>
      <c r="Y918" s="229"/>
      <c r="Z918" s="229"/>
      <c r="AA918" s="229"/>
    </row>
    <row r="919" customFormat="false" ht="13.5" hidden="false" customHeight="true" outlineLevel="0" collapsed="false">
      <c r="A919" s="229"/>
      <c r="B919" s="229"/>
      <c r="C919" s="229"/>
      <c r="D919" s="229"/>
      <c r="E919" s="229"/>
      <c r="F919" s="229"/>
      <c r="G919" s="229"/>
      <c r="H919" s="229"/>
      <c r="I919" s="229"/>
      <c r="J919" s="229"/>
      <c r="K919" s="229"/>
      <c r="L919" s="229"/>
      <c r="M919" s="229"/>
      <c r="N919" s="229"/>
      <c r="O919" s="229"/>
      <c r="P919" s="229"/>
      <c r="Q919" s="229"/>
      <c r="R919" s="229"/>
      <c r="S919" s="229"/>
      <c r="T919" s="229"/>
      <c r="U919" s="229"/>
      <c r="V919" s="229"/>
      <c r="W919" s="229"/>
      <c r="X919" s="229"/>
      <c r="Y919" s="229"/>
      <c r="Z919" s="229"/>
      <c r="AA919" s="229"/>
    </row>
    <row r="920" customFormat="false" ht="13.5" hidden="false" customHeight="true" outlineLevel="0" collapsed="false">
      <c r="A920" s="229"/>
      <c r="B920" s="229"/>
      <c r="C920" s="229"/>
      <c r="D920" s="229"/>
      <c r="E920" s="229"/>
      <c r="F920" s="229"/>
      <c r="G920" s="229"/>
      <c r="H920" s="229"/>
      <c r="I920" s="229"/>
      <c r="J920" s="229"/>
      <c r="K920" s="229"/>
      <c r="L920" s="229"/>
      <c r="M920" s="229"/>
      <c r="N920" s="229"/>
      <c r="O920" s="229"/>
      <c r="P920" s="229"/>
      <c r="Q920" s="229"/>
      <c r="R920" s="229"/>
      <c r="S920" s="229"/>
      <c r="T920" s="229"/>
      <c r="U920" s="229"/>
      <c r="V920" s="229"/>
      <c r="W920" s="229"/>
      <c r="X920" s="229"/>
      <c r="Y920" s="229"/>
      <c r="Z920" s="229"/>
      <c r="AA920" s="229"/>
    </row>
    <row r="921" customFormat="false" ht="13.5" hidden="false" customHeight="true" outlineLevel="0" collapsed="false">
      <c r="A921" s="229"/>
      <c r="B921" s="229"/>
      <c r="C921" s="229"/>
      <c r="D921" s="229"/>
      <c r="E921" s="229"/>
      <c r="F921" s="229"/>
      <c r="G921" s="229"/>
      <c r="H921" s="229"/>
      <c r="I921" s="229"/>
      <c r="J921" s="229"/>
      <c r="K921" s="229"/>
      <c r="L921" s="229"/>
      <c r="M921" s="229"/>
      <c r="N921" s="229"/>
      <c r="O921" s="229"/>
      <c r="P921" s="229"/>
      <c r="Q921" s="229"/>
      <c r="R921" s="229"/>
      <c r="S921" s="229"/>
      <c r="T921" s="229"/>
      <c r="U921" s="229"/>
      <c r="V921" s="229"/>
      <c r="W921" s="229"/>
      <c r="X921" s="229"/>
      <c r="Y921" s="229"/>
      <c r="Z921" s="229"/>
      <c r="AA921" s="229"/>
    </row>
    <row r="922" customFormat="false" ht="13.5" hidden="false" customHeight="true" outlineLevel="0" collapsed="false">
      <c r="A922" s="229"/>
      <c r="B922" s="229"/>
      <c r="C922" s="229"/>
      <c r="D922" s="229"/>
      <c r="E922" s="229"/>
      <c r="F922" s="229"/>
      <c r="G922" s="229"/>
      <c r="H922" s="229"/>
      <c r="I922" s="229"/>
      <c r="J922" s="229"/>
      <c r="K922" s="229"/>
      <c r="L922" s="229"/>
      <c r="M922" s="229"/>
      <c r="N922" s="229"/>
      <c r="O922" s="229"/>
      <c r="P922" s="229"/>
      <c r="Q922" s="229"/>
      <c r="R922" s="229"/>
      <c r="S922" s="229"/>
      <c r="T922" s="229"/>
      <c r="U922" s="229"/>
      <c r="V922" s="229"/>
      <c r="W922" s="229"/>
      <c r="X922" s="229"/>
      <c r="Y922" s="229"/>
      <c r="Z922" s="229"/>
      <c r="AA922" s="229"/>
    </row>
    <row r="923" customFormat="false" ht="13.5" hidden="false" customHeight="true" outlineLevel="0" collapsed="false">
      <c r="A923" s="229"/>
      <c r="B923" s="229"/>
      <c r="C923" s="229"/>
      <c r="D923" s="229"/>
      <c r="E923" s="229"/>
      <c r="F923" s="229"/>
      <c r="G923" s="229"/>
      <c r="H923" s="229"/>
      <c r="I923" s="229"/>
      <c r="J923" s="229"/>
      <c r="K923" s="229"/>
      <c r="L923" s="229"/>
      <c r="M923" s="229"/>
      <c r="N923" s="229"/>
      <c r="O923" s="229"/>
      <c r="P923" s="229"/>
      <c r="Q923" s="229"/>
      <c r="R923" s="229"/>
      <c r="S923" s="229"/>
      <c r="T923" s="229"/>
      <c r="U923" s="229"/>
      <c r="V923" s="229"/>
      <c r="W923" s="229"/>
      <c r="X923" s="229"/>
      <c r="Y923" s="229"/>
      <c r="Z923" s="229"/>
      <c r="AA923" s="229"/>
    </row>
    <row r="924" customFormat="false" ht="13.5" hidden="false" customHeight="true" outlineLevel="0" collapsed="false">
      <c r="A924" s="229"/>
      <c r="B924" s="229"/>
      <c r="C924" s="229"/>
      <c r="D924" s="229"/>
      <c r="E924" s="229"/>
      <c r="F924" s="229"/>
      <c r="G924" s="229"/>
      <c r="H924" s="229"/>
      <c r="I924" s="229"/>
      <c r="J924" s="229"/>
      <c r="K924" s="229"/>
      <c r="L924" s="229"/>
      <c r="M924" s="229"/>
      <c r="N924" s="229"/>
      <c r="O924" s="229"/>
      <c r="P924" s="229"/>
      <c r="Q924" s="229"/>
      <c r="R924" s="229"/>
      <c r="S924" s="229"/>
      <c r="T924" s="229"/>
      <c r="U924" s="229"/>
      <c r="V924" s="229"/>
      <c r="W924" s="229"/>
      <c r="X924" s="229"/>
      <c r="Y924" s="229"/>
      <c r="Z924" s="229"/>
      <c r="AA924" s="229"/>
    </row>
    <row r="925" customFormat="false" ht="13.5" hidden="false" customHeight="true" outlineLevel="0" collapsed="false">
      <c r="A925" s="229"/>
      <c r="B925" s="229"/>
      <c r="C925" s="229"/>
      <c r="D925" s="229"/>
      <c r="E925" s="229"/>
      <c r="F925" s="229"/>
      <c r="G925" s="229"/>
      <c r="H925" s="229"/>
      <c r="I925" s="229"/>
      <c r="J925" s="229"/>
      <c r="K925" s="229"/>
      <c r="L925" s="229"/>
      <c r="M925" s="229"/>
      <c r="N925" s="229"/>
      <c r="O925" s="229"/>
      <c r="P925" s="229"/>
      <c r="Q925" s="229"/>
      <c r="R925" s="229"/>
      <c r="S925" s="229"/>
      <c r="T925" s="229"/>
      <c r="U925" s="229"/>
      <c r="V925" s="229"/>
      <c r="W925" s="229"/>
      <c r="X925" s="229"/>
      <c r="Y925" s="229"/>
      <c r="Z925" s="229"/>
      <c r="AA925" s="229"/>
    </row>
    <row r="926" customFormat="false" ht="13.5" hidden="false" customHeight="true" outlineLevel="0" collapsed="false">
      <c r="A926" s="229"/>
      <c r="B926" s="229"/>
      <c r="C926" s="229"/>
      <c r="D926" s="229"/>
      <c r="E926" s="229"/>
      <c r="F926" s="229"/>
      <c r="G926" s="229"/>
      <c r="H926" s="229"/>
      <c r="I926" s="229"/>
      <c r="J926" s="229"/>
      <c r="K926" s="229"/>
      <c r="L926" s="229"/>
      <c r="M926" s="229"/>
      <c r="N926" s="229"/>
      <c r="O926" s="229"/>
      <c r="P926" s="229"/>
      <c r="Q926" s="229"/>
      <c r="R926" s="229"/>
      <c r="S926" s="229"/>
      <c r="T926" s="229"/>
      <c r="U926" s="229"/>
      <c r="V926" s="229"/>
      <c r="W926" s="229"/>
      <c r="X926" s="229"/>
      <c r="Y926" s="229"/>
      <c r="Z926" s="229"/>
      <c r="AA926" s="229"/>
    </row>
    <row r="927" customFormat="false" ht="13.5" hidden="false" customHeight="true" outlineLevel="0" collapsed="false">
      <c r="A927" s="229"/>
      <c r="B927" s="229"/>
      <c r="C927" s="229"/>
      <c r="D927" s="229"/>
      <c r="E927" s="229"/>
      <c r="F927" s="229"/>
      <c r="G927" s="229"/>
      <c r="H927" s="229"/>
      <c r="I927" s="229"/>
      <c r="J927" s="229"/>
      <c r="K927" s="229"/>
      <c r="L927" s="229"/>
      <c r="M927" s="229"/>
      <c r="N927" s="229"/>
      <c r="O927" s="229"/>
      <c r="P927" s="229"/>
      <c r="Q927" s="229"/>
      <c r="R927" s="229"/>
      <c r="S927" s="229"/>
      <c r="T927" s="229"/>
      <c r="U927" s="229"/>
      <c r="V927" s="229"/>
      <c r="W927" s="229"/>
      <c r="X927" s="229"/>
      <c r="Y927" s="229"/>
      <c r="Z927" s="229"/>
      <c r="AA927" s="229"/>
    </row>
    <row r="928" customFormat="false" ht="13.5" hidden="false" customHeight="true" outlineLevel="0" collapsed="false">
      <c r="A928" s="229"/>
      <c r="B928" s="229"/>
      <c r="C928" s="229"/>
      <c r="D928" s="229"/>
      <c r="E928" s="229"/>
      <c r="F928" s="229"/>
      <c r="G928" s="229"/>
      <c r="H928" s="229"/>
      <c r="I928" s="229"/>
      <c r="J928" s="229"/>
      <c r="K928" s="229"/>
      <c r="L928" s="229"/>
      <c r="M928" s="229"/>
      <c r="N928" s="229"/>
      <c r="O928" s="229"/>
      <c r="P928" s="229"/>
      <c r="Q928" s="229"/>
      <c r="R928" s="229"/>
      <c r="S928" s="229"/>
      <c r="T928" s="229"/>
      <c r="U928" s="229"/>
      <c r="V928" s="229"/>
      <c r="W928" s="229"/>
      <c r="X928" s="229"/>
      <c r="Y928" s="229"/>
      <c r="Z928" s="229"/>
      <c r="AA928" s="229"/>
    </row>
    <row r="929" customFormat="false" ht="13.5" hidden="false" customHeight="true" outlineLevel="0" collapsed="false">
      <c r="A929" s="229"/>
      <c r="B929" s="229"/>
      <c r="C929" s="229"/>
      <c r="D929" s="229"/>
      <c r="E929" s="229"/>
      <c r="F929" s="229"/>
      <c r="G929" s="229"/>
      <c r="H929" s="229"/>
      <c r="I929" s="229"/>
      <c r="J929" s="229"/>
      <c r="K929" s="229"/>
      <c r="L929" s="229"/>
      <c r="M929" s="229"/>
      <c r="N929" s="229"/>
      <c r="O929" s="229"/>
      <c r="P929" s="229"/>
      <c r="Q929" s="229"/>
      <c r="R929" s="229"/>
      <c r="S929" s="229"/>
      <c r="T929" s="229"/>
      <c r="U929" s="229"/>
      <c r="V929" s="229"/>
      <c r="W929" s="229"/>
      <c r="X929" s="229"/>
      <c r="Y929" s="229"/>
      <c r="Z929" s="229"/>
      <c r="AA929" s="229"/>
    </row>
    <row r="930" customFormat="false" ht="13.5" hidden="false" customHeight="true" outlineLevel="0" collapsed="false">
      <c r="A930" s="229"/>
      <c r="B930" s="229"/>
      <c r="C930" s="229"/>
      <c r="D930" s="229"/>
      <c r="E930" s="229"/>
      <c r="F930" s="229"/>
      <c r="G930" s="229"/>
      <c r="H930" s="229"/>
      <c r="I930" s="229"/>
      <c r="J930" s="229"/>
      <c r="K930" s="229"/>
      <c r="L930" s="229"/>
      <c r="M930" s="229"/>
      <c r="N930" s="229"/>
      <c r="O930" s="229"/>
      <c r="P930" s="229"/>
      <c r="Q930" s="229"/>
      <c r="R930" s="229"/>
      <c r="S930" s="229"/>
      <c r="T930" s="229"/>
      <c r="U930" s="229"/>
      <c r="V930" s="229"/>
      <c r="W930" s="229"/>
      <c r="X930" s="229"/>
      <c r="Y930" s="229"/>
      <c r="Z930" s="229"/>
      <c r="AA930" s="229"/>
    </row>
    <row r="931" customFormat="false" ht="13.5" hidden="false" customHeight="true" outlineLevel="0" collapsed="false">
      <c r="A931" s="229"/>
      <c r="B931" s="229"/>
      <c r="C931" s="229"/>
      <c r="D931" s="229"/>
      <c r="E931" s="229"/>
      <c r="F931" s="229"/>
      <c r="G931" s="229"/>
      <c r="H931" s="229"/>
      <c r="I931" s="229"/>
      <c r="J931" s="229"/>
      <c r="K931" s="229"/>
      <c r="L931" s="229"/>
      <c r="M931" s="229"/>
      <c r="N931" s="229"/>
      <c r="O931" s="229"/>
      <c r="P931" s="229"/>
      <c r="Q931" s="229"/>
      <c r="R931" s="229"/>
      <c r="S931" s="229"/>
      <c r="T931" s="229"/>
      <c r="U931" s="229"/>
      <c r="V931" s="229"/>
      <c r="W931" s="229"/>
      <c r="X931" s="229"/>
      <c r="Y931" s="229"/>
      <c r="Z931" s="229"/>
      <c r="AA931" s="229"/>
    </row>
    <row r="932" customFormat="false" ht="13.5" hidden="false" customHeight="true" outlineLevel="0" collapsed="false">
      <c r="A932" s="229"/>
      <c r="B932" s="229"/>
      <c r="C932" s="229"/>
      <c r="D932" s="229"/>
      <c r="E932" s="229"/>
      <c r="F932" s="229"/>
      <c r="G932" s="229"/>
      <c r="H932" s="229"/>
      <c r="I932" s="229"/>
      <c r="J932" s="229"/>
      <c r="K932" s="229"/>
      <c r="L932" s="229"/>
      <c r="M932" s="229"/>
      <c r="N932" s="229"/>
      <c r="O932" s="229"/>
      <c r="P932" s="229"/>
      <c r="Q932" s="229"/>
      <c r="R932" s="229"/>
      <c r="S932" s="229"/>
      <c r="T932" s="229"/>
      <c r="U932" s="229"/>
      <c r="V932" s="229"/>
      <c r="W932" s="229"/>
      <c r="X932" s="229"/>
      <c r="Y932" s="229"/>
      <c r="Z932" s="229"/>
      <c r="AA932" s="229"/>
    </row>
    <row r="933" customFormat="false" ht="13.5" hidden="false" customHeight="true" outlineLevel="0" collapsed="false">
      <c r="A933" s="229"/>
      <c r="B933" s="229"/>
      <c r="C933" s="229"/>
      <c r="D933" s="229"/>
      <c r="E933" s="229"/>
      <c r="F933" s="229"/>
      <c r="G933" s="229"/>
      <c r="H933" s="229"/>
      <c r="I933" s="229"/>
      <c r="J933" s="229"/>
      <c r="K933" s="229"/>
      <c r="L933" s="229"/>
      <c r="M933" s="229"/>
      <c r="N933" s="229"/>
      <c r="O933" s="229"/>
      <c r="P933" s="229"/>
      <c r="Q933" s="229"/>
      <c r="R933" s="229"/>
      <c r="S933" s="229"/>
      <c r="T933" s="229"/>
      <c r="U933" s="229"/>
      <c r="V933" s="229"/>
      <c r="W933" s="229"/>
      <c r="X933" s="229"/>
      <c r="Y933" s="229"/>
      <c r="Z933" s="229"/>
      <c r="AA933" s="229"/>
    </row>
    <row r="934" customFormat="false" ht="13.5" hidden="false" customHeight="true" outlineLevel="0" collapsed="false">
      <c r="A934" s="229"/>
      <c r="B934" s="229"/>
      <c r="C934" s="229"/>
      <c r="D934" s="229"/>
      <c r="E934" s="229"/>
      <c r="F934" s="229"/>
      <c r="G934" s="229"/>
      <c r="H934" s="229"/>
      <c r="I934" s="229"/>
      <c r="J934" s="229"/>
      <c r="K934" s="229"/>
      <c r="L934" s="229"/>
      <c r="M934" s="229"/>
      <c r="N934" s="229"/>
      <c r="O934" s="229"/>
      <c r="P934" s="229"/>
      <c r="Q934" s="229"/>
      <c r="R934" s="229"/>
      <c r="S934" s="229"/>
      <c r="T934" s="229"/>
      <c r="U934" s="229"/>
      <c r="V934" s="229"/>
      <c r="W934" s="229"/>
      <c r="X934" s="229"/>
      <c r="Y934" s="229"/>
      <c r="Z934" s="229"/>
      <c r="AA934" s="229"/>
    </row>
    <row r="935" customFormat="false" ht="13.5" hidden="false" customHeight="true" outlineLevel="0" collapsed="false">
      <c r="A935" s="229"/>
      <c r="B935" s="229"/>
      <c r="C935" s="229"/>
      <c r="D935" s="229"/>
      <c r="E935" s="229"/>
      <c r="F935" s="229"/>
      <c r="G935" s="229"/>
      <c r="H935" s="229"/>
      <c r="I935" s="229"/>
      <c r="J935" s="229"/>
      <c r="K935" s="229"/>
      <c r="L935" s="229"/>
      <c r="M935" s="229"/>
      <c r="N935" s="229"/>
      <c r="O935" s="229"/>
      <c r="P935" s="229"/>
      <c r="Q935" s="229"/>
      <c r="R935" s="229"/>
      <c r="S935" s="229"/>
      <c r="T935" s="229"/>
      <c r="U935" s="229"/>
      <c r="V935" s="229"/>
      <c r="W935" s="229"/>
      <c r="X935" s="229"/>
      <c r="Y935" s="229"/>
      <c r="Z935" s="229"/>
      <c r="AA935" s="229"/>
    </row>
    <row r="936" customFormat="false" ht="13.5" hidden="false" customHeight="true" outlineLevel="0" collapsed="false">
      <c r="A936" s="229"/>
      <c r="B936" s="229"/>
      <c r="C936" s="229"/>
      <c r="D936" s="229"/>
      <c r="E936" s="229"/>
      <c r="F936" s="229"/>
      <c r="G936" s="229"/>
      <c r="H936" s="229"/>
      <c r="I936" s="229"/>
      <c r="J936" s="229"/>
      <c r="K936" s="229"/>
      <c r="L936" s="229"/>
      <c r="M936" s="229"/>
      <c r="N936" s="229"/>
      <c r="O936" s="229"/>
      <c r="P936" s="229"/>
      <c r="Q936" s="229"/>
      <c r="R936" s="229"/>
      <c r="S936" s="229"/>
      <c r="T936" s="229"/>
      <c r="U936" s="229"/>
      <c r="V936" s="229"/>
      <c r="W936" s="229"/>
      <c r="X936" s="229"/>
      <c r="Y936" s="229"/>
      <c r="Z936" s="229"/>
      <c r="AA936" s="229"/>
    </row>
    <row r="937" customFormat="false" ht="13.5" hidden="false" customHeight="true" outlineLevel="0" collapsed="false">
      <c r="A937" s="229"/>
      <c r="B937" s="229"/>
      <c r="C937" s="229"/>
      <c r="D937" s="229"/>
      <c r="E937" s="229"/>
      <c r="F937" s="229"/>
      <c r="G937" s="229"/>
      <c r="H937" s="229"/>
      <c r="I937" s="229"/>
      <c r="J937" s="229"/>
      <c r="K937" s="229"/>
      <c r="L937" s="229"/>
      <c r="M937" s="229"/>
      <c r="N937" s="229"/>
      <c r="O937" s="229"/>
      <c r="P937" s="229"/>
      <c r="Q937" s="229"/>
      <c r="R937" s="229"/>
      <c r="S937" s="229"/>
      <c r="T937" s="229"/>
      <c r="U937" s="229"/>
      <c r="V937" s="229"/>
      <c r="W937" s="229"/>
      <c r="X937" s="229"/>
      <c r="Y937" s="229"/>
      <c r="Z937" s="229"/>
      <c r="AA937" s="229"/>
    </row>
    <row r="938" customFormat="false" ht="13.5" hidden="false" customHeight="true" outlineLevel="0" collapsed="false">
      <c r="A938" s="229"/>
      <c r="B938" s="229"/>
      <c r="C938" s="229"/>
      <c r="D938" s="229"/>
      <c r="E938" s="229"/>
      <c r="F938" s="229"/>
      <c r="G938" s="229"/>
      <c r="H938" s="229"/>
      <c r="I938" s="229"/>
      <c r="J938" s="229"/>
      <c r="K938" s="229"/>
      <c r="L938" s="229"/>
      <c r="M938" s="229"/>
      <c r="N938" s="229"/>
      <c r="O938" s="229"/>
      <c r="P938" s="229"/>
      <c r="Q938" s="229"/>
      <c r="R938" s="229"/>
      <c r="S938" s="229"/>
      <c r="T938" s="229"/>
      <c r="U938" s="229"/>
      <c r="V938" s="229"/>
      <c r="W938" s="229"/>
      <c r="X938" s="229"/>
      <c r="Y938" s="229"/>
      <c r="Z938" s="229"/>
      <c r="AA938" s="229"/>
    </row>
    <row r="939" customFormat="false" ht="13.5" hidden="false" customHeight="true" outlineLevel="0" collapsed="false">
      <c r="A939" s="229"/>
      <c r="B939" s="229"/>
      <c r="C939" s="229"/>
      <c r="D939" s="229"/>
      <c r="E939" s="229"/>
      <c r="F939" s="229"/>
      <c r="G939" s="229"/>
      <c r="H939" s="229"/>
      <c r="I939" s="229"/>
      <c r="J939" s="229"/>
      <c r="K939" s="229"/>
      <c r="L939" s="229"/>
      <c r="M939" s="229"/>
      <c r="N939" s="229"/>
      <c r="O939" s="229"/>
      <c r="P939" s="229"/>
      <c r="Q939" s="229"/>
      <c r="R939" s="229"/>
      <c r="S939" s="229"/>
      <c r="T939" s="229"/>
      <c r="U939" s="229"/>
      <c r="V939" s="229"/>
      <c r="W939" s="229"/>
      <c r="X939" s="229"/>
      <c r="Y939" s="229"/>
      <c r="Z939" s="229"/>
      <c r="AA939" s="229"/>
    </row>
    <row r="940" customFormat="false" ht="13.5" hidden="false" customHeight="true" outlineLevel="0" collapsed="false">
      <c r="A940" s="229"/>
      <c r="B940" s="229"/>
      <c r="C940" s="229"/>
      <c r="D940" s="229"/>
      <c r="E940" s="229"/>
      <c r="F940" s="229"/>
      <c r="G940" s="229"/>
      <c r="H940" s="229"/>
      <c r="I940" s="229"/>
      <c r="J940" s="229"/>
      <c r="K940" s="229"/>
      <c r="L940" s="229"/>
      <c r="M940" s="229"/>
      <c r="N940" s="229"/>
      <c r="O940" s="229"/>
      <c r="P940" s="229"/>
      <c r="Q940" s="229"/>
      <c r="R940" s="229"/>
      <c r="S940" s="229"/>
      <c r="T940" s="229"/>
      <c r="U940" s="229"/>
      <c r="V940" s="229"/>
      <c r="W940" s="229"/>
      <c r="X940" s="229"/>
      <c r="Y940" s="229"/>
      <c r="Z940" s="229"/>
      <c r="AA940" s="229"/>
    </row>
    <row r="941" customFormat="false" ht="13.5" hidden="false" customHeight="true" outlineLevel="0" collapsed="false">
      <c r="A941" s="229"/>
      <c r="B941" s="229"/>
      <c r="C941" s="229"/>
      <c r="D941" s="229"/>
      <c r="E941" s="229"/>
      <c r="F941" s="229"/>
      <c r="G941" s="229"/>
      <c r="H941" s="229"/>
      <c r="I941" s="229"/>
      <c r="J941" s="229"/>
      <c r="K941" s="229"/>
      <c r="L941" s="229"/>
      <c r="M941" s="229"/>
      <c r="N941" s="229"/>
      <c r="O941" s="229"/>
      <c r="P941" s="229"/>
      <c r="Q941" s="229"/>
      <c r="R941" s="229"/>
      <c r="S941" s="229"/>
      <c r="T941" s="229"/>
      <c r="U941" s="229"/>
      <c r="V941" s="229"/>
      <c r="W941" s="229"/>
      <c r="X941" s="229"/>
      <c r="Y941" s="229"/>
      <c r="Z941" s="229"/>
      <c r="AA941" s="229"/>
    </row>
    <row r="942" customFormat="false" ht="13.5" hidden="false" customHeight="true" outlineLevel="0" collapsed="false">
      <c r="A942" s="229"/>
      <c r="B942" s="229"/>
      <c r="C942" s="229"/>
      <c r="D942" s="229"/>
      <c r="E942" s="229"/>
      <c r="F942" s="229"/>
      <c r="G942" s="229"/>
      <c r="H942" s="229"/>
      <c r="I942" s="229"/>
      <c r="J942" s="229"/>
      <c r="K942" s="229"/>
      <c r="L942" s="229"/>
      <c r="M942" s="229"/>
      <c r="N942" s="229"/>
      <c r="O942" s="229"/>
      <c r="P942" s="229"/>
      <c r="Q942" s="229"/>
      <c r="R942" s="229"/>
      <c r="S942" s="229"/>
      <c r="T942" s="229"/>
      <c r="U942" s="229"/>
      <c r="V942" s="229"/>
      <c r="W942" s="229"/>
      <c r="X942" s="229"/>
      <c r="Y942" s="229"/>
      <c r="Z942" s="229"/>
      <c r="AA942" s="229"/>
    </row>
    <row r="943" customFormat="false" ht="13.5" hidden="false" customHeight="true" outlineLevel="0" collapsed="false">
      <c r="A943" s="229"/>
      <c r="B943" s="229"/>
      <c r="C943" s="229"/>
      <c r="D943" s="229"/>
      <c r="E943" s="229"/>
      <c r="F943" s="229"/>
      <c r="G943" s="229"/>
      <c r="H943" s="229"/>
      <c r="I943" s="229"/>
      <c r="J943" s="229"/>
      <c r="K943" s="229"/>
      <c r="L943" s="229"/>
      <c r="M943" s="229"/>
      <c r="N943" s="229"/>
      <c r="O943" s="229"/>
      <c r="P943" s="229"/>
      <c r="Q943" s="229"/>
      <c r="R943" s="229"/>
      <c r="S943" s="229"/>
      <c r="T943" s="229"/>
      <c r="U943" s="229"/>
      <c r="V943" s="229"/>
      <c r="W943" s="229"/>
      <c r="X943" s="229"/>
      <c r="Y943" s="229"/>
      <c r="Z943" s="229"/>
      <c r="AA943" s="229"/>
    </row>
    <row r="944" customFormat="false" ht="13.5" hidden="false" customHeight="true" outlineLevel="0" collapsed="false">
      <c r="A944" s="229"/>
      <c r="B944" s="229"/>
      <c r="C944" s="229"/>
      <c r="D944" s="229"/>
      <c r="E944" s="229"/>
      <c r="F944" s="229"/>
      <c r="G944" s="229"/>
      <c r="H944" s="229"/>
      <c r="I944" s="229"/>
      <c r="J944" s="229"/>
      <c r="K944" s="229"/>
      <c r="L944" s="229"/>
      <c r="M944" s="229"/>
      <c r="N944" s="229"/>
      <c r="O944" s="229"/>
      <c r="P944" s="229"/>
      <c r="Q944" s="229"/>
      <c r="R944" s="229"/>
      <c r="S944" s="229"/>
      <c r="T944" s="229"/>
      <c r="U944" s="229"/>
      <c r="V944" s="229"/>
      <c r="W944" s="229"/>
      <c r="X944" s="229"/>
      <c r="Y944" s="229"/>
      <c r="Z944" s="229"/>
      <c r="AA944" s="229"/>
    </row>
    <row r="945" customFormat="false" ht="13.5" hidden="false" customHeight="true" outlineLevel="0" collapsed="false">
      <c r="A945" s="229"/>
      <c r="B945" s="229"/>
      <c r="C945" s="229"/>
      <c r="D945" s="229"/>
      <c r="E945" s="229"/>
      <c r="F945" s="229"/>
      <c r="G945" s="229"/>
      <c r="H945" s="229"/>
      <c r="I945" s="229"/>
      <c r="J945" s="229"/>
      <c r="K945" s="229"/>
      <c r="L945" s="229"/>
      <c r="M945" s="229"/>
      <c r="N945" s="229"/>
      <c r="O945" s="229"/>
      <c r="P945" s="229"/>
      <c r="Q945" s="229"/>
      <c r="R945" s="229"/>
      <c r="S945" s="229"/>
      <c r="T945" s="229"/>
      <c r="U945" s="229"/>
      <c r="V945" s="229"/>
      <c r="W945" s="229"/>
      <c r="X945" s="229"/>
      <c r="Y945" s="229"/>
      <c r="Z945" s="229"/>
      <c r="AA945" s="229"/>
    </row>
    <row r="946" customFormat="false" ht="13.5" hidden="false" customHeight="true" outlineLevel="0" collapsed="false">
      <c r="A946" s="229"/>
      <c r="B946" s="229"/>
      <c r="C946" s="229"/>
      <c r="D946" s="229"/>
      <c r="E946" s="229"/>
      <c r="F946" s="229"/>
      <c r="G946" s="229"/>
      <c r="H946" s="229"/>
      <c r="I946" s="229"/>
      <c r="J946" s="229"/>
      <c r="K946" s="229"/>
      <c r="L946" s="229"/>
      <c r="M946" s="229"/>
      <c r="N946" s="229"/>
      <c r="O946" s="229"/>
      <c r="P946" s="229"/>
      <c r="Q946" s="229"/>
      <c r="R946" s="229"/>
      <c r="S946" s="229"/>
      <c r="T946" s="229"/>
      <c r="U946" s="229"/>
      <c r="V946" s="229"/>
      <c r="W946" s="229"/>
      <c r="X946" s="229"/>
      <c r="Y946" s="229"/>
      <c r="Z946" s="229"/>
      <c r="AA946" s="229"/>
    </row>
    <row r="947" customFormat="false" ht="13.5" hidden="false" customHeight="true" outlineLevel="0" collapsed="false">
      <c r="A947" s="229"/>
      <c r="B947" s="229"/>
      <c r="C947" s="229"/>
      <c r="D947" s="229"/>
      <c r="E947" s="229"/>
      <c r="F947" s="229"/>
      <c r="G947" s="229"/>
      <c r="H947" s="229"/>
      <c r="I947" s="229"/>
      <c r="J947" s="229"/>
      <c r="K947" s="229"/>
      <c r="L947" s="229"/>
      <c r="M947" s="229"/>
      <c r="N947" s="229"/>
      <c r="O947" s="229"/>
      <c r="P947" s="229"/>
      <c r="Q947" s="229"/>
      <c r="R947" s="229"/>
      <c r="S947" s="229"/>
      <c r="T947" s="229"/>
      <c r="U947" s="229"/>
      <c r="V947" s="229"/>
      <c r="W947" s="229"/>
      <c r="X947" s="229"/>
      <c r="Y947" s="229"/>
      <c r="Z947" s="229"/>
      <c r="AA947" s="229"/>
    </row>
    <row r="948" customFormat="false" ht="13.5" hidden="false" customHeight="true" outlineLevel="0" collapsed="false">
      <c r="A948" s="229"/>
      <c r="B948" s="229"/>
      <c r="C948" s="229"/>
      <c r="D948" s="229"/>
      <c r="E948" s="229"/>
      <c r="F948" s="229"/>
      <c r="G948" s="229"/>
      <c r="H948" s="229"/>
      <c r="I948" s="229"/>
      <c r="J948" s="229"/>
      <c r="K948" s="229"/>
      <c r="L948" s="229"/>
      <c r="M948" s="229"/>
      <c r="N948" s="229"/>
      <c r="O948" s="229"/>
      <c r="P948" s="229"/>
      <c r="Q948" s="229"/>
      <c r="R948" s="229"/>
      <c r="S948" s="229"/>
      <c r="T948" s="229"/>
      <c r="U948" s="229"/>
      <c r="V948" s="229"/>
      <c r="W948" s="229"/>
      <c r="X948" s="229"/>
      <c r="Y948" s="229"/>
      <c r="Z948" s="229"/>
      <c r="AA948" s="229"/>
    </row>
    <row r="949" customFormat="false" ht="13.5" hidden="false" customHeight="true" outlineLevel="0" collapsed="false">
      <c r="A949" s="229"/>
      <c r="B949" s="229"/>
      <c r="C949" s="229"/>
      <c r="D949" s="229"/>
      <c r="E949" s="229"/>
      <c r="F949" s="229"/>
      <c r="G949" s="229"/>
      <c r="H949" s="229"/>
      <c r="I949" s="229"/>
      <c r="J949" s="229"/>
      <c r="K949" s="229"/>
      <c r="L949" s="229"/>
      <c r="M949" s="229"/>
      <c r="N949" s="229"/>
      <c r="O949" s="229"/>
      <c r="P949" s="229"/>
      <c r="Q949" s="229"/>
      <c r="R949" s="229"/>
      <c r="S949" s="229"/>
      <c r="T949" s="229"/>
      <c r="U949" s="229"/>
      <c r="V949" s="229"/>
      <c r="W949" s="229"/>
      <c r="X949" s="229"/>
      <c r="Y949" s="229"/>
      <c r="Z949" s="229"/>
      <c r="AA949" s="229"/>
    </row>
    <row r="950" customFormat="false" ht="13.5" hidden="false" customHeight="true" outlineLevel="0" collapsed="false">
      <c r="A950" s="229"/>
      <c r="B950" s="229"/>
      <c r="C950" s="229"/>
      <c r="D950" s="229"/>
      <c r="E950" s="229"/>
      <c r="F950" s="229"/>
      <c r="G950" s="229"/>
      <c r="H950" s="229"/>
      <c r="I950" s="229"/>
      <c r="J950" s="229"/>
      <c r="K950" s="229"/>
      <c r="L950" s="229"/>
      <c r="M950" s="229"/>
      <c r="N950" s="229"/>
      <c r="O950" s="229"/>
      <c r="P950" s="229"/>
      <c r="Q950" s="229"/>
      <c r="R950" s="229"/>
      <c r="S950" s="229"/>
      <c r="T950" s="229"/>
      <c r="U950" s="229"/>
      <c r="V950" s="229"/>
      <c r="W950" s="229"/>
      <c r="X950" s="229"/>
      <c r="Y950" s="229"/>
      <c r="Z950" s="229"/>
      <c r="AA950" s="229"/>
    </row>
    <row r="951" customFormat="false" ht="13.5" hidden="false" customHeight="true" outlineLevel="0" collapsed="false">
      <c r="A951" s="229"/>
      <c r="B951" s="229"/>
      <c r="C951" s="229"/>
      <c r="D951" s="229"/>
      <c r="E951" s="229"/>
      <c r="F951" s="229"/>
      <c r="G951" s="229"/>
      <c r="H951" s="229"/>
      <c r="I951" s="229"/>
      <c r="J951" s="229"/>
      <c r="K951" s="229"/>
      <c r="L951" s="229"/>
      <c r="M951" s="229"/>
      <c r="N951" s="229"/>
      <c r="O951" s="229"/>
      <c r="P951" s="229"/>
      <c r="Q951" s="229"/>
      <c r="R951" s="229"/>
      <c r="S951" s="229"/>
      <c r="T951" s="229"/>
      <c r="U951" s="229"/>
      <c r="V951" s="229"/>
      <c r="W951" s="229"/>
      <c r="X951" s="229"/>
      <c r="Y951" s="229"/>
      <c r="Z951" s="229"/>
      <c r="AA951" s="229"/>
    </row>
    <row r="952" customFormat="false" ht="13.5" hidden="false" customHeight="true" outlineLevel="0" collapsed="false">
      <c r="A952" s="229"/>
      <c r="B952" s="229"/>
      <c r="C952" s="229"/>
      <c r="D952" s="229"/>
      <c r="E952" s="229"/>
      <c r="F952" s="229"/>
      <c r="G952" s="229"/>
      <c r="H952" s="229"/>
      <c r="I952" s="229"/>
      <c r="J952" s="229"/>
      <c r="K952" s="229"/>
      <c r="L952" s="229"/>
      <c r="M952" s="229"/>
      <c r="N952" s="229"/>
      <c r="O952" s="229"/>
      <c r="P952" s="229"/>
      <c r="Q952" s="229"/>
      <c r="R952" s="229"/>
      <c r="S952" s="229"/>
      <c r="T952" s="229"/>
      <c r="U952" s="229"/>
      <c r="V952" s="229"/>
      <c r="W952" s="229"/>
      <c r="X952" s="229"/>
      <c r="Y952" s="229"/>
      <c r="Z952" s="229"/>
      <c r="AA952" s="229"/>
    </row>
    <row r="953" customFormat="false" ht="13.5" hidden="false" customHeight="true" outlineLevel="0" collapsed="false">
      <c r="A953" s="229"/>
      <c r="B953" s="229"/>
      <c r="C953" s="229"/>
      <c r="D953" s="229"/>
      <c r="E953" s="229"/>
      <c r="F953" s="229"/>
      <c r="G953" s="229"/>
      <c r="H953" s="229"/>
      <c r="I953" s="229"/>
      <c r="J953" s="229"/>
      <c r="K953" s="229"/>
      <c r="L953" s="229"/>
      <c r="M953" s="229"/>
      <c r="N953" s="229"/>
      <c r="O953" s="229"/>
      <c r="P953" s="229"/>
      <c r="Q953" s="229"/>
      <c r="R953" s="229"/>
      <c r="S953" s="229"/>
      <c r="T953" s="229"/>
      <c r="U953" s="229"/>
      <c r="V953" s="229"/>
      <c r="W953" s="229"/>
      <c r="X953" s="229"/>
      <c r="Y953" s="229"/>
      <c r="Z953" s="229"/>
      <c r="AA953" s="229"/>
    </row>
    <row r="954" customFormat="false" ht="13.5" hidden="false" customHeight="true" outlineLevel="0" collapsed="false">
      <c r="A954" s="229"/>
      <c r="B954" s="229"/>
      <c r="C954" s="229"/>
      <c r="D954" s="229"/>
      <c r="E954" s="229"/>
      <c r="F954" s="229"/>
      <c r="G954" s="229"/>
      <c r="H954" s="229"/>
      <c r="I954" s="229"/>
      <c r="J954" s="229"/>
      <c r="K954" s="229"/>
      <c r="L954" s="229"/>
      <c r="M954" s="229"/>
      <c r="N954" s="229"/>
      <c r="O954" s="229"/>
      <c r="P954" s="229"/>
      <c r="Q954" s="229"/>
      <c r="R954" s="229"/>
      <c r="S954" s="229"/>
      <c r="T954" s="229"/>
      <c r="U954" s="229"/>
      <c r="V954" s="229"/>
      <c r="W954" s="229"/>
      <c r="X954" s="229"/>
      <c r="Y954" s="229"/>
      <c r="Z954" s="229"/>
      <c r="AA954" s="229"/>
    </row>
    <row r="955" customFormat="false" ht="13.5" hidden="false" customHeight="true" outlineLevel="0" collapsed="false">
      <c r="A955" s="229"/>
      <c r="B955" s="229"/>
      <c r="C955" s="229"/>
      <c r="D955" s="229"/>
      <c r="E955" s="229"/>
      <c r="F955" s="229"/>
      <c r="G955" s="229"/>
      <c r="H955" s="229"/>
      <c r="I955" s="229"/>
      <c r="J955" s="229"/>
      <c r="K955" s="229"/>
      <c r="L955" s="229"/>
      <c r="M955" s="229"/>
      <c r="N955" s="229"/>
      <c r="O955" s="229"/>
      <c r="P955" s="229"/>
      <c r="Q955" s="229"/>
      <c r="R955" s="229"/>
      <c r="S955" s="229"/>
      <c r="T955" s="229"/>
      <c r="U955" s="229"/>
      <c r="V955" s="229"/>
      <c r="W955" s="229"/>
      <c r="X955" s="229"/>
      <c r="Y955" s="229"/>
      <c r="Z955" s="229"/>
      <c r="AA955" s="229"/>
    </row>
    <row r="956" customFormat="false" ht="13.5" hidden="false" customHeight="true" outlineLevel="0" collapsed="false">
      <c r="A956" s="229"/>
      <c r="B956" s="229"/>
      <c r="C956" s="229"/>
      <c r="D956" s="229"/>
      <c r="E956" s="229"/>
      <c r="F956" s="229"/>
      <c r="G956" s="229"/>
      <c r="H956" s="229"/>
      <c r="I956" s="229"/>
      <c r="J956" s="229"/>
      <c r="K956" s="229"/>
      <c r="L956" s="229"/>
      <c r="M956" s="229"/>
      <c r="N956" s="229"/>
      <c r="O956" s="229"/>
      <c r="P956" s="229"/>
      <c r="Q956" s="229"/>
      <c r="R956" s="229"/>
      <c r="S956" s="229"/>
      <c r="T956" s="229"/>
      <c r="U956" s="229"/>
      <c r="V956" s="229"/>
      <c r="W956" s="229"/>
      <c r="X956" s="229"/>
      <c r="Y956" s="229"/>
      <c r="Z956" s="229"/>
      <c r="AA956" s="229"/>
    </row>
    <row r="957" customFormat="false" ht="13.5" hidden="false" customHeight="true" outlineLevel="0" collapsed="false">
      <c r="A957" s="229"/>
      <c r="B957" s="229"/>
      <c r="C957" s="229"/>
      <c r="D957" s="229"/>
      <c r="E957" s="229"/>
      <c r="F957" s="229"/>
      <c r="G957" s="229"/>
      <c r="H957" s="229"/>
      <c r="I957" s="229"/>
      <c r="J957" s="229"/>
      <c r="K957" s="229"/>
      <c r="L957" s="229"/>
      <c r="M957" s="229"/>
      <c r="N957" s="229"/>
      <c r="O957" s="229"/>
      <c r="P957" s="229"/>
      <c r="Q957" s="229"/>
      <c r="R957" s="229"/>
      <c r="S957" s="229"/>
      <c r="T957" s="229"/>
      <c r="U957" s="229"/>
      <c r="V957" s="229"/>
      <c r="W957" s="229"/>
      <c r="X957" s="229"/>
      <c r="Y957" s="229"/>
      <c r="Z957" s="229"/>
      <c r="AA957" s="229"/>
    </row>
    <row r="958" customFormat="false" ht="13.5" hidden="false" customHeight="true" outlineLevel="0" collapsed="false">
      <c r="A958" s="229"/>
      <c r="B958" s="229"/>
      <c r="C958" s="229"/>
      <c r="D958" s="229"/>
      <c r="E958" s="229"/>
      <c r="F958" s="229"/>
      <c r="G958" s="229"/>
      <c r="H958" s="229"/>
      <c r="I958" s="229"/>
      <c r="J958" s="229"/>
      <c r="K958" s="229"/>
      <c r="L958" s="229"/>
      <c r="M958" s="229"/>
      <c r="N958" s="229"/>
      <c r="O958" s="229"/>
      <c r="P958" s="229"/>
      <c r="Q958" s="229"/>
      <c r="R958" s="229"/>
      <c r="S958" s="229"/>
      <c r="T958" s="229"/>
      <c r="U958" s="229"/>
      <c r="V958" s="229"/>
      <c r="W958" s="229"/>
      <c r="X958" s="229"/>
      <c r="Y958" s="229"/>
      <c r="Z958" s="229"/>
      <c r="AA958" s="229"/>
    </row>
    <row r="959" customFormat="false" ht="13.5" hidden="false" customHeight="true" outlineLevel="0" collapsed="false">
      <c r="A959" s="229"/>
      <c r="B959" s="229"/>
      <c r="C959" s="229"/>
      <c r="D959" s="229"/>
      <c r="E959" s="229"/>
      <c r="F959" s="229"/>
      <c r="G959" s="229"/>
      <c r="H959" s="229"/>
      <c r="I959" s="229"/>
      <c r="J959" s="229"/>
      <c r="K959" s="229"/>
      <c r="L959" s="229"/>
      <c r="M959" s="229"/>
      <c r="N959" s="229"/>
      <c r="O959" s="229"/>
      <c r="P959" s="229"/>
      <c r="Q959" s="229"/>
      <c r="R959" s="229"/>
      <c r="S959" s="229"/>
      <c r="T959" s="229"/>
      <c r="U959" s="229"/>
      <c r="V959" s="229"/>
      <c r="W959" s="229"/>
      <c r="X959" s="229"/>
      <c r="Y959" s="229"/>
      <c r="Z959" s="229"/>
      <c r="AA959" s="229"/>
    </row>
    <row r="960" customFormat="false" ht="13.5" hidden="false" customHeight="true" outlineLevel="0" collapsed="false">
      <c r="A960" s="229"/>
      <c r="B960" s="229"/>
      <c r="C960" s="229"/>
      <c r="D960" s="229"/>
      <c r="E960" s="229"/>
      <c r="F960" s="229"/>
      <c r="G960" s="229"/>
      <c r="H960" s="229"/>
      <c r="I960" s="229"/>
      <c r="J960" s="229"/>
      <c r="K960" s="229"/>
      <c r="L960" s="229"/>
      <c r="M960" s="229"/>
      <c r="N960" s="229"/>
      <c r="O960" s="229"/>
      <c r="P960" s="229"/>
      <c r="Q960" s="229"/>
      <c r="R960" s="229"/>
      <c r="S960" s="229"/>
      <c r="T960" s="229"/>
      <c r="U960" s="229"/>
      <c r="V960" s="229"/>
      <c r="W960" s="229"/>
      <c r="X960" s="229"/>
      <c r="Y960" s="229"/>
      <c r="Z960" s="229"/>
      <c r="AA960" s="229"/>
    </row>
    <row r="961" customFormat="false" ht="13.5" hidden="false" customHeight="true" outlineLevel="0" collapsed="false">
      <c r="A961" s="229"/>
      <c r="B961" s="229"/>
      <c r="C961" s="229"/>
      <c r="D961" s="229"/>
      <c r="E961" s="229"/>
      <c r="F961" s="229"/>
      <c r="G961" s="229"/>
      <c r="H961" s="229"/>
      <c r="I961" s="229"/>
      <c r="J961" s="229"/>
      <c r="K961" s="229"/>
      <c r="L961" s="229"/>
      <c r="M961" s="229"/>
      <c r="N961" s="229"/>
      <c r="O961" s="229"/>
      <c r="P961" s="229"/>
      <c r="Q961" s="229"/>
      <c r="R961" s="229"/>
      <c r="S961" s="229"/>
      <c r="T961" s="229"/>
      <c r="U961" s="229"/>
      <c r="V961" s="229"/>
      <c r="W961" s="229"/>
      <c r="X961" s="229"/>
      <c r="Y961" s="229"/>
      <c r="Z961" s="229"/>
      <c r="AA961" s="229"/>
    </row>
    <row r="962" customFormat="false" ht="13.5" hidden="false" customHeight="true" outlineLevel="0" collapsed="false">
      <c r="A962" s="229"/>
      <c r="B962" s="229"/>
      <c r="C962" s="229"/>
      <c r="D962" s="229"/>
      <c r="E962" s="229"/>
      <c r="F962" s="229"/>
      <c r="G962" s="229"/>
      <c r="H962" s="229"/>
      <c r="I962" s="229"/>
      <c r="J962" s="229"/>
      <c r="K962" s="229"/>
      <c r="L962" s="229"/>
      <c r="M962" s="229"/>
      <c r="N962" s="229"/>
      <c r="O962" s="229"/>
      <c r="P962" s="229"/>
      <c r="Q962" s="229"/>
      <c r="R962" s="229"/>
      <c r="S962" s="229"/>
      <c r="T962" s="229"/>
      <c r="U962" s="229"/>
      <c r="V962" s="229"/>
      <c r="W962" s="229"/>
      <c r="X962" s="229"/>
      <c r="Y962" s="229"/>
      <c r="Z962" s="229"/>
      <c r="AA962" s="229"/>
    </row>
    <row r="963" customFormat="false" ht="13.5" hidden="false" customHeight="true" outlineLevel="0" collapsed="false">
      <c r="A963" s="229"/>
      <c r="B963" s="229"/>
      <c r="C963" s="229"/>
      <c r="D963" s="229"/>
      <c r="E963" s="229"/>
      <c r="F963" s="229"/>
      <c r="G963" s="229"/>
      <c r="H963" s="229"/>
      <c r="I963" s="229"/>
      <c r="J963" s="229"/>
      <c r="K963" s="229"/>
      <c r="L963" s="229"/>
      <c r="M963" s="229"/>
      <c r="N963" s="229"/>
      <c r="O963" s="229"/>
      <c r="P963" s="229"/>
      <c r="Q963" s="229"/>
      <c r="R963" s="229"/>
      <c r="S963" s="229"/>
      <c r="T963" s="229"/>
      <c r="U963" s="229"/>
      <c r="V963" s="229"/>
      <c r="W963" s="229"/>
      <c r="X963" s="229"/>
      <c r="Y963" s="229"/>
      <c r="Z963" s="229"/>
      <c r="AA963" s="229"/>
    </row>
    <row r="964" customFormat="false" ht="13.5" hidden="false" customHeight="true" outlineLevel="0" collapsed="false">
      <c r="A964" s="229"/>
      <c r="B964" s="229"/>
      <c r="C964" s="229"/>
      <c r="D964" s="229"/>
      <c r="E964" s="229"/>
      <c r="F964" s="229"/>
      <c r="G964" s="229"/>
      <c r="H964" s="229"/>
      <c r="I964" s="229"/>
      <c r="J964" s="229"/>
      <c r="K964" s="229"/>
      <c r="L964" s="229"/>
      <c r="M964" s="229"/>
      <c r="N964" s="229"/>
      <c r="O964" s="229"/>
      <c r="P964" s="229"/>
      <c r="Q964" s="229"/>
      <c r="R964" s="229"/>
      <c r="S964" s="229"/>
      <c r="T964" s="229"/>
      <c r="U964" s="229"/>
      <c r="V964" s="229"/>
      <c r="W964" s="229"/>
      <c r="X964" s="229"/>
      <c r="Y964" s="229"/>
      <c r="Z964" s="229"/>
      <c r="AA964" s="229"/>
    </row>
    <row r="965" customFormat="false" ht="13.5" hidden="false" customHeight="true" outlineLevel="0" collapsed="false">
      <c r="A965" s="229"/>
      <c r="B965" s="229"/>
      <c r="C965" s="229"/>
      <c r="D965" s="229"/>
      <c r="E965" s="229"/>
      <c r="F965" s="229"/>
      <c r="G965" s="229"/>
      <c r="H965" s="229"/>
      <c r="I965" s="229"/>
      <c r="J965" s="229"/>
      <c r="K965" s="229"/>
      <c r="L965" s="229"/>
      <c r="M965" s="229"/>
      <c r="N965" s="229"/>
      <c r="O965" s="229"/>
      <c r="P965" s="229"/>
      <c r="Q965" s="229"/>
      <c r="R965" s="229"/>
      <c r="S965" s="229"/>
      <c r="T965" s="229"/>
      <c r="U965" s="229"/>
      <c r="V965" s="229"/>
      <c r="W965" s="229"/>
      <c r="X965" s="229"/>
      <c r="Y965" s="229"/>
      <c r="Z965" s="229"/>
      <c r="AA965" s="229"/>
    </row>
    <row r="966" customFormat="false" ht="13.5" hidden="false" customHeight="true" outlineLevel="0" collapsed="false">
      <c r="A966" s="229"/>
      <c r="B966" s="229"/>
      <c r="C966" s="229"/>
      <c r="D966" s="229"/>
      <c r="E966" s="229"/>
      <c r="F966" s="229"/>
      <c r="G966" s="229"/>
      <c r="H966" s="229"/>
      <c r="I966" s="229"/>
      <c r="J966" s="229"/>
      <c r="K966" s="229"/>
      <c r="L966" s="229"/>
      <c r="M966" s="229"/>
      <c r="N966" s="229"/>
      <c r="O966" s="229"/>
      <c r="P966" s="229"/>
      <c r="Q966" s="229"/>
      <c r="R966" s="229"/>
      <c r="S966" s="229"/>
      <c r="T966" s="229"/>
      <c r="U966" s="229"/>
      <c r="V966" s="229"/>
      <c r="W966" s="229"/>
      <c r="X966" s="229"/>
      <c r="Y966" s="229"/>
      <c r="Z966" s="229"/>
      <c r="AA966" s="229"/>
    </row>
    <row r="967" customFormat="false" ht="13.5" hidden="false" customHeight="true" outlineLevel="0" collapsed="false">
      <c r="A967" s="229"/>
      <c r="B967" s="229"/>
      <c r="C967" s="229"/>
      <c r="D967" s="229"/>
      <c r="E967" s="229"/>
      <c r="F967" s="229"/>
      <c r="G967" s="229"/>
      <c r="H967" s="229"/>
      <c r="I967" s="229"/>
      <c r="J967" s="229"/>
      <c r="K967" s="229"/>
      <c r="L967" s="229"/>
      <c r="M967" s="229"/>
      <c r="N967" s="229"/>
      <c r="O967" s="229"/>
      <c r="P967" s="229"/>
      <c r="Q967" s="229"/>
      <c r="R967" s="229"/>
      <c r="S967" s="229"/>
      <c r="T967" s="229"/>
      <c r="U967" s="229"/>
      <c r="V967" s="229"/>
      <c r="W967" s="229"/>
      <c r="X967" s="229"/>
      <c r="Y967" s="229"/>
      <c r="Z967" s="229"/>
      <c r="AA967" s="229"/>
    </row>
    <row r="968" customFormat="false" ht="13.5" hidden="false" customHeight="true" outlineLevel="0" collapsed="false">
      <c r="A968" s="229"/>
      <c r="B968" s="229"/>
      <c r="C968" s="229"/>
      <c r="D968" s="229"/>
      <c r="E968" s="229"/>
      <c r="F968" s="229"/>
      <c r="G968" s="229"/>
      <c r="H968" s="229"/>
      <c r="I968" s="229"/>
      <c r="J968" s="229"/>
      <c r="K968" s="229"/>
      <c r="L968" s="229"/>
      <c r="M968" s="229"/>
      <c r="N968" s="229"/>
      <c r="O968" s="229"/>
      <c r="P968" s="229"/>
      <c r="Q968" s="229"/>
      <c r="R968" s="229"/>
      <c r="S968" s="229"/>
      <c r="T968" s="229"/>
      <c r="U968" s="229"/>
      <c r="V968" s="229"/>
      <c r="W968" s="229"/>
      <c r="X968" s="229"/>
      <c r="Y968" s="229"/>
      <c r="Z968" s="229"/>
      <c r="AA968" s="229"/>
    </row>
    <row r="969" customFormat="false" ht="13.5" hidden="false" customHeight="true" outlineLevel="0" collapsed="false">
      <c r="A969" s="229"/>
      <c r="B969" s="229"/>
      <c r="C969" s="229"/>
      <c r="D969" s="229"/>
      <c r="E969" s="229"/>
      <c r="F969" s="229"/>
      <c r="G969" s="229"/>
      <c r="H969" s="229"/>
      <c r="I969" s="229"/>
      <c r="J969" s="229"/>
      <c r="K969" s="229"/>
      <c r="L969" s="229"/>
      <c r="M969" s="229"/>
      <c r="N969" s="229"/>
      <c r="O969" s="229"/>
      <c r="P969" s="229"/>
      <c r="Q969" s="229"/>
      <c r="R969" s="229"/>
      <c r="S969" s="229"/>
      <c r="T969" s="229"/>
      <c r="U969" s="229"/>
      <c r="V969" s="229"/>
      <c r="W969" s="229"/>
      <c r="X969" s="229"/>
      <c r="Y969" s="229"/>
      <c r="Z969" s="229"/>
      <c r="AA969" s="229"/>
    </row>
    <row r="970" customFormat="false" ht="13.5" hidden="false" customHeight="true" outlineLevel="0" collapsed="false">
      <c r="A970" s="229"/>
      <c r="B970" s="229"/>
      <c r="C970" s="229"/>
      <c r="D970" s="229"/>
      <c r="E970" s="229"/>
      <c r="F970" s="229"/>
      <c r="G970" s="229"/>
      <c r="H970" s="229"/>
      <c r="I970" s="229"/>
      <c r="J970" s="229"/>
      <c r="K970" s="229"/>
      <c r="L970" s="229"/>
      <c r="M970" s="229"/>
      <c r="N970" s="229"/>
      <c r="O970" s="229"/>
      <c r="P970" s="229"/>
      <c r="Q970" s="229"/>
      <c r="R970" s="229"/>
      <c r="S970" s="229"/>
      <c r="T970" s="229"/>
      <c r="U970" s="229"/>
      <c r="V970" s="229"/>
      <c r="W970" s="229"/>
      <c r="X970" s="229"/>
      <c r="Y970" s="229"/>
      <c r="Z970" s="229"/>
      <c r="AA970" s="229"/>
    </row>
    <row r="971" customFormat="false" ht="13.5" hidden="false" customHeight="true" outlineLevel="0" collapsed="false">
      <c r="A971" s="229"/>
      <c r="B971" s="229"/>
      <c r="C971" s="229"/>
      <c r="D971" s="229"/>
      <c r="E971" s="229"/>
      <c r="F971" s="229"/>
      <c r="G971" s="229"/>
      <c r="H971" s="229"/>
      <c r="I971" s="229"/>
      <c r="J971" s="229"/>
      <c r="K971" s="229"/>
      <c r="L971" s="229"/>
      <c r="M971" s="229"/>
      <c r="N971" s="229"/>
      <c r="O971" s="229"/>
      <c r="P971" s="229"/>
      <c r="Q971" s="229"/>
      <c r="R971" s="229"/>
      <c r="S971" s="229"/>
      <c r="T971" s="229"/>
      <c r="U971" s="229"/>
      <c r="V971" s="229"/>
      <c r="W971" s="229"/>
      <c r="X971" s="229"/>
      <c r="Y971" s="229"/>
      <c r="Z971" s="229"/>
      <c r="AA971" s="229"/>
    </row>
    <row r="972" customFormat="false" ht="13.5" hidden="false" customHeight="true" outlineLevel="0" collapsed="false">
      <c r="A972" s="229"/>
      <c r="B972" s="229"/>
      <c r="C972" s="229"/>
      <c r="D972" s="229"/>
      <c r="E972" s="229"/>
      <c r="F972" s="229"/>
      <c r="G972" s="229"/>
      <c r="H972" s="229"/>
      <c r="I972" s="229"/>
      <c r="J972" s="229"/>
      <c r="K972" s="229"/>
      <c r="L972" s="229"/>
      <c r="M972" s="229"/>
      <c r="N972" s="229"/>
      <c r="O972" s="229"/>
      <c r="P972" s="229"/>
      <c r="Q972" s="229"/>
      <c r="R972" s="229"/>
      <c r="S972" s="229"/>
      <c r="T972" s="229"/>
      <c r="U972" s="229"/>
      <c r="V972" s="229"/>
      <c r="W972" s="229"/>
      <c r="X972" s="229"/>
      <c r="Y972" s="229"/>
      <c r="Z972" s="229"/>
      <c r="AA972" s="229"/>
    </row>
    <row r="973" customFormat="false" ht="13.5" hidden="false" customHeight="true" outlineLevel="0" collapsed="false">
      <c r="A973" s="229"/>
      <c r="B973" s="229"/>
      <c r="C973" s="229"/>
      <c r="D973" s="229"/>
      <c r="E973" s="229"/>
      <c r="F973" s="229"/>
      <c r="G973" s="229"/>
      <c r="H973" s="229"/>
      <c r="I973" s="229"/>
      <c r="J973" s="229"/>
      <c r="K973" s="229"/>
      <c r="L973" s="229"/>
      <c r="M973" s="229"/>
      <c r="N973" s="229"/>
      <c r="O973" s="229"/>
      <c r="P973" s="229"/>
      <c r="Q973" s="229"/>
      <c r="R973" s="229"/>
      <c r="S973" s="229"/>
      <c r="T973" s="229"/>
      <c r="U973" s="229"/>
      <c r="V973" s="229"/>
      <c r="W973" s="229"/>
      <c r="X973" s="229"/>
      <c r="Y973" s="229"/>
      <c r="Z973" s="229"/>
      <c r="AA973" s="229"/>
    </row>
    <row r="974" customFormat="false" ht="13.5" hidden="false" customHeight="true" outlineLevel="0" collapsed="false">
      <c r="A974" s="229"/>
      <c r="B974" s="229"/>
      <c r="C974" s="229"/>
      <c r="D974" s="229"/>
      <c r="E974" s="229"/>
      <c r="F974" s="229"/>
      <c r="G974" s="229"/>
      <c r="H974" s="229"/>
      <c r="I974" s="229"/>
      <c r="J974" s="229"/>
      <c r="K974" s="229"/>
      <c r="L974" s="229"/>
      <c r="M974" s="229"/>
      <c r="N974" s="229"/>
      <c r="O974" s="229"/>
      <c r="P974" s="229"/>
      <c r="Q974" s="229"/>
      <c r="R974" s="229"/>
      <c r="S974" s="229"/>
      <c r="T974" s="229"/>
      <c r="U974" s="229"/>
      <c r="V974" s="229"/>
      <c r="W974" s="229"/>
      <c r="X974" s="229"/>
      <c r="Y974" s="229"/>
      <c r="Z974" s="229"/>
      <c r="AA974" s="229"/>
    </row>
    <row r="975" customFormat="false" ht="13.5" hidden="false" customHeight="true" outlineLevel="0" collapsed="false">
      <c r="A975" s="229"/>
      <c r="B975" s="229"/>
      <c r="C975" s="229"/>
      <c r="D975" s="229"/>
      <c r="E975" s="229"/>
      <c r="F975" s="229"/>
      <c r="G975" s="229"/>
      <c r="H975" s="229"/>
      <c r="I975" s="229"/>
      <c r="J975" s="229"/>
      <c r="K975" s="229"/>
      <c r="L975" s="229"/>
      <c r="M975" s="229"/>
      <c r="N975" s="229"/>
      <c r="O975" s="229"/>
      <c r="P975" s="229"/>
      <c r="Q975" s="229"/>
      <c r="R975" s="229"/>
      <c r="S975" s="229"/>
      <c r="T975" s="229"/>
      <c r="U975" s="229"/>
      <c r="V975" s="229"/>
      <c r="W975" s="229"/>
      <c r="X975" s="229"/>
      <c r="Y975" s="229"/>
      <c r="Z975" s="229"/>
      <c r="AA975" s="229"/>
    </row>
    <row r="976" customFormat="false" ht="13.5" hidden="false" customHeight="true" outlineLevel="0" collapsed="false">
      <c r="A976" s="229"/>
      <c r="B976" s="229"/>
      <c r="C976" s="229"/>
      <c r="D976" s="229"/>
      <c r="E976" s="229"/>
      <c r="F976" s="229"/>
      <c r="G976" s="229"/>
      <c r="H976" s="229"/>
      <c r="I976" s="229"/>
      <c r="J976" s="229"/>
      <c r="K976" s="229"/>
      <c r="L976" s="229"/>
      <c r="M976" s="229"/>
      <c r="N976" s="229"/>
      <c r="O976" s="229"/>
      <c r="P976" s="229"/>
      <c r="Q976" s="229"/>
      <c r="R976" s="229"/>
      <c r="S976" s="229"/>
      <c r="T976" s="229"/>
      <c r="U976" s="229"/>
      <c r="V976" s="229"/>
      <c r="W976" s="229"/>
      <c r="X976" s="229"/>
      <c r="Y976" s="229"/>
      <c r="Z976" s="229"/>
      <c r="AA976" s="229"/>
    </row>
    <row r="977" customFormat="false" ht="13.5" hidden="false" customHeight="true" outlineLevel="0" collapsed="false">
      <c r="A977" s="229"/>
      <c r="B977" s="229"/>
      <c r="C977" s="229"/>
      <c r="D977" s="229"/>
      <c r="E977" s="229"/>
      <c r="F977" s="229"/>
      <c r="G977" s="229"/>
      <c r="H977" s="229"/>
      <c r="I977" s="229"/>
      <c r="J977" s="229"/>
      <c r="K977" s="229"/>
      <c r="L977" s="229"/>
      <c r="M977" s="229"/>
      <c r="N977" s="229"/>
      <c r="O977" s="229"/>
      <c r="P977" s="229"/>
      <c r="Q977" s="229"/>
      <c r="R977" s="229"/>
      <c r="S977" s="229"/>
      <c r="T977" s="229"/>
      <c r="U977" s="229"/>
      <c r="V977" s="229"/>
      <c r="W977" s="229"/>
      <c r="X977" s="229"/>
      <c r="Y977" s="229"/>
      <c r="Z977" s="229"/>
      <c r="AA977" s="229"/>
    </row>
    <row r="978" customFormat="false" ht="13.5" hidden="false" customHeight="true" outlineLevel="0" collapsed="false">
      <c r="A978" s="229"/>
      <c r="B978" s="229"/>
      <c r="C978" s="229"/>
      <c r="D978" s="229"/>
      <c r="E978" s="229"/>
      <c r="F978" s="229"/>
      <c r="G978" s="229"/>
      <c r="H978" s="229"/>
      <c r="I978" s="229"/>
      <c r="J978" s="229"/>
      <c r="K978" s="229"/>
      <c r="L978" s="229"/>
      <c r="M978" s="229"/>
      <c r="N978" s="229"/>
      <c r="O978" s="229"/>
      <c r="P978" s="229"/>
      <c r="Q978" s="229"/>
      <c r="R978" s="229"/>
      <c r="S978" s="229"/>
      <c r="T978" s="229"/>
      <c r="U978" s="229"/>
      <c r="V978" s="229"/>
      <c r="W978" s="229"/>
      <c r="X978" s="229"/>
      <c r="Y978" s="229"/>
      <c r="Z978" s="229"/>
      <c r="AA978" s="229"/>
    </row>
    <row r="979" customFormat="false" ht="13.5" hidden="false" customHeight="true" outlineLevel="0" collapsed="false">
      <c r="A979" s="229"/>
      <c r="B979" s="229"/>
      <c r="C979" s="229"/>
      <c r="D979" s="229"/>
      <c r="E979" s="229"/>
      <c r="F979" s="229"/>
      <c r="G979" s="229"/>
      <c r="H979" s="229"/>
      <c r="I979" s="229"/>
      <c r="J979" s="229"/>
      <c r="K979" s="229"/>
      <c r="L979" s="229"/>
      <c r="M979" s="229"/>
      <c r="N979" s="229"/>
      <c r="O979" s="229"/>
      <c r="P979" s="229"/>
      <c r="Q979" s="229"/>
      <c r="R979" s="229"/>
      <c r="S979" s="229"/>
      <c r="T979" s="229"/>
      <c r="U979" s="229"/>
      <c r="V979" s="229"/>
      <c r="W979" s="229"/>
      <c r="X979" s="229"/>
      <c r="Y979" s="229"/>
      <c r="Z979" s="229"/>
      <c r="AA979" s="229"/>
    </row>
    <row r="980" customFormat="false" ht="13.5" hidden="false" customHeight="true" outlineLevel="0" collapsed="false">
      <c r="A980" s="229"/>
      <c r="B980" s="229"/>
      <c r="C980" s="229"/>
      <c r="D980" s="229"/>
      <c r="E980" s="229"/>
      <c r="F980" s="229"/>
      <c r="G980" s="229"/>
      <c r="H980" s="229"/>
      <c r="I980" s="229"/>
      <c r="J980" s="229"/>
      <c r="K980" s="229"/>
      <c r="L980" s="229"/>
      <c r="M980" s="229"/>
      <c r="N980" s="229"/>
      <c r="O980" s="229"/>
      <c r="P980" s="229"/>
      <c r="Q980" s="229"/>
      <c r="R980" s="229"/>
      <c r="S980" s="229"/>
      <c r="T980" s="229"/>
      <c r="U980" s="229"/>
      <c r="V980" s="229"/>
      <c r="W980" s="229"/>
      <c r="X980" s="229"/>
      <c r="Y980" s="229"/>
      <c r="Z980" s="229"/>
      <c r="AA980" s="229"/>
    </row>
    <row r="981" customFormat="false" ht="13.5" hidden="false" customHeight="true" outlineLevel="0" collapsed="false">
      <c r="A981" s="229"/>
      <c r="B981" s="229"/>
      <c r="C981" s="229"/>
      <c r="D981" s="229"/>
      <c r="E981" s="229"/>
      <c r="F981" s="229"/>
      <c r="G981" s="229"/>
      <c r="H981" s="229"/>
      <c r="I981" s="229"/>
      <c r="J981" s="229"/>
      <c r="K981" s="229"/>
      <c r="L981" s="229"/>
      <c r="M981" s="229"/>
      <c r="N981" s="229"/>
      <c r="O981" s="229"/>
      <c r="P981" s="229"/>
      <c r="Q981" s="229"/>
      <c r="R981" s="229"/>
      <c r="S981" s="229"/>
      <c r="T981" s="229"/>
      <c r="U981" s="229"/>
      <c r="V981" s="229"/>
      <c r="W981" s="229"/>
      <c r="X981" s="229"/>
      <c r="Y981" s="229"/>
      <c r="Z981" s="229"/>
      <c r="AA981" s="229"/>
    </row>
    <row r="982" customFormat="false" ht="13.5" hidden="false" customHeight="true" outlineLevel="0" collapsed="false">
      <c r="A982" s="229"/>
      <c r="B982" s="229"/>
      <c r="C982" s="229"/>
      <c r="D982" s="229"/>
      <c r="E982" s="229"/>
      <c r="F982" s="229"/>
      <c r="G982" s="229"/>
      <c r="H982" s="229"/>
      <c r="I982" s="229"/>
      <c r="J982" s="229"/>
      <c r="K982" s="229"/>
      <c r="L982" s="229"/>
      <c r="M982" s="229"/>
      <c r="N982" s="229"/>
      <c r="O982" s="229"/>
      <c r="P982" s="229"/>
      <c r="Q982" s="229"/>
      <c r="R982" s="229"/>
      <c r="S982" s="229"/>
      <c r="T982" s="229"/>
      <c r="U982" s="229"/>
      <c r="V982" s="229"/>
      <c r="W982" s="229"/>
      <c r="X982" s="229"/>
      <c r="Y982" s="229"/>
      <c r="Z982" s="229"/>
      <c r="AA982" s="229"/>
    </row>
    <row r="983" customFormat="false" ht="13.5" hidden="false" customHeight="true" outlineLevel="0" collapsed="false">
      <c r="A983" s="229"/>
      <c r="B983" s="229"/>
      <c r="C983" s="229"/>
      <c r="D983" s="229"/>
      <c r="E983" s="229"/>
      <c r="F983" s="229"/>
      <c r="G983" s="229"/>
      <c r="H983" s="229"/>
      <c r="I983" s="229"/>
      <c r="J983" s="229"/>
      <c r="K983" s="229"/>
      <c r="L983" s="229"/>
      <c r="M983" s="229"/>
      <c r="N983" s="229"/>
      <c r="O983" s="229"/>
      <c r="P983" s="229"/>
      <c r="Q983" s="229"/>
      <c r="R983" s="229"/>
      <c r="S983" s="229"/>
      <c r="T983" s="229"/>
      <c r="U983" s="229"/>
      <c r="V983" s="229"/>
      <c r="W983" s="229"/>
      <c r="X983" s="229"/>
      <c r="Y983" s="229"/>
      <c r="Z983" s="229"/>
      <c r="AA983" s="229"/>
    </row>
    <row r="984" customFormat="false" ht="13.5" hidden="false" customHeight="true" outlineLevel="0" collapsed="false">
      <c r="A984" s="229"/>
      <c r="B984" s="229"/>
      <c r="C984" s="229"/>
      <c r="D984" s="229"/>
      <c r="E984" s="229"/>
      <c r="F984" s="229"/>
      <c r="G984" s="229"/>
      <c r="H984" s="229"/>
      <c r="I984" s="229"/>
      <c r="J984" s="229"/>
      <c r="K984" s="229"/>
      <c r="L984" s="229"/>
      <c r="M984" s="229"/>
      <c r="N984" s="229"/>
      <c r="O984" s="229"/>
      <c r="P984" s="229"/>
      <c r="Q984" s="229"/>
      <c r="R984" s="229"/>
      <c r="S984" s="229"/>
      <c r="T984" s="229"/>
      <c r="U984" s="229"/>
      <c r="V984" s="229"/>
      <c r="W984" s="229"/>
      <c r="X984" s="229"/>
      <c r="Y984" s="229"/>
      <c r="Z984" s="229"/>
      <c r="AA984" s="229"/>
    </row>
    <row r="985" customFormat="false" ht="13.5" hidden="false" customHeight="true" outlineLevel="0" collapsed="false">
      <c r="A985" s="229"/>
      <c r="B985" s="229"/>
      <c r="C985" s="229"/>
      <c r="D985" s="229"/>
      <c r="E985" s="229"/>
      <c r="F985" s="229"/>
      <c r="G985" s="229"/>
      <c r="H985" s="229"/>
      <c r="I985" s="229"/>
      <c r="J985" s="229"/>
      <c r="K985" s="229"/>
      <c r="L985" s="229"/>
      <c r="M985" s="229"/>
      <c r="N985" s="229"/>
      <c r="O985" s="229"/>
      <c r="P985" s="229"/>
      <c r="Q985" s="229"/>
      <c r="R985" s="229"/>
      <c r="S985" s="229"/>
      <c r="T985" s="229"/>
      <c r="U985" s="229"/>
      <c r="V985" s="229"/>
      <c r="W985" s="229"/>
      <c r="X985" s="229"/>
      <c r="Y985" s="229"/>
      <c r="Z985" s="229"/>
      <c r="AA985" s="229"/>
    </row>
    <row r="986" customFormat="false" ht="13.5" hidden="false" customHeight="true" outlineLevel="0" collapsed="false">
      <c r="A986" s="229"/>
      <c r="B986" s="229"/>
      <c r="C986" s="229"/>
      <c r="D986" s="229"/>
      <c r="E986" s="229"/>
      <c r="F986" s="229"/>
      <c r="G986" s="229"/>
      <c r="H986" s="229"/>
      <c r="I986" s="229"/>
      <c r="J986" s="229"/>
      <c r="K986" s="229"/>
      <c r="L986" s="229"/>
      <c r="M986" s="229"/>
      <c r="N986" s="229"/>
      <c r="O986" s="229"/>
      <c r="P986" s="229"/>
      <c r="Q986" s="229"/>
      <c r="R986" s="229"/>
      <c r="S986" s="229"/>
      <c r="T986" s="229"/>
      <c r="U986" s="229"/>
      <c r="V986" s="229"/>
      <c r="W986" s="229"/>
      <c r="X986" s="229"/>
      <c r="Y986" s="229"/>
      <c r="Z986" s="229"/>
      <c r="AA986" s="229"/>
    </row>
    <row r="987" customFormat="false" ht="13.5" hidden="false" customHeight="true" outlineLevel="0" collapsed="false">
      <c r="A987" s="229"/>
      <c r="B987" s="229"/>
      <c r="C987" s="229"/>
      <c r="D987" s="229"/>
      <c r="E987" s="229"/>
      <c r="F987" s="229"/>
      <c r="G987" s="229"/>
      <c r="H987" s="229"/>
      <c r="I987" s="229"/>
      <c r="J987" s="229"/>
      <c r="K987" s="229"/>
      <c r="L987" s="229"/>
      <c r="M987" s="229"/>
      <c r="N987" s="229"/>
      <c r="O987" s="229"/>
      <c r="P987" s="229"/>
      <c r="Q987" s="229"/>
      <c r="R987" s="229"/>
      <c r="S987" s="229"/>
      <c r="T987" s="229"/>
      <c r="U987" s="229"/>
      <c r="V987" s="229"/>
      <c r="W987" s="229"/>
      <c r="X987" s="229"/>
      <c r="Y987" s="229"/>
      <c r="Z987" s="229"/>
      <c r="AA987" s="229"/>
    </row>
    <row r="988" customFormat="false" ht="13.5" hidden="false" customHeight="true" outlineLevel="0" collapsed="false">
      <c r="A988" s="229"/>
      <c r="B988" s="229"/>
      <c r="C988" s="229"/>
      <c r="D988" s="229"/>
      <c r="E988" s="229"/>
      <c r="F988" s="229"/>
      <c r="G988" s="229"/>
      <c r="H988" s="229"/>
      <c r="I988" s="229"/>
      <c r="J988" s="229"/>
      <c r="K988" s="229"/>
      <c r="L988" s="229"/>
      <c r="M988" s="229"/>
      <c r="N988" s="229"/>
      <c r="O988" s="229"/>
      <c r="P988" s="229"/>
      <c r="Q988" s="229"/>
      <c r="R988" s="229"/>
      <c r="S988" s="229"/>
      <c r="T988" s="229"/>
      <c r="U988" s="229"/>
      <c r="V988" s="229"/>
      <c r="W988" s="229"/>
      <c r="X988" s="229"/>
      <c r="Y988" s="229"/>
      <c r="Z988" s="229"/>
      <c r="AA988" s="229"/>
    </row>
    <row r="989" customFormat="false" ht="13.5" hidden="false" customHeight="true" outlineLevel="0" collapsed="false">
      <c r="A989" s="229"/>
      <c r="B989" s="229"/>
      <c r="C989" s="229"/>
      <c r="D989" s="229"/>
      <c r="E989" s="229"/>
      <c r="F989" s="229"/>
      <c r="G989" s="229"/>
      <c r="H989" s="229"/>
      <c r="I989" s="229"/>
      <c r="J989" s="229"/>
      <c r="K989" s="229"/>
      <c r="L989" s="229"/>
      <c r="M989" s="229"/>
      <c r="N989" s="229"/>
      <c r="O989" s="229"/>
      <c r="P989" s="229"/>
      <c r="Q989" s="229"/>
      <c r="R989" s="229"/>
      <c r="S989" s="229"/>
      <c r="T989" s="229"/>
      <c r="U989" s="229"/>
      <c r="V989" s="229"/>
      <c r="W989" s="229"/>
      <c r="X989" s="229"/>
      <c r="Y989" s="229"/>
      <c r="Z989" s="229"/>
      <c r="AA989" s="229"/>
    </row>
    <row r="990" customFormat="false" ht="13.5" hidden="false" customHeight="true" outlineLevel="0" collapsed="false">
      <c r="A990" s="229"/>
      <c r="B990" s="229"/>
      <c r="C990" s="229"/>
      <c r="D990" s="229"/>
      <c r="E990" s="229"/>
      <c r="F990" s="229"/>
      <c r="G990" s="229"/>
      <c r="H990" s="229"/>
      <c r="I990" s="229"/>
      <c r="J990" s="229"/>
      <c r="K990" s="229"/>
      <c r="L990" s="229"/>
      <c r="M990" s="229"/>
      <c r="N990" s="229"/>
      <c r="O990" s="229"/>
      <c r="P990" s="229"/>
      <c r="Q990" s="229"/>
      <c r="R990" s="229"/>
      <c r="S990" s="229"/>
      <c r="T990" s="229"/>
      <c r="U990" s="229"/>
      <c r="V990" s="229"/>
      <c r="W990" s="229"/>
      <c r="X990" s="229"/>
      <c r="Y990" s="229"/>
      <c r="Z990" s="229"/>
      <c r="AA990" s="229"/>
    </row>
    <row r="991" customFormat="false" ht="13.5" hidden="false" customHeight="true" outlineLevel="0" collapsed="false">
      <c r="A991" s="229"/>
      <c r="B991" s="229"/>
      <c r="C991" s="229"/>
      <c r="D991" s="229"/>
      <c r="E991" s="229"/>
      <c r="F991" s="229"/>
      <c r="G991" s="229"/>
      <c r="H991" s="229"/>
      <c r="I991" s="229"/>
      <c r="J991" s="229"/>
      <c r="K991" s="229"/>
      <c r="L991" s="229"/>
      <c r="M991" s="229"/>
      <c r="N991" s="229"/>
      <c r="O991" s="229"/>
      <c r="P991" s="229"/>
      <c r="Q991" s="229"/>
      <c r="R991" s="229"/>
      <c r="S991" s="229"/>
      <c r="T991" s="229"/>
      <c r="U991" s="229"/>
      <c r="V991" s="229"/>
      <c r="W991" s="229"/>
      <c r="X991" s="229"/>
      <c r="Y991" s="229"/>
      <c r="Z991" s="229"/>
      <c r="AA991" s="229"/>
    </row>
    <row r="992" customFormat="false" ht="13.5" hidden="false" customHeight="true" outlineLevel="0" collapsed="false">
      <c r="A992" s="229"/>
      <c r="B992" s="229"/>
      <c r="C992" s="229"/>
      <c r="D992" s="229"/>
      <c r="E992" s="229"/>
      <c r="F992" s="229"/>
      <c r="G992" s="229"/>
      <c r="H992" s="229"/>
      <c r="I992" s="229"/>
      <c r="J992" s="229"/>
      <c r="K992" s="229"/>
      <c r="L992" s="229"/>
      <c r="M992" s="229"/>
      <c r="N992" s="229"/>
      <c r="O992" s="229"/>
      <c r="P992" s="229"/>
      <c r="Q992" s="229"/>
      <c r="R992" s="229"/>
      <c r="S992" s="229"/>
      <c r="T992" s="229"/>
      <c r="U992" s="229"/>
      <c r="V992" s="229"/>
      <c r="W992" s="229"/>
      <c r="X992" s="229"/>
      <c r="Y992" s="229"/>
      <c r="Z992" s="229"/>
      <c r="AA992" s="229"/>
    </row>
    <row r="993" customFormat="false" ht="13.5" hidden="false" customHeight="true" outlineLevel="0" collapsed="false">
      <c r="A993" s="229"/>
      <c r="B993" s="229"/>
      <c r="C993" s="229"/>
      <c r="D993" s="229"/>
      <c r="E993" s="229"/>
      <c r="F993" s="229"/>
      <c r="G993" s="229"/>
      <c r="H993" s="229"/>
      <c r="I993" s="229"/>
      <c r="J993" s="229"/>
      <c r="K993" s="229"/>
      <c r="L993" s="229"/>
      <c r="M993" s="229"/>
      <c r="N993" s="229"/>
      <c r="O993" s="229"/>
      <c r="P993" s="229"/>
      <c r="Q993" s="229"/>
      <c r="R993" s="229"/>
      <c r="S993" s="229"/>
      <c r="T993" s="229"/>
      <c r="U993" s="229"/>
      <c r="V993" s="229"/>
      <c r="W993" s="229"/>
      <c r="X993" s="229"/>
      <c r="Y993" s="229"/>
      <c r="Z993" s="229"/>
      <c r="AA993" s="229"/>
    </row>
    <row r="994" customFormat="false" ht="13.5" hidden="false" customHeight="true" outlineLevel="0" collapsed="false">
      <c r="A994" s="229"/>
      <c r="B994" s="229"/>
      <c r="C994" s="229"/>
      <c r="D994" s="229"/>
      <c r="E994" s="229"/>
      <c r="F994" s="229"/>
      <c r="G994" s="229"/>
      <c r="H994" s="229"/>
      <c r="I994" s="229"/>
      <c r="J994" s="229"/>
      <c r="K994" s="229"/>
      <c r="L994" s="229"/>
      <c r="M994" s="229"/>
      <c r="N994" s="229"/>
      <c r="O994" s="229"/>
      <c r="P994" s="229"/>
      <c r="Q994" s="229"/>
      <c r="R994" s="229"/>
      <c r="S994" s="229"/>
      <c r="T994" s="229"/>
      <c r="U994" s="229"/>
      <c r="V994" s="229"/>
      <c r="W994" s="229"/>
      <c r="X994" s="229"/>
      <c r="Y994" s="229"/>
      <c r="Z994" s="229"/>
      <c r="AA994" s="229"/>
    </row>
    <row r="995" customFormat="false" ht="13.5" hidden="false" customHeight="true" outlineLevel="0" collapsed="false">
      <c r="A995" s="229"/>
      <c r="B995" s="229"/>
      <c r="C995" s="229"/>
      <c r="D995" s="229"/>
      <c r="E995" s="229"/>
      <c r="F995" s="229"/>
      <c r="G995" s="229"/>
      <c r="H995" s="229"/>
      <c r="I995" s="229"/>
      <c r="J995" s="229"/>
      <c r="K995" s="229"/>
      <c r="L995" s="229"/>
      <c r="M995" s="229"/>
      <c r="N995" s="229"/>
      <c r="O995" s="229"/>
      <c r="P995" s="229"/>
      <c r="Q995" s="229"/>
      <c r="R995" s="229"/>
      <c r="S995" s="229"/>
      <c r="T995" s="229"/>
      <c r="U995" s="229"/>
      <c r="V995" s="229"/>
      <c r="W995" s="229"/>
      <c r="X995" s="229"/>
      <c r="Y995" s="229"/>
      <c r="Z995" s="229"/>
      <c r="AA995" s="229"/>
    </row>
    <row r="996" customFormat="false" ht="13.5" hidden="false" customHeight="true" outlineLevel="0" collapsed="false">
      <c r="A996" s="229"/>
      <c r="B996" s="229"/>
      <c r="C996" s="229"/>
      <c r="D996" s="229"/>
      <c r="E996" s="229"/>
      <c r="F996" s="229"/>
      <c r="G996" s="229"/>
      <c r="H996" s="229"/>
      <c r="I996" s="229"/>
      <c r="J996" s="229"/>
      <c r="K996" s="229"/>
      <c r="L996" s="229"/>
      <c r="M996" s="229"/>
      <c r="N996" s="229"/>
      <c r="O996" s="229"/>
      <c r="P996" s="229"/>
      <c r="Q996" s="229"/>
      <c r="R996" s="229"/>
      <c r="S996" s="229"/>
      <c r="T996" s="229"/>
      <c r="U996" s="229"/>
      <c r="V996" s="229"/>
      <c r="W996" s="229"/>
      <c r="X996" s="229"/>
      <c r="Y996" s="229"/>
      <c r="Z996" s="229"/>
      <c r="AA996" s="229"/>
    </row>
    <row r="997" customFormat="false" ht="13.5" hidden="false" customHeight="true" outlineLevel="0" collapsed="false">
      <c r="A997" s="229"/>
      <c r="B997" s="229"/>
      <c r="C997" s="229"/>
      <c r="D997" s="229"/>
      <c r="E997" s="229"/>
      <c r="F997" s="229"/>
      <c r="G997" s="229"/>
      <c r="H997" s="229"/>
      <c r="I997" s="229"/>
      <c r="J997" s="229"/>
      <c r="K997" s="229"/>
      <c r="L997" s="229"/>
      <c r="M997" s="229"/>
      <c r="N997" s="229"/>
      <c r="O997" s="229"/>
      <c r="P997" s="229"/>
      <c r="Q997" s="229"/>
      <c r="R997" s="229"/>
      <c r="S997" s="229"/>
      <c r="T997" s="229"/>
      <c r="U997" s="229"/>
      <c r="V997" s="229"/>
      <c r="W997" s="229"/>
      <c r="X997" s="229"/>
      <c r="Y997" s="229"/>
      <c r="Z997" s="229"/>
      <c r="AA997" s="229"/>
    </row>
    <row r="998" customFormat="false" ht="13.5" hidden="false" customHeight="true" outlineLevel="0" collapsed="false">
      <c r="A998" s="229"/>
      <c r="B998" s="229"/>
      <c r="C998" s="229"/>
      <c r="D998" s="229"/>
      <c r="E998" s="229"/>
      <c r="F998" s="229"/>
      <c r="G998" s="229"/>
      <c r="H998" s="229"/>
      <c r="I998" s="229"/>
      <c r="J998" s="229"/>
      <c r="K998" s="229"/>
      <c r="L998" s="229"/>
      <c r="M998" s="229"/>
      <c r="N998" s="229"/>
      <c r="O998" s="229"/>
      <c r="P998" s="229"/>
      <c r="Q998" s="229"/>
      <c r="R998" s="229"/>
      <c r="S998" s="229"/>
      <c r="T998" s="229"/>
      <c r="U998" s="229"/>
      <c r="V998" s="229"/>
      <c r="W998" s="229"/>
      <c r="X998" s="229"/>
      <c r="Y998" s="229"/>
      <c r="Z998" s="229"/>
      <c r="AA998" s="229"/>
    </row>
    <row r="999" customFormat="false" ht="13.5" hidden="false" customHeight="true" outlineLevel="0" collapsed="false">
      <c r="A999" s="229"/>
      <c r="B999" s="229"/>
      <c r="C999" s="229"/>
      <c r="D999" s="229"/>
      <c r="E999" s="229"/>
      <c r="F999" s="229"/>
      <c r="G999" s="229"/>
      <c r="H999" s="229"/>
      <c r="I999" s="229"/>
      <c r="J999" s="229"/>
      <c r="K999" s="229"/>
      <c r="L999" s="229"/>
      <c r="M999" s="229"/>
      <c r="N999" s="229"/>
      <c r="O999" s="229"/>
      <c r="P999" s="229"/>
      <c r="Q999" s="229"/>
      <c r="R999" s="229"/>
      <c r="S999" s="229"/>
      <c r="T999" s="229"/>
      <c r="U999" s="229"/>
      <c r="V999" s="229"/>
      <c r="W999" s="229"/>
      <c r="X999" s="229"/>
      <c r="Y999" s="229"/>
      <c r="Z999" s="229"/>
      <c r="AA999" s="229"/>
    </row>
    <row r="1000" customFormat="false" ht="13.5" hidden="false" customHeight="true" outlineLevel="0" collapsed="false">
      <c r="A1000" s="229"/>
      <c r="B1000" s="229"/>
      <c r="C1000" s="229"/>
      <c r="D1000" s="229"/>
      <c r="E1000" s="229"/>
      <c r="F1000" s="229"/>
      <c r="G1000" s="229"/>
      <c r="H1000" s="229"/>
      <c r="I1000" s="229"/>
      <c r="J1000" s="229"/>
      <c r="K1000" s="229"/>
      <c r="L1000" s="229"/>
      <c r="M1000" s="229"/>
      <c r="N1000" s="229"/>
      <c r="O1000" s="229"/>
      <c r="P1000" s="229"/>
      <c r="Q1000" s="229"/>
      <c r="R1000" s="229"/>
      <c r="S1000" s="229"/>
      <c r="T1000" s="229"/>
      <c r="U1000" s="229"/>
      <c r="V1000" s="229"/>
      <c r="W1000" s="229"/>
      <c r="X1000" s="229"/>
      <c r="Y1000" s="229"/>
      <c r="Z1000" s="229"/>
      <c r="AA1000" s="229"/>
    </row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" footer="0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 No Spreading without Permission&amp;RPage&amp;Pof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LibreOffice/25.2.4.3$Linux_X86_64 LibreOffice_project/4758c3e74d89866c6bf878d16c73c2d1d7a2926e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en-US</dc:language>
  <cp:lastModifiedBy/>
  <dcterms:modified xsi:type="dcterms:W3CDTF">2025-07-08T08:29:44Z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